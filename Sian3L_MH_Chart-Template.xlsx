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y_chen\Downloads\"/>
    </mc:Choice>
  </mc:AlternateContent>
  <xr:revisionPtr revIDLastSave="0" documentId="13_ncr:1_{459D908A-B633-4DCD-AFFD-7542B6A67C41}" xr6:coauthVersionLast="36" xr6:coauthVersionMax="36" xr10:uidLastSave="{00000000-0000-0000-0000-000000000000}"/>
  <bookViews>
    <workbookView xWindow="672" yWindow="576" windowWidth="13800" windowHeight="10116" xr2:uid="{00000000-000D-0000-FFFF-FFFF00000000}"/>
  </bookViews>
  <sheets>
    <sheet name="Curve" sheetId="1" r:id="rId1"/>
    <sheet name="1_Operational" sheetId="2" r:id="rId2"/>
    <sheet name="5_Operational" sheetId="3" r:id="rId3"/>
    <sheet name="Operational_RawData" sheetId="4" r:id="rId4"/>
    <sheet name="1_Maximum" sheetId="5" r:id="rId5"/>
    <sheet name="5_Maximum" sheetId="6" r:id="rId6"/>
    <sheet name="Maximum_RawData" sheetId="7" r:id="rId7"/>
  </sheets>
  <definedNames>
    <definedName name="_xlnm._FilterDatabase" localSheetId="4" hidden="1">'1_Maximum'!$A$1:$T$1</definedName>
    <definedName name="_xlnm._FilterDatabase" localSheetId="1" hidden="1">'1_Operational'!$A$1:$T$1</definedName>
    <definedName name="_xlnm._FilterDatabase" localSheetId="5" hidden="1">'5_Maximum'!$A$1:$T$1</definedName>
    <definedName name="_xlnm._FilterDatabase" localSheetId="2" hidden="1">'5_Operational'!$A$1:$T$1</definedName>
    <definedName name="_xlnm._FilterDatabase" localSheetId="0" hidden="1">Curve!$A$1:$T$1</definedName>
    <definedName name="_xlnm._FilterDatabase" localSheetId="6" hidden="1">Maximum_RawData!$A$1:$T$189</definedName>
    <definedName name="_xlnm._FilterDatabase" localSheetId="3" hidden="1">Operational_RawData!$A$1:$T$191</definedName>
  </definedNames>
  <calcPr calcId="191029"/>
</workbook>
</file>

<file path=xl/calcChain.xml><?xml version="1.0" encoding="utf-8"?>
<calcChain xmlns="http://schemas.openxmlformats.org/spreadsheetml/2006/main">
  <c r="T95" i="6" l="1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N95" i="1" s="1"/>
  <c r="D95" i="6"/>
  <c r="C95" i="6"/>
  <c r="B95" i="6"/>
  <c r="A95" i="6"/>
  <c r="T94" i="6"/>
  <c r="S94" i="6"/>
  <c r="R94" i="6"/>
  <c r="Q94" i="6"/>
  <c r="P94" i="6"/>
  <c r="O94" i="6"/>
  <c r="N94" i="6"/>
  <c r="R94" i="1" s="1"/>
  <c r="M94" i="6"/>
  <c r="L94" i="6"/>
  <c r="K94" i="6"/>
  <c r="J94" i="6"/>
  <c r="I94" i="6"/>
  <c r="H94" i="6"/>
  <c r="G94" i="6"/>
  <c r="F94" i="6"/>
  <c r="E94" i="6"/>
  <c r="D94" i="6"/>
  <c r="C94" i="6"/>
  <c r="B94" i="6"/>
  <c r="A94" i="6"/>
  <c r="T93" i="6"/>
  <c r="S93" i="6"/>
  <c r="R93" i="6"/>
  <c r="Q93" i="6"/>
  <c r="P93" i="6"/>
  <c r="O93" i="6"/>
  <c r="N93" i="6"/>
  <c r="M93" i="6"/>
  <c r="L93" i="6"/>
  <c r="K93" i="6"/>
  <c r="J93" i="6"/>
  <c r="I93" i="6"/>
  <c r="H93" i="6"/>
  <c r="G93" i="6"/>
  <c r="F93" i="6"/>
  <c r="E93" i="6"/>
  <c r="N93" i="1" s="1"/>
  <c r="D93" i="6"/>
  <c r="C93" i="6"/>
  <c r="B93" i="6"/>
  <c r="A93" i="6"/>
  <c r="T92" i="6"/>
  <c r="S92" i="6"/>
  <c r="R92" i="6"/>
  <c r="Q92" i="6"/>
  <c r="P92" i="6"/>
  <c r="O92" i="6"/>
  <c r="N92" i="6"/>
  <c r="M92" i="6"/>
  <c r="L92" i="6"/>
  <c r="K92" i="6"/>
  <c r="J92" i="6"/>
  <c r="I92" i="6"/>
  <c r="H92" i="6"/>
  <c r="G92" i="6"/>
  <c r="F92" i="6"/>
  <c r="E92" i="6"/>
  <c r="N92" i="1" s="1"/>
  <c r="D92" i="6"/>
  <c r="G92" i="1" s="1"/>
  <c r="C92" i="6"/>
  <c r="B92" i="6"/>
  <c r="A92" i="6"/>
  <c r="T91" i="6"/>
  <c r="S91" i="6"/>
  <c r="R91" i="6"/>
  <c r="Q91" i="6"/>
  <c r="P91" i="6"/>
  <c r="O91" i="6"/>
  <c r="N91" i="6"/>
  <c r="M91" i="6"/>
  <c r="L91" i="6"/>
  <c r="K91" i="6"/>
  <c r="J91" i="6"/>
  <c r="I91" i="6"/>
  <c r="H91" i="6"/>
  <c r="G91" i="6"/>
  <c r="F91" i="6"/>
  <c r="E91" i="6"/>
  <c r="N91" i="1" s="1"/>
  <c r="D91" i="6"/>
  <c r="C91" i="6"/>
  <c r="B91" i="6"/>
  <c r="A91" i="6"/>
  <c r="T90" i="6"/>
  <c r="S90" i="6"/>
  <c r="R90" i="6"/>
  <c r="Q90" i="6"/>
  <c r="P90" i="6"/>
  <c r="O90" i="6"/>
  <c r="N90" i="6"/>
  <c r="R90" i="1" s="1"/>
  <c r="M90" i="6"/>
  <c r="L90" i="6"/>
  <c r="K90" i="6"/>
  <c r="J90" i="6"/>
  <c r="I90" i="6"/>
  <c r="H90" i="6"/>
  <c r="G90" i="6"/>
  <c r="F90" i="6"/>
  <c r="E90" i="6"/>
  <c r="D90" i="6"/>
  <c r="C90" i="6"/>
  <c r="B90" i="6"/>
  <c r="A90" i="6"/>
  <c r="T89" i="6"/>
  <c r="S89" i="6"/>
  <c r="R89" i="6"/>
  <c r="Q89" i="6"/>
  <c r="P89" i="6"/>
  <c r="O89" i="6"/>
  <c r="N89" i="6"/>
  <c r="R89" i="1" s="1"/>
  <c r="M89" i="6"/>
  <c r="L89" i="6"/>
  <c r="K89" i="6"/>
  <c r="J89" i="6"/>
  <c r="I89" i="6"/>
  <c r="H89" i="6"/>
  <c r="G89" i="6"/>
  <c r="F89" i="6"/>
  <c r="E89" i="6"/>
  <c r="N89" i="1" s="1"/>
  <c r="D89" i="6"/>
  <c r="C89" i="6"/>
  <c r="B89" i="6"/>
  <c r="A89" i="6"/>
  <c r="T88" i="6"/>
  <c r="S88" i="6"/>
  <c r="R88" i="6"/>
  <c r="Q88" i="6"/>
  <c r="P88" i="6"/>
  <c r="O88" i="6"/>
  <c r="N88" i="6"/>
  <c r="M88" i="6"/>
  <c r="L88" i="6"/>
  <c r="K88" i="6"/>
  <c r="J88" i="6"/>
  <c r="I88" i="6"/>
  <c r="H88" i="6"/>
  <c r="G88" i="6"/>
  <c r="F88" i="6"/>
  <c r="E88" i="6"/>
  <c r="N88" i="1" s="1"/>
  <c r="D88" i="6"/>
  <c r="G88" i="1" s="1"/>
  <c r="C88" i="6"/>
  <c r="B88" i="6"/>
  <c r="A88" i="6"/>
  <c r="T87" i="6"/>
  <c r="S87" i="6"/>
  <c r="R87" i="6"/>
  <c r="Q87" i="6"/>
  <c r="P87" i="6"/>
  <c r="O87" i="6"/>
  <c r="N87" i="6"/>
  <c r="M87" i="6"/>
  <c r="L87" i="6"/>
  <c r="K87" i="6"/>
  <c r="J87" i="6"/>
  <c r="I87" i="6"/>
  <c r="H87" i="6"/>
  <c r="G87" i="6"/>
  <c r="F87" i="6"/>
  <c r="E87" i="6"/>
  <c r="N87" i="1" s="1"/>
  <c r="D87" i="6"/>
  <c r="C87" i="6"/>
  <c r="B87" i="6"/>
  <c r="A87" i="6"/>
  <c r="T86" i="6"/>
  <c r="S86" i="6"/>
  <c r="R86" i="6"/>
  <c r="Q86" i="6"/>
  <c r="P86" i="6"/>
  <c r="O86" i="6"/>
  <c r="N86" i="6"/>
  <c r="R86" i="1" s="1"/>
  <c r="M86" i="6"/>
  <c r="L86" i="6"/>
  <c r="K86" i="6"/>
  <c r="J86" i="6"/>
  <c r="I86" i="6"/>
  <c r="H86" i="6"/>
  <c r="G86" i="6"/>
  <c r="F86" i="6"/>
  <c r="E86" i="6"/>
  <c r="D86" i="6"/>
  <c r="C86" i="6"/>
  <c r="B86" i="6"/>
  <c r="A86" i="6"/>
  <c r="T85" i="6"/>
  <c r="S85" i="6"/>
  <c r="R85" i="6"/>
  <c r="Q85" i="6"/>
  <c r="P85" i="6"/>
  <c r="O85" i="6"/>
  <c r="N85" i="6"/>
  <c r="R85" i="1" s="1"/>
  <c r="M85" i="6"/>
  <c r="L85" i="6"/>
  <c r="K85" i="6"/>
  <c r="J85" i="6"/>
  <c r="I85" i="6"/>
  <c r="H85" i="6"/>
  <c r="G85" i="6"/>
  <c r="F85" i="6"/>
  <c r="E85" i="6"/>
  <c r="N85" i="1" s="1"/>
  <c r="D85" i="6"/>
  <c r="C85" i="6"/>
  <c r="B85" i="6"/>
  <c r="A85" i="6"/>
  <c r="T84" i="6"/>
  <c r="S84" i="6"/>
  <c r="R84" i="6"/>
  <c r="Q84" i="6"/>
  <c r="P84" i="6"/>
  <c r="O84" i="6"/>
  <c r="N84" i="6"/>
  <c r="M84" i="6"/>
  <c r="L84" i="6"/>
  <c r="K84" i="6"/>
  <c r="J84" i="6"/>
  <c r="I84" i="6"/>
  <c r="H84" i="6"/>
  <c r="G84" i="6"/>
  <c r="F84" i="6"/>
  <c r="E84" i="6"/>
  <c r="N84" i="1" s="1"/>
  <c r="D84" i="6"/>
  <c r="G84" i="1" s="1"/>
  <c r="C84" i="6"/>
  <c r="B84" i="6"/>
  <c r="A84" i="6"/>
  <c r="T83" i="6"/>
  <c r="S83" i="6"/>
  <c r="R83" i="6"/>
  <c r="Q83" i="6"/>
  <c r="P83" i="6"/>
  <c r="O83" i="6"/>
  <c r="N83" i="6"/>
  <c r="M83" i="6"/>
  <c r="L83" i="6"/>
  <c r="K83" i="6"/>
  <c r="J83" i="6"/>
  <c r="I83" i="6"/>
  <c r="H83" i="6"/>
  <c r="G83" i="6"/>
  <c r="F83" i="6"/>
  <c r="E83" i="6"/>
  <c r="N83" i="1" s="1"/>
  <c r="D83" i="6"/>
  <c r="C83" i="6"/>
  <c r="B83" i="6"/>
  <c r="A83" i="6"/>
  <c r="T82" i="6"/>
  <c r="S82" i="6"/>
  <c r="R82" i="6"/>
  <c r="Q82" i="6"/>
  <c r="P82" i="6"/>
  <c r="O82" i="6"/>
  <c r="N82" i="6"/>
  <c r="R82" i="1" s="1"/>
  <c r="M82" i="6"/>
  <c r="L82" i="6"/>
  <c r="K82" i="6"/>
  <c r="J82" i="6"/>
  <c r="I82" i="6"/>
  <c r="H82" i="6"/>
  <c r="G82" i="6"/>
  <c r="F82" i="6"/>
  <c r="E82" i="6"/>
  <c r="D82" i="6"/>
  <c r="C82" i="6"/>
  <c r="B82" i="6"/>
  <c r="A82" i="6"/>
  <c r="T81" i="6"/>
  <c r="S81" i="6"/>
  <c r="R81" i="6"/>
  <c r="Q81" i="6"/>
  <c r="P81" i="6"/>
  <c r="O81" i="6"/>
  <c r="N81" i="6"/>
  <c r="R81" i="1" s="1"/>
  <c r="M81" i="6"/>
  <c r="L81" i="6"/>
  <c r="K81" i="6"/>
  <c r="J81" i="6"/>
  <c r="I81" i="6"/>
  <c r="H81" i="6"/>
  <c r="G81" i="6"/>
  <c r="F81" i="6"/>
  <c r="E81" i="6"/>
  <c r="N81" i="1" s="1"/>
  <c r="D81" i="6"/>
  <c r="G81" i="1" s="1"/>
  <c r="C81" i="6"/>
  <c r="B81" i="6"/>
  <c r="A81" i="6"/>
  <c r="T80" i="6"/>
  <c r="S80" i="6"/>
  <c r="R80" i="6"/>
  <c r="Q80" i="6"/>
  <c r="P80" i="6"/>
  <c r="O80" i="6"/>
  <c r="N80" i="6"/>
  <c r="M80" i="6"/>
  <c r="L80" i="6"/>
  <c r="K80" i="6"/>
  <c r="J80" i="6"/>
  <c r="I80" i="6"/>
  <c r="H80" i="6"/>
  <c r="G80" i="6"/>
  <c r="F80" i="6"/>
  <c r="E80" i="6"/>
  <c r="N80" i="1" s="1"/>
  <c r="D80" i="6"/>
  <c r="G80" i="1" s="1"/>
  <c r="C80" i="6"/>
  <c r="B80" i="6"/>
  <c r="A80" i="6"/>
  <c r="T79" i="6"/>
  <c r="S79" i="6"/>
  <c r="R79" i="6"/>
  <c r="Q79" i="6"/>
  <c r="P79" i="6"/>
  <c r="O79" i="6"/>
  <c r="N79" i="6"/>
  <c r="M79" i="6"/>
  <c r="L79" i="6"/>
  <c r="K79" i="6"/>
  <c r="J79" i="6"/>
  <c r="I79" i="6"/>
  <c r="H79" i="6"/>
  <c r="G79" i="6"/>
  <c r="F79" i="6"/>
  <c r="E79" i="6"/>
  <c r="N79" i="1" s="1"/>
  <c r="D79" i="6"/>
  <c r="C79" i="6"/>
  <c r="B79" i="6"/>
  <c r="A79" i="6"/>
  <c r="T78" i="6"/>
  <c r="S78" i="6"/>
  <c r="R78" i="6"/>
  <c r="Q78" i="6"/>
  <c r="P78" i="6"/>
  <c r="O78" i="6"/>
  <c r="N78" i="6"/>
  <c r="R78" i="1" s="1"/>
  <c r="M78" i="6"/>
  <c r="L78" i="6"/>
  <c r="K78" i="6"/>
  <c r="J78" i="6"/>
  <c r="I78" i="6"/>
  <c r="H78" i="6"/>
  <c r="G78" i="6"/>
  <c r="F78" i="6"/>
  <c r="E78" i="6"/>
  <c r="D78" i="6"/>
  <c r="C78" i="6"/>
  <c r="B78" i="6"/>
  <c r="A78" i="6"/>
  <c r="T77" i="6"/>
  <c r="S77" i="6"/>
  <c r="R77" i="6"/>
  <c r="Q77" i="6"/>
  <c r="P77" i="6"/>
  <c r="O77" i="6"/>
  <c r="N77" i="6"/>
  <c r="R77" i="1" s="1"/>
  <c r="M77" i="6"/>
  <c r="L77" i="6"/>
  <c r="K77" i="6"/>
  <c r="J77" i="6"/>
  <c r="I77" i="6"/>
  <c r="H77" i="6"/>
  <c r="G77" i="6"/>
  <c r="F77" i="6"/>
  <c r="E77" i="6"/>
  <c r="N77" i="1" s="1"/>
  <c r="D77" i="6"/>
  <c r="G77" i="1" s="1"/>
  <c r="C77" i="6"/>
  <c r="B77" i="6"/>
  <c r="A77" i="6"/>
  <c r="T76" i="6"/>
  <c r="S76" i="6"/>
  <c r="R76" i="6"/>
  <c r="Q76" i="6"/>
  <c r="P76" i="6"/>
  <c r="O76" i="6"/>
  <c r="N76" i="6"/>
  <c r="M76" i="6"/>
  <c r="L76" i="6"/>
  <c r="K76" i="6"/>
  <c r="J76" i="6"/>
  <c r="I76" i="6"/>
  <c r="H76" i="6"/>
  <c r="G76" i="6"/>
  <c r="F76" i="6"/>
  <c r="E76" i="6"/>
  <c r="N76" i="1" s="1"/>
  <c r="D76" i="6"/>
  <c r="G76" i="1" s="1"/>
  <c r="C76" i="6"/>
  <c r="B76" i="6"/>
  <c r="A76" i="6"/>
  <c r="T75" i="6"/>
  <c r="S75" i="6"/>
  <c r="R75" i="6"/>
  <c r="Q75" i="6"/>
  <c r="P75" i="6"/>
  <c r="O75" i="6"/>
  <c r="N75" i="6"/>
  <c r="M75" i="6"/>
  <c r="L75" i="6"/>
  <c r="K75" i="6"/>
  <c r="J75" i="6"/>
  <c r="I75" i="6"/>
  <c r="H75" i="6"/>
  <c r="G75" i="6"/>
  <c r="F75" i="6"/>
  <c r="E75" i="6"/>
  <c r="N75" i="1" s="1"/>
  <c r="D75" i="6"/>
  <c r="C75" i="6"/>
  <c r="B75" i="6"/>
  <c r="A75" i="6"/>
  <c r="T74" i="6"/>
  <c r="S74" i="6"/>
  <c r="R74" i="6"/>
  <c r="Q74" i="6"/>
  <c r="P74" i="6"/>
  <c r="O74" i="6"/>
  <c r="N74" i="6"/>
  <c r="R74" i="1" s="1"/>
  <c r="M74" i="6"/>
  <c r="L74" i="6"/>
  <c r="K74" i="6"/>
  <c r="J74" i="6"/>
  <c r="I74" i="6"/>
  <c r="H74" i="6"/>
  <c r="G74" i="6"/>
  <c r="F74" i="6"/>
  <c r="E74" i="6"/>
  <c r="D74" i="6"/>
  <c r="C74" i="6"/>
  <c r="B74" i="6"/>
  <c r="A74" i="6"/>
  <c r="T73" i="6"/>
  <c r="S73" i="6"/>
  <c r="R73" i="6"/>
  <c r="Q73" i="6"/>
  <c r="P73" i="6"/>
  <c r="O73" i="6"/>
  <c r="N73" i="6"/>
  <c r="R73" i="1" s="1"/>
  <c r="M73" i="6"/>
  <c r="L73" i="6"/>
  <c r="K73" i="6"/>
  <c r="J73" i="6"/>
  <c r="I73" i="6"/>
  <c r="H73" i="6"/>
  <c r="G73" i="6"/>
  <c r="F73" i="6"/>
  <c r="E73" i="6"/>
  <c r="N73" i="1" s="1"/>
  <c r="D73" i="6"/>
  <c r="C73" i="6"/>
  <c r="B73" i="6"/>
  <c r="A73" i="6"/>
  <c r="T72" i="6"/>
  <c r="S72" i="6"/>
  <c r="R72" i="6"/>
  <c r="Q72" i="6"/>
  <c r="P72" i="6"/>
  <c r="O72" i="6"/>
  <c r="N72" i="6"/>
  <c r="M72" i="6"/>
  <c r="L72" i="6"/>
  <c r="K72" i="6"/>
  <c r="J72" i="6"/>
  <c r="I72" i="6"/>
  <c r="H72" i="6"/>
  <c r="G72" i="6"/>
  <c r="F72" i="6"/>
  <c r="E72" i="6"/>
  <c r="N72" i="1" s="1"/>
  <c r="D72" i="6"/>
  <c r="G72" i="1" s="1"/>
  <c r="C72" i="6"/>
  <c r="B72" i="6"/>
  <c r="A72" i="6"/>
  <c r="T71" i="6"/>
  <c r="S71" i="6"/>
  <c r="R71" i="6"/>
  <c r="Q71" i="6"/>
  <c r="P71" i="6"/>
  <c r="O71" i="6"/>
  <c r="N71" i="6"/>
  <c r="M71" i="6"/>
  <c r="L71" i="6"/>
  <c r="K71" i="6"/>
  <c r="J71" i="6"/>
  <c r="I71" i="6"/>
  <c r="H71" i="6"/>
  <c r="G71" i="6"/>
  <c r="F71" i="6"/>
  <c r="E71" i="6"/>
  <c r="N71" i="1" s="1"/>
  <c r="D71" i="6"/>
  <c r="C71" i="6"/>
  <c r="B71" i="6"/>
  <c r="A71" i="6"/>
  <c r="T70" i="6"/>
  <c r="S70" i="6"/>
  <c r="R70" i="6"/>
  <c r="Q70" i="6"/>
  <c r="P70" i="6"/>
  <c r="O70" i="6"/>
  <c r="N70" i="6"/>
  <c r="R70" i="1" s="1"/>
  <c r="M70" i="6"/>
  <c r="L70" i="6"/>
  <c r="K70" i="6"/>
  <c r="J70" i="6"/>
  <c r="I70" i="6"/>
  <c r="H70" i="6"/>
  <c r="G70" i="6"/>
  <c r="F70" i="6"/>
  <c r="E70" i="6"/>
  <c r="D70" i="6"/>
  <c r="C70" i="6"/>
  <c r="B70" i="6"/>
  <c r="A70" i="6"/>
  <c r="T69" i="6"/>
  <c r="S69" i="6"/>
  <c r="R69" i="6"/>
  <c r="Q69" i="6"/>
  <c r="P69" i="6"/>
  <c r="O69" i="6"/>
  <c r="N69" i="6"/>
  <c r="R69" i="1" s="1"/>
  <c r="M69" i="6"/>
  <c r="L69" i="6"/>
  <c r="K69" i="6"/>
  <c r="J69" i="6"/>
  <c r="I69" i="6"/>
  <c r="H69" i="6"/>
  <c r="G69" i="6"/>
  <c r="F69" i="6"/>
  <c r="E69" i="6"/>
  <c r="N69" i="1" s="1"/>
  <c r="D69" i="6"/>
  <c r="C69" i="6"/>
  <c r="B69" i="6"/>
  <c r="A69" i="6"/>
  <c r="T68" i="6"/>
  <c r="S68" i="6"/>
  <c r="R68" i="6"/>
  <c r="Q68" i="6"/>
  <c r="P68" i="6"/>
  <c r="O68" i="6"/>
  <c r="N68" i="6"/>
  <c r="M68" i="6"/>
  <c r="L68" i="6"/>
  <c r="K68" i="6"/>
  <c r="J68" i="6"/>
  <c r="I68" i="6"/>
  <c r="H68" i="6"/>
  <c r="G68" i="6"/>
  <c r="F68" i="6"/>
  <c r="E68" i="6"/>
  <c r="N68" i="1" s="1"/>
  <c r="D68" i="6"/>
  <c r="G68" i="1" s="1"/>
  <c r="C68" i="6"/>
  <c r="B68" i="6"/>
  <c r="A68" i="6"/>
  <c r="T67" i="6"/>
  <c r="S67" i="6"/>
  <c r="R67" i="6"/>
  <c r="Q67" i="6"/>
  <c r="P67" i="6"/>
  <c r="O67" i="6"/>
  <c r="N67" i="6"/>
  <c r="M67" i="6"/>
  <c r="L67" i="6"/>
  <c r="K67" i="6"/>
  <c r="J67" i="6"/>
  <c r="I67" i="6"/>
  <c r="H67" i="6"/>
  <c r="G67" i="6"/>
  <c r="F67" i="6"/>
  <c r="E67" i="6"/>
  <c r="N67" i="1" s="1"/>
  <c r="D67" i="6"/>
  <c r="C67" i="6"/>
  <c r="B67" i="6"/>
  <c r="A67" i="6"/>
  <c r="T66" i="6"/>
  <c r="S66" i="6"/>
  <c r="R66" i="6"/>
  <c r="Q66" i="6"/>
  <c r="P66" i="6"/>
  <c r="O66" i="6"/>
  <c r="N66" i="6"/>
  <c r="M66" i="6"/>
  <c r="L66" i="6"/>
  <c r="K66" i="6"/>
  <c r="J66" i="6"/>
  <c r="I66" i="6"/>
  <c r="H66" i="6"/>
  <c r="G66" i="6"/>
  <c r="F66" i="6"/>
  <c r="E66" i="6"/>
  <c r="D66" i="6"/>
  <c r="C66" i="6"/>
  <c r="B66" i="6"/>
  <c r="A66" i="6"/>
  <c r="T65" i="6"/>
  <c r="S65" i="6"/>
  <c r="R65" i="6"/>
  <c r="Q65" i="6"/>
  <c r="P65" i="6"/>
  <c r="O65" i="6"/>
  <c r="N65" i="6"/>
  <c r="R65" i="1" s="1"/>
  <c r="M65" i="6"/>
  <c r="L65" i="6"/>
  <c r="K65" i="6"/>
  <c r="J65" i="6"/>
  <c r="I65" i="6"/>
  <c r="H65" i="6"/>
  <c r="G65" i="6"/>
  <c r="F65" i="6"/>
  <c r="E65" i="6"/>
  <c r="D65" i="6"/>
  <c r="C65" i="6"/>
  <c r="B65" i="6"/>
  <c r="A65" i="6"/>
  <c r="T64" i="6"/>
  <c r="S64" i="6"/>
  <c r="R64" i="6"/>
  <c r="Q64" i="6"/>
  <c r="P64" i="6"/>
  <c r="O64" i="6"/>
  <c r="N64" i="6"/>
  <c r="M64" i="6"/>
  <c r="L64" i="6"/>
  <c r="K64" i="6"/>
  <c r="J64" i="6"/>
  <c r="I64" i="6"/>
  <c r="H64" i="6"/>
  <c r="G64" i="6"/>
  <c r="F64" i="6"/>
  <c r="E64" i="6"/>
  <c r="N64" i="1" s="1"/>
  <c r="D64" i="6"/>
  <c r="G64" i="1" s="1"/>
  <c r="C64" i="6"/>
  <c r="B64" i="6"/>
  <c r="A64" i="6"/>
  <c r="T63" i="6"/>
  <c r="S63" i="6"/>
  <c r="R63" i="6"/>
  <c r="Q63" i="6"/>
  <c r="P63" i="6"/>
  <c r="O63" i="6"/>
  <c r="N63" i="6"/>
  <c r="M63" i="6"/>
  <c r="L63" i="6"/>
  <c r="K63" i="6"/>
  <c r="J63" i="6"/>
  <c r="I63" i="6"/>
  <c r="H63" i="6"/>
  <c r="G63" i="6"/>
  <c r="F63" i="6"/>
  <c r="E63" i="6"/>
  <c r="N63" i="1" s="1"/>
  <c r="D63" i="6"/>
  <c r="C63" i="6"/>
  <c r="B63" i="6"/>
  <c r="A63" i="6"/>
  <c r="T62" i="6"/>
  <c r="S62" i="6"/>
  <c r="R62" i="6"/>
  <c r="Q62" i="6"/>
  <c r="P62" i="6"/>
  <c r="O62" i="6"/>
  <c r="N62" i="6"/>
  <c r="M62" i="6"/>
  <c r="L62" i="6"/>
  <c r="K62" i="6"/>
  <c r="J62" i="6"/>
  <c r="I62" i="6"/>
  <c r="H62" i="6"/>
  <c r="G62" i="6"/>
  <c r="F62" i="6"/>
  <c r="E62" i="6"/>
  <c r="D62" i="6"/>
  <c r="C62" i="6"/>
  <c r="B62" i="6"/>
  <c r="A62" i="6"/>
  <c r="T61" i="6"/>
  <c r="S61" i="6"/>
  <c r="R61" i="6"/>
  <c r="Q61" i="6"/>
  <c r="P61" i="6"/>
  <c r="O61" i="6"/>
  <c r="N61" i="6"/>
  <c r="R61" i="1" s="1"/>
  <c r="M61" i="6"/>
  <c r="L61" i="6"/>
  <c r="K61" i="6"/>
  <c r="J61" i="6"/>
  <c r="I61" i="6"/>
  <c r="H61" i="6"/>
  <c r="G61" i="6"/>
  <c r="F61" i="6"/>
  <c r="E61" i="6"/>
  <c r="N61" i="1" s="1"/>
  <c r="D61" i="6"/>
  <c r="C61" i="6"/>
  <c r="B61" i="6"/>
  <c r="A61" i="6"/>
  <c r="T60" i="6"/>
  <c r="S60" i="6"/>
  <c r="R60" i="6"/>
  <c r="Q60" i="6"/>
  <c r="P60" i="6"/>
  <c r="O60" i="6"/>
  <c r="N60" i="6"/>
  <c r="M60" i="6"/>
  <c r="L60" i="6"/>
  <c r="K60" i="6"/>
  <c r="J60" i="6"/>
  <c r="I60" i="6"/>
  <c r="H60" i="6"/>
  <c r="G60" i="6"/>
  <c r="F60" i="6"/>
  <c r="E60" i="6"/>
  <c r="N60" i="1" s="1"/>
  <c r="D60" i="6"/>
  <c r="G60" i="1" s="1"/>
  <c r="C60" i="6"/>
  <c r="B60" i="6"/>
  <c r="A60" i="6"/>
  <c r="T59" i="6"/>
  <c r="S59" i="6"/>
  <c r="R59" i="6"/>
  <c r="Q59" i="6"/>
  <c r="P59" i="6"/>
  <c r="O59" i="6"/>
  <c r="N59" i="6"/>
  <c r="M59" i="6"/>
  <c r="L59" i="6"/>
  <c r="K59" i="6"/>
  <c r="J59" i="6"/>
  <c r="I59" i="6"/>
  <c r="H59" i="6"/>
  <c r="G59" i="6"/>
  <c r="F59" i="6"/>
  <c r="E59" i="6"/>
  <c r="N59" i="1" s="1"/>
  <c r="D59" i="6"/>
  <c r="C59" i="6"/>
  <c r="B59" i="6"/>
  <c r="A59" i="6"/>
  <c r="T58" i="6"/>
  <c r="S58" i="6"/>
  <c r="R58" i="6"/>
  <c r="Q58" i="6"/>
  <c r="P58" i="6"/>
  <c r="O58" i="6"/>
  <c r="N58" i="6"/>
  <c r="R58" i="1" s="1"/>
  <c r="M58" i="6"/>
  <c r="L58" i="6"/>
  <c r="K58" i="6"/>
  <c r="J58" i="6"/>
  <c r="I58" i="6"/>
  <c r="H58" i="6"/>
  <c r="G58" i="6"/>
  <c r="F58" i="6"/>
  <c r="E58" i="6"/>
  <c r="D58" i="6"/>
  <c r="C58" i="6"/>
  <c r="B58" i="6"/>
  <c r="A58" i="6"/>
  <c r="T57" i="6"/>
  <c r="S57" i="6"/>
  <c r="R57" i="6"/>
  <c r="Q57" i="6"/>
  <c r="P57" i="6"/>
  <c r="O57" i="6"/>
  <c r="N57" i="6"/>
  <c r="R57" i="1" s="1"/>
  <c r="M57" i="6"/>
  <c r="L57" i="6"/>
  <c r="K57" i="6"/>
  <c r="J57" i="6"/>
  <c r="I57" i="6"/>
  <c r="H57" i="6"/>
  <c r="G57" i="6"/>
  <c r="F57" i="6"/>
  <c r="E57" i="6"/>
  <c r="N57" i="1" s="1"/>
  <c r="D57" i="6"/>
  <c r="C57" i="6"/>
  <c r="B57" i="6"/>
  <c r="A57" i="6"/>
  <c r="T56" i="6"/>
  <c r="S56" i="6"/>
  <c r="R56" i="6"/>
  <c r="Q56" i="6"/>
  <c r="P56" i="6"/>
  <c r="O56" i="6"/>
  <c r="N56" i="6"/>
  <c r="M56" i="6"/>
  <c r="L56" i="6"/>
  <c r="K56" i="6"/>
  <c r="J56" i="6"/>
  <c r="I56" i="6"/>
  <c r="H56" i="6"/>
  <c r="G56" i="6"/>
  <c r="F56" i="6"/>
  <c r="E56" i="6"/>
  <c r="N56" i="1" s="1"/>
  <c r="D56" i="6"/>
  <c r="G56" i="1" s="1"/>
  <c r="C56" i="6"/>
  <c r="B56" i="6"/>
  <c r="A56" i="6"/>
  <c r="T55" i="6"/>
  <c r="S55" i="6"/>
  <c r="R55" i="6"/>
  <c r="Q55" i="6"/>
  <c r="P55" i="6"/>
  <c r="O55" i="6"/>
  <c r="N55" i="6"/>
  <c r="M55" i="6"/>
  <c r="L55" i="6"/>
  <c r="K55" i="6"/>
  <c r="J55" i="6"/>
  <c r="I55" i="6"/>
  <c r="H55" i="6"/>
  <c r="G55" i="6"/>
  <c r="F55" i="6"/>
  <c r="E55" i="6"/>
  <c r="N55" i="1" s="1"/>
  <c r="D55" i="6"/>
  <c r="C55" i="6"/>
  <c r="B55" i="6"/>
  <c r="A55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C54" i="6"/>
  <c r="B54" i="6"/>
  <c r="A54" i="6"/>
  <c r="T53" i="6"/>
  <c r="S53" i="6"/>
  <c r="R53" i="6"/>
  <c r="Q53" i="6"/>
  <c r="P53" i="6"/>
  <c r="O53" i="6"/>
  <c r="N53" i="6"/>
  <c r="R53" i="1" s="1"/>
  <c r="M53" i="6"/>
  <c r="L53" i="6"/>
  <c r="K53" i="6"/>
  <c r="J53" i="6"/>
  <c r="I53" i="6"/>
  <c r="H53" i="6"/>
  <c r="G53" i="6"/>
  <c r="F53" i="6"/>
  <c r="E53" i="6"/>
  <c r="N53" i="1" s="1"/>
  <c r="D53" i="6"/>
  <c r="C53" i="6"/>
  <c r="B53" i="6"/>
  <c r="A53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N52" i="1" s="1"/>
  <c r="D52" i="6"/>
  <c r="G52" i="1" s="1"/>
  <c r="C52" i="6"/>
  <c r="B52" i="6"/>
  <c r="A52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G51" i="6"/>
  <c r="F51" i="6"/>
  <c r="E51" i="6"/>
  <c r="N51" i="1" s="1"/>
  <c r="D51" i="6"/>
  <c r="C51" i="6"/>
  <c r="B51" i="6"/>
  <c r="A51" i="6"/>
  <c r="T50" i="6"/>
  <c r="S50" i="6"/>
  <c r="R50" i="6"/>
  <c r="Q50" i="6"/>
  <c r="P50" i="6"/>
  <c r="O50" i="6"/>
  <c r="N50" i="6"/>
  <c r="R50" i="1" s="1"/>
  <c r="M50" i="6"/>
  <c r="L50" i="6"/>
  <c r="K50" i="6"/>
  <c r="J50" i="6"/>
  <c r="I50" i="6"/>
  <c r="H50" i="6"/>
  <c r="G50" i="6"/>
  <c r="F50" i="6"/>
  <c r="E50" i="6"/>
  <c r="D50" i="6"/>
  <c r="C50" i="6"/>
  <c r="B50" i="6"/>
  <c r="A50" i="6"/>
  <c r="T49" i="6"/>
  <c r="S49" i="6"/>
  <c r="R49" i="6"/>
  <c r="Q49" i="6"/>
  <c r="P49" i="6"/>
  <c r="O49" i="6"/>
  <c r="N49" i="6"/>
  <c r="R49" i="1" s="1"/>
  <c r="M49" i="6"/>
  <c r="L49" i="6"/>
  <c r="K49" i="6"/>
  <c r="J49" i="6"/>
  <c r="I49" i="6"/>
  <c r="H49" i="6"/>
  <c r="G49" i="6"/>
  <c r="F49" i="6"/>
  <c r="E49" i="6"/>
  <c r="N49" i="1" s="1"/>
  <c r="D49" i="6"/>
  <c r="C49" i="6"/>
  <c r="B49" i="6"/>
  <c r="A49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G48" i="6"/>
  <c r="F48" i="6"/>
  <c r="E48" i="6"/>
  <c r="N48" i="1" s="1"/>
  <c r="D48" i="6"/>
  <c r="G48" i="1" s="1"/>
  <c r="C48" i="6"/>
  <c r="B48" i="6"/>
  <c r="A48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E47" i="6"/>
  <c r="N47" i="1" s="1"/>
  <c r="D47" i="6"/>
  <c r="C47" i="6"/>
  <c r="B47" i="6"/>
  <c r="A47" i="6"/>
  <c r="T46" i="6"/>
  <c r="S46" i="6"/>
  <c r="R46" i="6"/>
  <c r="Q46" i="6"/>
  <c r="P46" i="6"/>
  <c r="O46" i="6"/>
  <c r="N46" i="6"/>
  <c r="R46" i="1" s="1"/>
  <c r="M46" i="6"/>
  <c r="L46" i="6"/>
  <c r="K46" i="6"/>
  <c r="J46" i="6"/>
  <c r="I46" i="6"/>
  <c r="H46" i="6"/>
  <c r="G46" i="6"/>
  <c r="F46" i="6"/>
  <c r="E46" i="6"/>
  <c r="D46" i="6"/>
  <c r="C46" i="6"/>
  <c r="B46" i="6"/>
  <c r="A46" i="6"/>
  <c r="T45" i="6"/>
  <c r="S45" i="6"/>
  <c r="R45" i="6"/>
  <c r="Q45" i="6"/>
  <c r="P45" i="6"/>
  <c r="O45" i="6"/>
  <c r="N45" i="6"/>
  <c r="R45" i="1" s="1"/>
  <c r="M45" i="6"/>
  <c r="L45" i="6"/>
  <c r="K45" i="6"/>
  <c r="J45" i="6"/>
  <c r="I45" i="6"/>
  <c r="H45" i="6"/>
  <c r="G45" i="6"/>
  <c r="F45" i="6"/>
  <c r="E45" i="6"/>
  <c r="N45" i="1" s="1"/>
  <c r="D45" i="6"/>
  <c r="C45" i="6"/>
  <c r="B45" i="6"/>
  <c r="A45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E44" i="6"/>
  <c r="N44" i="1" s="1"/>
  <c r="D44" i="6"/>
  <c r="G44" i="1" s="1"/>
  <c r="C44" i="6"/>
  <c r="B44" i="6"/>
  <c r="A44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E43" i="6"/>
  <c r="N43" i="1" s="1"/>
  <c r="D43" i="6"/>
  <c r="C43" i="6"/>
  <c r="B43" i="6"/>
  <c r="A43" i="6"/>
  <c r="T42" i="6"/>
  <c r="S42" i="6"/>
  <c r="R42" i="6"/>
  <c r="Q42" i="6"/>
  <c r="P42" i="6"/>
  <c r="O42" i="6"/>
  <c r="N42" i="6"/>
  <c r="R42" i="1" s="1"/>
  <c r="M42" i="6"/>
  <c r="L42" i="6"/>
  <c r="K42" i="6"/>
  <c r="J42" i="6"/>
  <c r="I42" i="6"/>
  <c r="H42" i="6"/>
  <c r="G42" i="6"/>
  <c r="F42" i="6"/>
  <c r="E42" i="6"/>
  <c r="D42" i="6"/>
  <c r="C42" i="6"/>
  <c r="B42" i="6"/>
  <c r="A42" i="6"/>
  <c r="T41" i="6"/>
  <c r="S41" i="6"/>
  <c r="R41" i="6"/>
  <c r="Q41" i="6"/>
  <c r="P41" i="6"/>
  <c r="O41" i="6"/>
  <c r="N41" i="6"/>
  <c r="R41" i="1" s="1"/>
  <c r="M41" i="6"/>
  <c r="L41" i="6"/>
  <c r="K41" i="6"/>
  <c r="J41" i="6"/>
  <c r="I41" i="6"/>
  <c r="H41" i="6"/>
  <c r="G41" i="6"/>
  <c r="F41" i="6"/>
  <c r="E41" i="6"/>
  <c r="N41" i="1" s="1"/>
  <c r="D41" i="6"/>
  <c r="C41" i="6"/>
  <c r="B41" i="6"/>
  <c r="A41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N40" i="1" s="1"/>
  <c r="D40" i="6"/>
  <c r="G40" i="1" s="1"/>
  <c r="C40" i="6"/>
  <c r="B40" i="6"/>
  <c r="A40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N39" i="1" s="1"/>
  <c r="D39" i="6"/>
  <c r="C39" i="6"/>
  <c r="B39" i="6"/>
  <c r="A39" i="6"/>
  <c r="T38" i="6"/>
  <c r="S38" i="6"/>
  <c r="R38" i="6"/>
  <c r="Q38" i="6"/>
  <c r="P38" i="6"/>
  <c r="O38" i="6"/>
  <c r="N38" i="6"/>
  <c r="R38" i="1" s="1"/>
  <c r="M38" i="6"/>
  <c r="L38" i="6"/>
  <c r="K38" i="6"/>
  <c r="J38" i="6"/>
  <c r="I38" i="6"/>
  <c r="H38" i="6"/>
  <c r="G38" i="6"/>
  <c r="F38" i="6"/>
  <c r="E38" i="6"/>
  <c r="D38" i="6"/>
  <c r="C38" i="6"/>
  <c r="B38" i="6"/>
  <c r="A38" i="6"/>
  <c r="T37" i="6"/>
  <c r="S37" i="6"/>
  <c r="R37" i="6"/>
  <c r="Q37" i="6"/>
  <c r="P37" i="6"/>
  <c r="O37" i="6"/>
  <c r="N37" i="6"/>
  <c r="R37" i="1" s="1"/>
  <c r="M37" i="6"/>
  <c r="L37" i="6"/>
  <c r="K37" i="6"/>
  <c r="J37" i="6"/>
  <c r="I37" i="6"/>
  <c r="H37" i="6"/>
  <c r="G37" i="6"/>
  <c r="F37" i="6"/>
  <c r="E37" i="6"/>
  <c r="N37" i="1" s="1"/>
  <c r="D37" i="6"/>
  <c r="C37" i="6"/>
  <c r="B37" i="6"/>
  <c r="A37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N36" i="1" s="1"/>
  <c r="D36" i="6"/>
  <c r="G36" i="1" s="1"/>
  <c r="C36" i="6"/>
  <c r="B36" i="6"/>
  <c r="A36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N35" i="1" s="1"/>
  <c r="D35" i="6"/>
  <c r="C35" i="6"/>
  <c r="B35" i="6"/>
  <c r="A35" i="6"/>
  <c r="T34" i="6"/>
  <c r="S34" i="6"/>
  <c r="R34" i="6"/>
  <c r="Q34" i="6"/>
  <c r="P34" i="6"/>
  <c r="O34" i="6"/>
  <c r="N34" i="6"/>
  <c r="R34" i="1" s="1"/>
  <c r="M34" i="6"/>
  <c r="L34" i="6"/>
  <c r="K34" i="6"/>
  <c r="J34" i="6"/>
  <c r="I34" i="6"/>
  <c r="H34" i="6"/>
  <c r="G34" i="6"/>
  <c r="F34" i="6"/>
  <c r="E34" i="6"/>
  <c r="D34" i="6"/>
  <c r="C34" i="6"/>
  <c r="B34" i="6"/>
  <c r="A34" i="6"/>
  <c r="T33" i="6"/>
  <c r="S33" i="6"/>
  <c r="R33" i="6"/>
  <c r="Q33" i="6"/>
  <c r="P33" i="6"/>
  <c r="O33" i="6"/>
  <c r="N33" i="6"/>
  <c r="R33" i="1" s="1"/>
  <c r="M33" i="6"/>
  <c r="L33" i="6"/>
  <c r="K33" i="6"/>
  <c r="J33" i="6"/>
  <c r="I33" i="6"/>
  <c r="H33" i="6"/>
  <c r="G33" i="6"/>
  <c r="F33" i="6"/>
  <c r="E33" i="6"/>
  <c r="N33" i="1" s="1"/>
  <c r="D33" i="6"/>
  <c r="C33" i="6"/>
  <c r="B33" i="6"/>
  <c r="A33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G32" i="1" s="1"/>
  <c r="C32" i="6"/>
  <c r="B32" i="6"/>
  <c r="A32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N31" i="1" s="1"/>
  <c r="D31" i="6"/>
  <c r="C31" i="6"/>
  <c r="B31" i="6"/>
  <c r="A31" i="6"/>
  <c r="T30" i="6"/>
  <c r="S30" i="6"/>
  <c r="R30" i="6"/>
  <c r="Q30" i="6"/>
  <c r="P30" i="6"/>
  <c r="O30" i="6"/>
  <c r="N30" i="6"/>
  <c r="R30" i="1" s="1"/>
  <c r="M30" i="6"/>
  <c r="L30" i="6"/>
  <c r="K30" i="6"/>
  <c r="J30" i="6"/>
  <c r="I30" i="6"/>
  <c r="H30" i="6"/>
  <c r="G30" i="6"/>
  <c r="F30" i="6"/>
  <c r="E30" i="6"/>
  <c r="D30" i="6"/>
  <c r="C30" i="6"/>
  <c r="B30" i="6"/>
  <c r="A30" i="6"/>
  <c r="T29" i="6"/>
  <c r="S29" i="6"/>
  <c r="R29" i="6"/>
  <c r="Q29" i="6"/>
  <c r="P29" i="6"/>
  <c r="O29" i="6"/>
  <c r="N29" i="6"/>
  <c r="R29" i="1" s="1"/>
  <c r="M29" i="6"/>
  <c r="L29" i="6"/>
  <c r="K29" i="6"/>
  <c r="J29" i="6"/>
  <c r="I29" i="6"/>
  <c r="H29" i="6"/>
  <c r="G29" i="6"/>
  <c r="F29" i="6"/>
  <c r="E29" i="6"/>
  <c r="N29" i="1" s="1"/>
  <c r="D29" i="6"/>
  <c r="C29" i="6"/>
  <c r="B29" i="6"/>
  <c r="A29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N28" i="1" s="1"/>
  <c r="D28" i="6"/>
  <c r="G28" i="1" s="1"/>
  <c r="C28" i="6"/>
  <c r="B28" i="6"/>
  <c r="A28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N27" i="1" s="1"/>
  <c r="D27" i="6"/>
  <c r="C27" i="6"/>
  <c r="B27" i="6"/>
  <c r="A27" i="6"/>
  <c r="T26" i="6"/>
  <c r="S26" i="6"/>
  <c r="R26" i="6"/>
  <c r="Q26" i="6"/>
  <c r="P26" i="6"/>
  <c r="O26" i="6"/>
  <c r="N26" i="6"/>
  <c r="R26" i="1" s="1"/>
  <c r="M26" i="6"/>
  <c r="L26" i="6"/>
  <c r="K26" i="6"/>
  <c r="J26" i="6"/>
  <c r="I26" i="6"/>
  <c r="H26" i="6"/>
  <c r="G26" i="6"/>
  <c r="F26" i="6"/>
  <c r="E26" i="6"/>
  <c r="D26" i="6"/>
  <c r="C26" i="6"/>
  <c r="B26" i="6"/>
  <c r="A26" i="6"/>
  <c r="T25" i="6"/>
  <c r="S25" i="6"/>
  <c r="R25" i="6"/>
  <c r="Q25" i="6"/>
  <c r="P25" i="6"/>
  <c r="O25" i="6"/>
  <c r="N25" i="6"/>
  <c r="R25" i="1" s="1"/>
  <c r="M25" i="6"/>
  <c r="L25" i="6"/>
  <c r="K25" i="6"/>
  <c r="J25" i="6"/>
  <c r="I25" i="6"/>
  <c r="H25" i="6"/>
  <c r="G25" i="6"/>
  <c r="F25" i="6"/>
  <c r="E25" i="6"/>
  <c r="N25" i="1" s="1"/>
  <c r="D25" i="6"/>
  <c r="C25" i="6"/>
  <c r="B25" i="6"/>
  <c r="A25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N24" i="1" s="1"/>
  <c r="D24" i="6"/>
  <c r="G24" i="1" s="1"/>
  <c r="C24" i="6"/>
  <c r="B24" i="6"/>
  <c r="A24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N23" i="1" s="1"/>
  <c r="D23" i="6"/>
  <c r="C23" i="6"/>
  <c r="B23" i="6"/>
  <c r="A23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B22" i="6"/>
  <c r="A22" i="6"/>
  <c r="T21" i="6"/>
  <c r="S21" i="6"/>
  <c r="R21" i="6"/>
  <c r="Q21" i="6"/>
  <c r="P21" i="6"/>
  <c r="O21" i="6"/>
  <c r="N21" i="6"/>
  <c r="R21" i="1" s="1"/>
  <c r="M21" i="6"/>
  <c r="L21" i="6"/>
  <c r="K21" i="6"/>
  <c r="J21" i="6"/>
  <c r="I21" i="6"/>
  <c r="H21" i="6"/>
  <c r="G21" i="6"/>
  <c r="F21" i="6"/>
  <c r="E21" i="6"/>
  <c r="N21" i="1" s="1"/>
  <c r="D21" i="6"/>
  <c r="C21" i="6"/>
  <c r="B21" i="6"/>
  <c r="A21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N20" i="1" s="1"/>
  <c r="D20" i="6"/>
  <c r="G20" i="1" s="1"/>
  <c r="C20" i="6"/>
  <c r="B20" i="6"/>
  <c r="A20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N19" i="1" s="1"/>
  <c r="D19" i="6"/>
  <c r="C19" i="6"/>
  <c r="B19" i="6"/>
  <c r="A19" i="6"/>
  <c r="T18" i="6"/>
  <c r="S18" i="6"/>
  <c r="R18" i="6"/>
  <c r="Q18" i="6"/>
  <c r="P18" i="6"/>
  <c r="O18" i="6"/>
  <c r="N18" i="6"/>
  <c r="R18" i="1" s="1"/>
  <c r="M18" i="6"/>
  <c r="L18" i="6"/>
  <c r="K18" i="6"/>
  <c r="J18" i="6"/>
  <c r="I18" i="6"/>
  <c r="H18" i="6"/>
  <c r="G18" i="6"/>
  <c r="F18" i="6"/>
  <c r="E18" i="6"/>
  <c r="D18" i="6"/>
  <c r="C18" i="6"/>
  <c r="B18" i="6"/>
  <c r="A18" i="6"/>
  <c r="T17" i="6"/>
  <c r="S17" i="6"/>
  <c r="R17" i="6"/>
  <c r="Q17" i="6"/>
  <c r="P17" i="6"/>
  <c r="O17" i="6"/>
  <c r="N17" i="6"/>
  <c r="R17" i="1" s="1"/>
  <c r="M17" i="6"/>
  <c r="L17" i="6"/>
  <c r="K17" i="6"/>
  <c r="J17" i="6"/>
  <c r="I17" i="6"/>
  <c r="H17" i="6"/>
  <c r="G17" i="6"/>
  <c r="F17" i="6"/>
  <c r="E17" i="6"/>
  <c r="D17" i="6"/>
  <c r="C17" i="6"/>
  <c r="B17" i="6"/>
  <c r="A17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N16" i="1" s="1"/>
  <c r="D16" i="6"/>
  <c r="G16" i="1" s="1"/>
  <c r="C16" i="6"/>
  <c r="B16" i="6"/>
  <c r="A16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N15" i="1" s="1"/>
  <c r="D15" i="6"/>
  <c r="C15" i="6"/>
  <c r="B15" i="6"/>
  <c r="A15" i="6"/>
  <c r="T14" i="6"/>
  <c r="S14" i="6"/>
  <c r="R14" i="6"/>
  <c r="Q14" i="6"/>
  <c r="P14" i="6"/>
  <c r="O14" i="6"/>
  <c r="N14" i="6"/>
  <c r="R14" i="1" s="1"/>
  <c r="M14" i="6"/>
  <c r="L14" i="6"/>
  <c r="K14" i="6"/>
  <c r="J14" i="6"/>
  <c r="I14" i="6"/>
  <c r="H14" i="6"/>
  <c r="G14" i="6"/>
  <c r="F14" i="6"/>
  <c r="E14" i="6"/>
  <c r="D14" i="6"/>
  <c r="C14" i="6"/>
  <c r="B14" i="6"/>
  <c r="A14" i="6"/>
  <c r="T13" i="6"/>
  <c r="S13" i="6"/>
  <c r="R13" i="6"/>
  <c r="Q13" i="6"/>
  <c r="P13" i="6"/>
  <c r="O13" i="6"/>
  <c r="N13" i="6"/>
  <c r="R13" i="1" s="1"/>
  <c r="M13" i="6"/>
  <c r="L13" i="6"/>
  <c r="K13" i="6"/>
  <c r="J13" i="6"/>
  <c r="I13" i="6"/>
  <c r="H13" i="6"/>
  <c r="G13" i="6"/>
  <c r="F13" i="6"/>
  <c r="E13" i="6"/>
  <c r="N13" i="1" s="1"/>
  <c r="D13" i="6"/>
  <c r="C13" i="6"/>
  <c r="B13" i="6"/>
  <c r="A13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G12" i="1" s="1"/>
  <c r="C12" i="6"/>
  <c r="B12" i="6"/>
  <c r="A12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N11" i="1" s="1"/>
  <c r="D11" i="6"/>
  <c r="C11" i="6"/>
  <c r="B11" i="6"/>
  <c r="A11" i="6"/>
  <c r="T10" i="6"/>
  <c r="S10" i="6"/>
  <c r="R10" i="6"/>
  <c r="Q10" i="6"/>
  <c r="P10" i="6"/>
  <c r="O10" i="6"/>
  <c r="N10" i="6"/>
  <c r="R10" i="1" s="1"/>
  <c r="M10" i="6"/>
  <c r="L10" i="6"/>
  <c r="K10" i="6"/>
  <c r="J10" i="6"/>
  <c r="I10" i="6"/>
  <c r="H10" i="6"/>
  <c r="G10" i="6"/>
  <c r="F10" i="6"/>
  <c r="E10" i="6"/>
  <c r="D10" i="6"/>
  <c r="C10" i="6"/>
  <c r="B10" i="6"/>
  <c r="A10" i="6"/>
  <c r="T9" i="6"/>
  <c r="S9" i="6"/>
  <c r="R9" i="6"/>
  <c r="Q9" i="6"/>
  <c r="P9" i="6"/>
  <c r="O9" i="6"/>
  <c r="N9" i="6"/>
  <c r="R9" i="1" s="1"/>
  <c r="M9" i="6"/>
  <c r="L9" i="6"/>
  <c r="K9" i="6"/>
  <c r="J9" i="6"/>
  <c r="I9" i="6"/>
  <c r="H9" i="6"/>
  <c r="G9" i="6"/>
  <c r="F9" i="6"/>
  <c r="E9" i="6"/>
  <c r="D9" i="6"/>
  <c r="C9" i="6"/>
  <c r="B9" i="6"/>
  <c r="A9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N8" i="1" s="1"/>
  <c r="D8" i="6"/>
  <c r="G8" i="1" s="1"/>
  <c r="C8" i="6"/>
  <c r="B8" i="6"/>
  <c r="A8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N7" i="1" s="1"/>
  <c r="D7" i="6"/>
  <c r="C7" i="6"/>
  <c r="B7" i="6"/>
  <c r="A7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B6" i="6"/>
  <c r="A6" i="6"/>
  <c r="T5" i="6"/>
  <c r="S5" i="6"/>
  <c r="R5" i="6"/>
  <c r="Q5" i="6"/>
  <c r="P5" i="6"/>
  <c r="O5" i="6"/>
  <c r="N5" i="6"/>
  <c r="R5" i="1" s="1"/>
  <c r="M5" i="6"/>
  <c r="L5" i="6"/>
  <c r="K5" i="6"/>
  <c r="J5" i="6"/>
  <c r="I5" i="6"/>
  <c r="H5" i="6"/>
  <c r="G5" i="6"/>
  <c r="F5" i="6"/>
  <c r="E5" i="6"/>
  <c r="N5" i="1" s="1"/>
  <c r="D5" i="6"/>
  <c r="C5" i="6"/>
  <c r="B5" i="6"/>
  <c r="A5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N4" i="1" s="1"/>
  <c r="D4" i="6"/>
  <c r="G4" i="1" s="1"/>
  <c r="C4" i="6"/>
  <c r="B4" i="6"/>
  <c r="A4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N3" i="1" s="1"/>
  <c r="D3" i="6"/>
  <c r="C3" i="6"/>
  <c r="B3" i="6"/>
  <c r="A3" i="6"/>
  <c r="T2" i="6"/>
  <c r="S2" i="6"/>
  <c r="R2" i="6"/>
  <c r="Q2" i="6"/>
  <c r="P2" i="6"/>
  <c r="O2" i="6"/>
  <c r="N2" i="6"/>
  <c r="R2" i="1" s="1"/>
  <c r="M2" i="6"/>
  <c r="L2" i="6"/>
  <c r="K2" i="6"/>
  <c r="J2" i="6"/>
  <c r="I2" i="6"/>
  <c r="H2" i="6"/>
  <c r="G2" i="6"/>
  <c r="F2" i="6"/>
  <c r="E2" i="6"/>
  <c r="D2" i="6"/>
  <c r="C2" i="6"/>
  <c r="B2" i="6"/>
  <c r="A2" i="6"/>
  <c r="T95" i="5"/>
  <c r="S95" i="5"/>
  <c r="R95" i="5"/>
  <c r="Q95" i="5"/>
  <c r="P95" i="5"/>
  <c r="O95" i="5"/>
  <c r="N95" i="5"/>
  <c r="Q95" i="1" s="1"/>
  <c r="M95" i="5"/>
  <c r="L95" i="5"/>
  <c r="K95" i="5"/>
  <c r="J95" i="5"/>
  <c r="I95" i="5"/>
  <c r="H95" i="5"/>
  <c r="G95" i="5"/>
  <c r="F95" i="5"/>
  <c r="E95" i="5"/>
  <c r="M95" i="1" s="1"/>
  <c r="D95" i="5"/>
  <c r="F95" i="1" s="1"/>
  <c r="C95" i="5"/>
  <c r="E95" i="1" s="1"/>
  <c r="B95" i="5"/>
  <c r="A95" i="5"/>
  <c r="T94" i="5"/>
  <c r="S94" i="5"/>
  <c r="R94" i="5"/>
  <c r="Q94" i="5"/>
  <c r="P94" i="5"/>
  <c r="O94" i="5"/>
  <c r="N94" i="5"/>
  <c r="M94" i="5"/>
  <c r="L94" i="5"/>
  <c r="K94" i="5"/>
  <c r="J94" i="5"/>
  <c r="I94" i="5"/>
  <c r="H94" i="5"/>
  <c r="G94" i="5"/>
  <c r="F94" i="5"/>
  <c r="J94" i="1" s="1"/>
  <c r="E94" i="5"/>
  <c r="M94" i="1" s="1"/>
  <c r="D94" i="5"/>
  <c r="F94" i="1" s="1"/>
  <c r="C94" i="5"/>
  <c r="E94" i="1" s="1"/>
  <c r="B94" i="5"/>
  <c r="A94" i="5"/>
  <c r="T93" i="5"/>
  <c r="S93" i="5"/>
  <c r="R93" i="5"/>
  <c r="Q93" i="5"/>
  <c r="P93" i="5"/>
  <c r="O93" i="5"/>
  <c r="N93" i="5"/>
  <c r="M93" i="5"/>
  <c r="L93" i="5"/>
  <c r="K93" i="5"/>
  <c r="J93" i="5"/>
  <c r="I93" i="5"/>
  <c r="H93" i="5"/>
  <c r="G93" i="5"/>
  <c r="F93" i="5"/>
  <c r="J93" i="1" s="1"/>
  <c r="E93" i="5"/>
  <c r="M93" i="1" s="1"/>
  <c r="D93" i="5"/>
  <c r="C93" i="5"/>
  <c r="E93" i="1" s="1"/>
  <c r="B93" i="5"/>
  <c r="A93" i="5"/>
  <c r="T92" i="5"/>
  <c r="S92" i="5"/>
  <c r="R92" i="5"/>
  <c r="Q92" i="5"/>
  <c r="P92" i="5"/>
  <c r="O92" i="5"/>
  <c r="N92" i="5"/>
  <c r="Q92" i="1" s="1"/>
  <c r="M92" i="5"/>
  <c r="L92" i="5"/>
  <c r="K92" i="5"/>
  <c r="J92" i="5"/>
  <c r="I92" i="5"/>
  <c r="H92" i="5"/>
  <c r="G92" i="5"/>
  <c r="F92" i="5"/>
  <c r="E92" i="5"/>
  <c r="D92" i="5"/>
  <c r="C92" i="5"/>
  <c r="E92" i="1" s="1"/>
  <c r="B92" i="5"/>
  <c r="A92" i="5"/>
  <c r="T91" i="5"/>
  <c r="S91" i="5"/>
  <c r="R91" i="5"/>
  <c r="Q91" i="5"/>
  <c r="P91" i="5"/>
  <c r="O91" i="5"/>
  <c r="N91" i="5"/>
  <c r="Q91" i="1" s="1"/>
  <c r="M91" i="5"/>
  <c r="L91" i="5"/>
  <c r="K91" i="5"/>
  <c r="J91" i="5"/>
  <c r="I91" i="5"/>
  <c r="H91" i="5"/>
  <c r="G91" i="5"/>
  <c r="F91" i="5"/>
  <c r="E91" i="5"/>
  <c r="D91" i="5"/>
  <c r="C91" i="5"/>
  <c r="E91" i="1" s="1"/>
  <c r="B91" i="5"/>
  <c r="A91" i="5"/>
  <c r="T90" i="5"/>
  <c r="S90" i="5"/>
  <c r="R90" i="5"/>
  <c r="Q90" i="5"/>
  <c r="P90" i="5"/>
  <c r="O90" i="5"/>
  <c r="N90" i="5"/>
  <c r="M90" i="5"/>
  <c r="L90" i="5"/>
  <c r="K90" i="5"/>
  <c r="J90" i="5"/>
  <c r="I90" i="5"/>
  <c r="H90" i="5"/>
  <c r="G90" i="5"/>
  <c r="F90" i="5"/>
  <c r="E90" i="5"/>
  <c r="M90" i="1" s="1"/>
  <c r="D90" i="5"/>
  <c r="F90" i="1" s="1"/>
  <c r="C90" i="5"/>
  <c r="E90" i="1" s="1"/>
  <c r="B90" i="5"/>
  <c r="A90" i="5"/>
  <c r="T89" i="5"/>
  <c r="S89" i="5"/>
  <c r="R89" i="5"/>
  <c r="Q89" i="5"/>
  <c r="P89" i="5"/>
  <c r="O89" i="5"/>
  <c r="N89" i="5"/>
  <c r="M89" i="5"/>
  <c r="L89" i="5"/>
  <c r="K89" i="5"/>
  <c r="J89" i="5"/>
  <c r="I89" i="5"/>
  <c r="H89" i="5"/>
  <c r="G89" i="5"/>
  <c r="F89" i="5"/>
  <c r="J89" i="1" s="1"/>
  <c r="E89" i="5"/>
  <c r="M89" i="1" s="1"/>
  <c r="D89" i="5"/>
  <c r="C89" i="5"/>
  <c r="E89" i="1" s="1"/>
  <c r="B89" i="5"/>
  <c r="A89" i="5"/>
  <c r="T88" i="5"/>
  <c r="S88" i="5"/>
  <c r="R88" i="5"/>
  <c r="Q88" i="5"/>
  <c r="P88" i="5"/>
  <c r="O88" i="5"/>
  <c r="N88" i="5"/>
  <c r="Q88" i="1" s="1"/>
  <c r="M88" i="5"/>
  <c r="L88" i="5"/>
  <c r="K88" i="5"/>
  <c r="J88" i="5"/>
  <c r="I88" i="5"/>
  <c r="H88" i="5"/>
  <c r="G88" i="5"/>
  <c r="F88" i="5"/>
  <c r="E88" i="5"/>
  <c r="D88" i="5"/>
  <c r="C88" i="5"/>
  <c r="E88" i="1" s="1"/>
  <c r="B88" i="5"/>
  <c r="A88" i="5"/>
  <c r="T87" i="5"/>
  <c r="S87" i="5"/>
  <c r="R87" i="5"/>
  <c r="Q87" i="5"/>
  <c r="P87" i="5"/>
  <c r="O87" i="5"/>
  <c r="N87" i="5"/>
  <c r="Q87" i="1" s="1"/>
  <c r="M87" i="5"/>
  <c r="L87" i="5"/>
  <c r="K87" i="5"/>
  <c r="J87" i="5"/>
  <c r="I87" i="5"/>
  <c r="H87" i="5"/>
  <c r="G87" i="5"/>
  <c r="F87" i="5"/>
  <c r="E87" i="5"/>
  <c r="M87" i="1" s="1"/>
  <c r="D87" i="5"/>
  <c r="F87" i="1" s="1"/>
  <c r="C87" i="5"/>
  <c r="E87" i="1" s="1"/>
  <c r="B87" i="5"/>
  <c r="A87" i="5"/>
  <c r="T86" i="5"/>
  <c r="S86" i="5"/>
  <c r="R86" i="5"/>
  <c r="Q86" i="5"/>
  <c r="P86" i="5"/>
  <c r="O86" i="5"/>
  <c r="N86" i="5"/>
  <c r="M86" i="5"/>
  <c r="L86" i="5"/>
  <c r="K86" i="5"/>
  <c r="J86" i="5"/>
  <c r="I86" i="5"/>
  <c r="H86" i="5"/>
  <c r="G86" i="5"/>
  <c r="F86" i="5"/>
  <c r="J86" i="1" s="1"/>
  <c r="E86" i="5"/>
  <c r="M86" i="1" s="1"/>
  <c r="D86" i="5"/>
  <c r="F86" i="1" s="1"/>
  <c r="C86" i="5"/>
  <c r="E86" i="1" s="1"/>
  <c r="B86" i="5"/>
  <c r="A86" i="5"/>
  <c r="T85" i="5"/>
  <c r="S85" i="5"/>
  <c r="R85" i="5"/>
  <c r="Q85" i="5"/>
  <c r="P85" i="5"/>
  <c r="O85" i="5"/>
  <c r="N85" i="5"/>
  <c r="M85" i="5"/>
  <c r="L85" i="5"/>
  <c r="K85" i="5"/>
  <c r="J85" i="5"/>
  <c r="I85" i="5"/>
  <c r="H85" i="5"/>
  <c r="G85" i="5"/>
  <c r="F85" i="5"/>
  <c r="J85" i="1" s="1"/>
  <c r="E85" i="5"/>
  <c r="M85" i="1" s="1"/>
  <c r="D85" i="5"/>
  <c r="C85" i="5"/>
  <c r="B85" i="5"/>
  <c r="A85" i="5"/>
  <c r="T84" i="5"/>
  <c r="S84" i="5"/>
  <c r="R84" i="5"/>
  <c r="Q84" i="5"/>
  <c r="P84" i="5"/>
  <c r="O84" i="5"/>
  <c r="N84" i="5"/>
  <c r="Q84" i="1" s="1"/>
  <c r="M84" i="5"/>
  <c r="L84" i="5"/>
  <c r="K84" i="5"/>
  <c r="J84" i="5"/>
  <c r="I84" i="5"/>
  <c r="H84" i="5"/>
  <c r="G84" i="5"/>
  <c r="F84" i="5"/>
  <c r="E84" i="5"/>
  <c r="D84" i="5"/>
  <c r="C84" i="5"/>
  <c r="E84" i="1" s="1"/>
  <c r="B84" i="5"/>
  <c r="A84" i="5"/>
  <c r="T83" i="5"/>
  <c r="S83" i="5"/>
  <c r="R83" i="5"/>
  <c r="Q83" i="5"/>
  <c r="P83" i="5"/>
  <c r="O83" i="5"/>
  <c r="N83" i="5"/>
  <c r="Q83" i="1" s="1"/>
  <c r="M83" i="5"/>
  <c r="L83" i="5"/>
  <c r="K83" i="5"/>
  <c r="J83" i="5"/>
  <c r="I83" i="5"/>
  <c r="H83" i="5"/>
  <c r="G83" i="5"/>
  <c r="F83" i="5"/>
  <c r="E83" i="5"/>
  <c r="D83" i="5"/>
  <c r="F83" i="1" s="1"/>
  <c r="C83" i="5"/>
  <c r="E83" i="1" s="1"/>
  <c r="B83" i="5"/>
  <c r="A83" i="5"/>
  <c r="T82" i="5"/>
  <c r="S82" i="5"/>
  <c r="R82" i="5"/>
  <c r="Q82" i="5"/>
  <c r="P82" i="5"/>
  <c r="O82" i="5"/>
  <c r="N82" i="5"/>
  <c r="M82" i="5"/>
  <c r="L82" i="5"/>
  <c r="K82" i="5"/>
  <c r="J82" i="5"/>
  <c r="I82" i="5"/>
  <c r="H82" i="5"/>
  <c r="G82" i="5"/>
  <c r="F82" i="5"/>
  <c r="E82" i="5"/>
  <c r="M82" i="1" s="1"/>
  <c r="D82" i="5"/>
  <c r="F82" i="1" s="1"/>
  <c r="C82" i="5"/>
  <c r="E82" i="1" s="1"/>
  <c r="B82" i="5"/>
  <c r="A82" i="5"/>
  <c r="T81" i="5"/>
  <c r="S81" i="5"/>
  <c r="R81" i="5"/>
  <c r="Q81" i="5"/>
  <c r="P81" i="5"/>
  <c r="O81" i="5"/>
  <c r="N81" i="5"/>
  <c r="M81" i="5"/>
  <c r="L81" i="5"/>
  <c r="K81" i="5"/>
  <c r="J81" i="5"/>
  <c r="I81" i="5"/>
  <c r="H81" i="5"/>
  <c r="G81" i="5"/>
  <c r="F81" i="5"/>
  <c r="J81" i="1" s="1"/>
  <c r="E81" i="5"/>
  <c r="M81" i="1" s="1"/>
  <c r="D81" i="5"/>
  <c r="C81" i="5"/>
  <c r="E81" i="1" s="1"/>
  <c r="B81" i="5"/>
  <c r="A81" i="5"/>
  <c r="T80" i="5"/>
  <c r="S80" i="5"/>
  <c r="R80" i="5"/>
  <c r="Q80" i="5"/>
  <c r="P80" i="5"/>
  <c r="O80" i="5"/>
  <c r="N80" i="5"/>
  <c r="Q80" i="1" s="1"/>
  <c r="M80" i="5"/>
  <c r="L80" i="5"/>
  <c r="K80" i="5"/>
  <c r="J80" i="5"/>
  <c r="I80" i="5"/>
  <c r="H80" i="5"/>
  <c r="G80" i="5"/>
  <c r="F80" i="5"/>
  <c r="J80" i="1" s="1"/>
  <c r="E80" i="5"/>
  <c r="D80" i="5"/>
  <c r="C80" i="5"/>
  <c r="E80" i="1" s="1"/>
  <c r="B80" i="5"/>
  <c r="A80" i="5"/>
  <c r="T79" i="5"/>
  <c r="S79" i="5"/>
  <c r="R79" i="5"/>
  <c r="Q79" i="5"/>
  <c r="P79" i="5"/>
  <c r="O79" i="5"/>
  <c r="N79" i="5"/>
  <c r="Q79" i="1" s="1"/>
  <c r="M79" i="5"/>
  <c r="L79" i="5"/>
  <c r="K79" i="5"/>
  <c r="J79" i="5"/>
  <c r="I79" i="5"/>
  <c r="H79" i="5"/>
  <c r="G79" i="5"/>
  <c r="F79" i="5"/>
  <c r="E79" i="5"/>
  <c r="M79" i="1" s="1"/>
  <c r="D79" i="5"/>
  <c r="F79" i="1" s="1"/>
  <c r="C79" i="5"/>
  <c r="E79" i="1" s="1"/>
  <c r="B79" i="5"/>
  <c r="A79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F78" i="5"/>
  <c r="J78" i="1" s="1"/>
  <c r="E78" i="5"/>
  <c r="D78" i="5"/>
  <c r="F78" i="1" s="1"/>
  <c r="C78" i="5"/>
  <c r="B78" i="5"/>
  <c r="A78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J77" i="1" s="1"/>
  <c r="E77" i="5"/>
  <c r="M77" i="1" s="1"/>
  <c r="D77" i="5"/>
  <c r="C77" i="5"/>
  <c r="B77" i="5"/>
  <c r="A77" i="5"/>
  <c r="T76" i="5"/>
  <c r="S76" i="5"/>
  <c r="R76" i="5"/>
  <c r="Q76" i="5"/>
  <c r="P76" i="5"/>
  <c r="O76" i="5"/>
  <c r="N76" i="5"/>
  <c r="Q76" i="1" s="1"/>
  <c r="M76" i="5"/>
  <c r="L76" i="5"/>
  <c r="K76" i="5"/>
  <c r="J76" i="5"/>
  <c r="I76" i="5"/>
  <c r="H76" i="5"/>
  <c r="G76" i="5"/>
  <c r="F76" i="5"/>
  <c r="J76" i="1" s="1"/>
  <c r="E76" i="5"/>
  <c r="D76" i="5"/>
  <c r="C76" i="5"/>
  <c r="B76" i="5"/>
  <c r="A76" i="5"/>
  <c r="T75" i="5"/>
  <c r="S75" i="5"/>
  <c r="R75" i="5"/>
  <c r="Q75" i="5"/>
  <c r="P75" i="5"/>
  <c r="O75" i="5"/>
  <c r="N75" i="5"/>
  <c r="Q75" i="1" s="1"/>
  <c r="M75" i="5"/>
  <c r="L75" i="5"/>
  <c r="K75" i="5"/>
  <c r="J75" i="5"/>
  <c r="I75" i="5"/>
  <c r="H75" i="5"/>
  <c r="G75" i="5"/>
  <c r="F75" i="5"/>
  <c r="E75" i="5"/>
  <c r="D75" i="5"/>
  <c r="F75" i="1" s="1"/>
  <c r="C75" i="5"/>
  <c r="E75" i="1" s="1"/>
  <c r="B75" i="5"/>
  <c r="A75" i="5"/>
  <c r="T74" i="5"/>
  <c r="S74" i="5"/>
  <c r="R74" i="5"/>
  <c r="Q74" i="5"/>
  <c r="P74" i="5"/>
  <c r="O74" i="5"/>
  <c r="N74" i="5"/>
  <c r="M74" i="5"/>
  <c r="L74" i="5"/>
  <c r="K74" i="5"/>
  <c r="J74" i="5"/>
  <c r="I74" i="5"/>
  <c r="H74" i="5"/>
  <c r="G74" i="5"/>
  <c r="F74" i="5"/>
  <c r="J74" i="1" s="1"/>
  <c r="E74" i="5"/>
  <c r="M74" i="1" s="1"/>
  <c r="D74" i="5"/>
  <c r="F74" i="1" s="1"/>
  <c r="C74" i="5"/>
  <c r="B74" i="5"/>
  <c r="A74" i="5"/>
  <c r="T73" i="5"/>
  <c r="S73" i="5"/>
  <c r="R73" i="5"/>
  <c r="Q73" i="5"/>
  <c r="P73" i="5"/>
  <c r="O73" i="5"/>
  <c r="N73" i="5"/>
  <c r="M73" i="5"/>
  <c r="L73" i="5"/>
  <c r="K73" i="5"/>
  <c r="J73" i="5"/>
  <c r="I73" i="5"/>
  <c r="H73" i="5"/>
  <c r="G73" i="5"/>
  <c r="F73" i="5"/>
  <c r="J73" i="1" s="1"/>
  <c r="E73" i="5"/>
  <c r="M73" i="1" s="1"/>
  <c r="D73" i="5"/>
  <c r="C73" i="5"/>
  <c r="E73" i="1" s="1"/>
  <c r="B73" i="5"/>
  <c r="A73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J72" i="1" s="1"/>
  <c r="E72" i="5"/>
  <c r="D72" i="5"/>
  <c r="C72" i="5"/>
  <c r="B72" i="5"/>
  <c r="A72" i="5"/>
  <c r="T71" i="5"/>
  <c r="S71" i="5"/>
  <c r="R71" i="5"/>
  <c r="Q71" i="5"/>
  <c r="P71" i="5"/>
  <c r="O71" i="5"/>
  <c r="N71" i="5"/>
  <c r="Q71" i="1" s="1"/>
  <c r="M71" i="5"/>
  <c r="L71" i="5"/>
  <c r="K71" i="5"/>
  <c r="J71" i="5"/>
  <c r="I71" i="5"/>
  <c r="H71" i="5"/>
  <c r="G71" i="5"/>
  <c r="F71" i="5"/>
  <c r="E71" i="5"/>
  <c r="D71" i="5"/>
  <c r="F71" i="1" s="1"/>
  <c r="C71" i="5"/>
  <c r="E71" i="1" s="1"/>
  <c r="B71" i="5"/>
  <c r="A71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J70" i="1" s="1"/>
  <c r="E70" i="5"/>
  <c r="M70" i="1" s="1"/>
  <c r="D70" i="5"/>
  <c r="F70" i="1" s="1"/>
  <c r="C70" i="5"/>
  <c r="B70" i="5"/>
  <c r="A70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J69" i="1" s="1"/>
  <c r="E69" i="5"/>
  <c r="M69" i="1" s="1"/>
  <c r="D69" i="5"/>
  <c r="C69" i="5"/>
  <c r="B69" i="5"/>
  <c r="A69" i="5"/>
  <c r="T68" i="5"/>
  <c r="S68" i="5"/>
  <c r="R68" i="5"/>
  <c r="Q68" i="5"/>
  <c r="P68" i="5"/>
  <c r="O68" i="5"/>
  <c r="N68" i="5"/>
  <c r="Q68" i="1" s="1"/>
  <c r="M68" i="5"/>
  <c r="L68" i="5"/>
  <c r="K68" i="5"/>
  <c r="J68" i="5"/>
  <c r="I68" i="5"/>
  <c r="H68" i="5"/>
  <c r="G68" i="5"/>
  <c r="F68" i="5"/>
  <c r="J68" i="1" s="1"/>
  <c r="E68" i="5"/>
  <c r="D68" i="5"/>
  <c r="C68" i="5"/>
  <c r="B68" i="5"/>
  <c r="A68" i="5"/>
  <c r="T67" i="5"/>
  <c r="S67" i="5"/>
  <c r="R67" i="5"/>
  <c r="Q67" i="5"/>
  <c r="P67" i="5"/>
  <c r="O67" i="5"/>
  <c r="N67" i="5"/>
  <c r="Q67" i="1" s="1"/>
  <c r="M67" i="5"/>
  <c r="L67" i="5"/>
  <c r="K67" i="5"/>
  <c r="J67" i="5"/>
  <c r="I67" i="5"/>
  <c r="H67" i="5"/>
  <c r="G67" i="5"/>
  <c r="F67" i="5"/>
  <c r="E67" i="5"/>
  <c r="M67" i="1" s="1"/>
  <c r="D67" i="5"/>
  <c r="C67" i="5"/>
  <c r="E67" i="1" s="1"/>
  <c r="B67" i="5"/>
  <c r="A67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J66" i="1" s="1"/>
  <c r="E66" i="5"/>
  <c r="M66" i="1" s="1"/>
  <c r="D66" i="5"/>
  <c r="F66" i="1" s="1"/>
  <c r="C66" i="5"/>
  <c r="B66" i="5"/>
  <c r="A66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J65" i="1" s="1"/>
  <c r="E65" i="5"/>
  <c r="M65" i="1" s="1"/>
  <c r="D65" i="5"/>
  <c r="C65" i="5"/>
  <c r="E65" i="1" s="1"/>
  <c r="B65" i="5"/>
  <c r="A65" i="5"/>
  <c r="T64" i="5"/>
  <c r="S64" i="5"/>
  <c r="R64" i="5"/>
  <c r="Q64" i="5"/>
  <c r="P64" i="5"/>
  <c r="O64" i="5"/>
  <c r="N64" i="5"/>
  <c r="Q64" i="1" s="1"/>
  <c r="M64" i="5"/>
  <c r="L64" i="5"/>
  <c r="K64" i="5"/>
  <c r="J64" i="5"/>
  <c r="I64" i="5"/>
  <c r="H64" i="5"/>
  <c r="G64" i="5"/>
  <c r="F64" i="5"/>
  <c r="E64" i="5"/>
  <c r="D64" i="5"/>
  <c r="C64" i="5"/>
  <c r="B64" i="5"/>
  <c r="A64" i="5"/>
  <c r="T63" i="5"/>
  <c r="S63" i="5"/>
  <c r="R63" i="5"/>
  <c r="Q63" i="5"/>
  <c r="P63" i="5"/>
  <c r="O63" i="5"/>
  <c r="N63" i="5"/>
  <c r="Q63" i="1" s="1"/>
  <c r="M63" i="5"/>
  <c r="L63" i="5"/>
  <c r="K63" i="5"/>
  <c r="J63" i="5"/>
  <c r="I63" i="5"/>
  <c r="H63" i="5"/>
  <c r="G63" i="5"/>
  <c r="F63" i="5"/>
  <c r="E63" i="5"/>
  <c r="M63" i="1" s="1"/>
  <c r="D63" i="5"/>
  <c r="F63" i="1" s="1"/>
  <c r="C63" i="5"/>
  <c r="E63" i="1" s="1"/>
  <c r="B63" i="5"/>
  <c r="A63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J62" i="1" s="1"/>
  <c r="E62" i="5"/>
  <c r="M62" i="1" s="1"/>
  <c r="D62" i="5"/>
  <c r="F62" i="1" s="1"/>
  <c r="C62" i="5"/>
  <c r="B62" i="5"/>
  <c r="A62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J61" i="1" s="1"/>
  <c r="E61" i="5"/>
  <c r="M61" i="1" s="1"/>
  <c r="D61" i="5"/>
  <c r="C61" i="5"/>
  <c r="B61" i="5"/>
  <c r="A61" i="5"/>
  <c r="T60" i="5"/>
  <c r="S60" i="5"/>
  <c r="R60" i="5"/>
  <c r="Q60" i="5"/>
  <c r="P60" i="5"/>
  <c r="O60" i="5"/>
  <c r="N60" i="5"/>
  <c r="Q60" i="1" s="1"/>
  <c r="M60" i="5"/>
  <c r="L60" i="5"/>
  <c r="K60" i="5"/>
  <c r="J60" i="5"/>
  <c r="I60" i="5"/>
  <c r="H60" i="5"/>
  <c r="G60" i="5"/>
  <c r="F60" i="5"/>
  <c r="E60" i="5"/>
  <c r="D60" i="5"/>
  <c r="C60" i="5"/>
  <c r="B60" i="5"/>
  <c r="A60" i="5"/>
  <c r="T59" i="5"/>
  <c r="S59" i="5"/>
  <c r="R59" i="5"/>
  <c r="Q59" i="5"/>
  <c r="P59" i="5"/>
  <c r="O59" i="5"/>
  <c r="N59" i="5"/>
  <c r="Q59" i="1" s="1"/>
  <c r="M59" i="5"/>
  <c r="L59" i="5"/>
  <c r="K59" i="5"/>
  <c r="J59" i="5"/>
  <c r="I59" i="5"/>
  <c r="H59" i="5"/>
  <c r="G59" i="5"/>
  <c r="F59" i="5"/>
  <c r="E59" i="5"/>
  <c r="M59" i="1" s="1"/>
  <c r="D59" i="5"/>
  <c r="C59" i="5"/>
  <c r="E59" i="1" s="1"/>
  <c r="B59" i="5"/>
  <c r="A59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J58" i="1" s="1"/>
  <c r="E58" i="5"/>
  <c r="M58" i="1" s="1"/>
  <c r="D58" i="5"/>
  <c r="F58" i="1" s="1"/>
  <c r="C58" i="5"/>
  <c r="B58" i="5"/>
  <c r="A58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J57" i="1" s="1"/>
  <c r="E57" i="5"/>
  <c r="M57" i="1" s="1"/>
  <c r="D57" i="5"/>
  <c r="C57" i="5"/>
  <c r="E57" i="1" s="1"/>
  <c r="B57" i="5"/>
  <c r="A57" i="5"/>
  <c r="T56" i="5"/>
  <c r="S56" i="5"/>
  <c r="R56" i="5"/>
  <c r="Q56" i="5"/>
  <c r="P56" i="5"/>
  <c r="O56" i="5"/>
  <c r="N56" i="5"/>
  <c r="Q56" i="1" s="1"/>
  <c r="M56" i="5"/>
  <c r="L56" i="5"/>
  <c r="K56" i="5"/>
  <c r="J56" i="5"/>
  <c r="I56" i="5"/>
  <c r="H56" i="5"/>
  <c r="G56" i="5"/>
  <c r="F56" i="5"/>
  <c r="E56" i="5"/>
  <c r="D56" i="5"/>
  <c r="C56" i="5"/>
  <c r="B56" i="5"/>
  <c r="A56" i="5"/>
  <c r="T55" i="5"/>
  <c r="S55" i="5"/>
  <c r="R55" i="5"/>
  <c r="Q55" i="5"/>
  <c r="P55" i="5"/>
  <c r="O55" i="5"/>
  <c r="N55" i="5"/>
  <c r="Q55" i="1" s="1"/>
  <c r="M55" i="5"/>
  <c r="L55" i="5"/>
  <c r="K55" i="5"/>
  <c r="J55" i="5"/>
  <c r="I55" i="5"/>
  <c r="H55" i="5"/>
  <c r="G55" i="5"/>
  <c r="F55" i="5"/>
  <c r="E55" i="5"/>
  <c r="M55" i="1" s="1"/>
  <c r="D55" i="5"/>
  <c r="F55" i="1" s="1"/>
  <c r="C55" i="5"/>
  <c r="E55" i="1" s="1"/>
  <c r="B55" i="5"/>
  <c r="A55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J54" i="1" s="1"/>
  <c r="E54" i="5"/>
  <c r="M54" i="1" s="1"/>
  <c r="D54" i="5"/>
  <c r="F54" i="1" s="1"/>
  <c r="C54" i="5"/>
  <c r="B54" i="5"/>
  <c r="A54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J53" i="1" s="1"/>
  <c r="E53" i="5"/>
  <c r="M53" i="1" s="1"/>
  <c r="D53" i="5"/>
  <c r="C53" i="5"/>
  <c r="B53" i="5"/>
  <c r="A53" i="5"/>
  <c r="T52" i="5"/>
  <c r="S52" i="5"/>
  <c r="R52" i="5"/>
  <c r="Q52" i="5"/>
  <c r="P52" i="5"/>
  <c r="O52" i="5"/>
  <c r="N52" i="5"/>
  <c r="Q52" i="1" s="1"/>
  <c r="M52" i="5"/>
  <c r="L52" i="5"/>
  <c r="K52" i="5"/>
  <c r="J52" i="5"/>
  <c r="I52" i="5"/>
  <c r="H52" i="5"/>
  <c r="G52" i="5"/>
  <c r="F52" i="5"/>
  <c r="E52" i="5"/>
  <c r="D52" i="5"/>
  <c r="C52" i="5"/>
  <c r="B52" i="5"/>
  <c r="A52" i="5"/>
  <c r="T51" i="5"/>
  <c r="S51" i="5"/>
  <c r="R51" i="5"/>
  <c r="Q51" i="5"/>
  <c r="P51" i="5"/>
  <c r="O51" i="5"/>
  <c r="N51" i="5"/>
  <c r="Q51" i="1" s="1"/>
  <c r="M51" i="5"/>
  <c r="L51" i="5"/>
  <c r="K51" i="5"/>
  <c r="J51" i="5"/>
  <c r="I51" i="5"/>
  <c r="H51" i="5"/>
  <c r="G51" i="5"/>
  <c r="F51" i="5"/>
  <c r="E51" i="5"/>
  <c r="M51" i="1" s="1"/>
  <c r="D51" i="5"/>
  <c r="C51" i="5"/>
  <c r="E51" i="1" s="1"/>
  <c r="B51" i="5"/>
  <c r="A51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J50" i="1" s="1"/>
  <c r="E50" i="5"/>
  <c r="M50" i="1" s="1"/>
  <c r="D50" i="5"/>
  <c r="F50" i="1" s="1"/>
  <c r="C50" i="5"/>
  <c r="B50" i="5"/>
  <c r="A50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J49" i="1" s="1"/>
  <c r="E49" i="5"/>
  <c r="M49" i="1" s="1"/>
  <c r="D49" i="5"/>
  <c r="C49" i="5"/>
  <c r="E49" i="1" s="1"/>
  <c r="B49" i="5"/>
  <c r="A49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B48" i="5"/>
  <c r="A48" i="5"/>
  <c r="T47" i="5"/>
  <c r="S47" i="5"/>
  <c r="R47" i="5"/>
  <c r="Q47" i="5"/>
  <c r="P47" i="5"/>
  <c r="O47" i="5"/>
  <c r="N47" i="5"/>
  <c r="Q47" i="1" s="1"/>
  <c r="M47" i="5"/>
  <c r="L47" i="5"/>
  <c r="K47" i="5"/>
  <c r="J47" i="5"/>
  <c r="I47" i="5"/>
  <c r="H47" i="5"/>
  <c r="G47" i="5"/>
  <c r="F47" i="5"/>
  <c r="E47" i="5"/>
  <c r="M47" i="1" s="1"/>
  <c r="D47" i="5"/>
  <c r="F47" i="1" s="1"/>
  <c r="C47" i="5"/>
  <c r="E47" i="1" s="1"/>
  <c r="B47" i="5"/>
  <c r="A47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J46" i="1" s="1"/>
  <c r="E46" i="5"/>
  <c r="M46" i="1" s="1"/>
  <c r="D46" i="5"/>
  <c r="F46" i="1" s="1"/>
  <c r="C46" i="5"/>
  <c r="B46" i="5"/>
  <c r="A46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J45" i="1" s="1"/>
  <c r="E45" i="5"/>
  <c r="M45" i="1" s="1"/>
  <c r="D45" i="5"/>
  <c r="C45" i="5"/>
  <c r="B45" i="5"/>
  <c r="A45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B44" i="5"/>
  <c r="A44" i="5"/>
  <c r="T43" i="5"/>
  <c r="S43" i="5"/>
  <c r="R43" i="5"/>
  <c r="Q43" i="5"/>
  <c r="P43" i="5"/>
  <c r="O43" i="5"/>
  <c r="N43" i="5"/>
  <c r="Q43" i="1" s="1"/>
  <c r="M43" i="5"/>
  <c r="L43" i="5"/>
  <c r="K43" i="5"/>
  <c r="J43" i="5"/>
  <c r="I43" i="5"/>
  <c r="H43" i="5"/>
  <c r="G43" i="5"/>
  <c r="F43" i="5"/>
  <c r="E43" i="5"/>
  <c r="D43" i="5"/>
  <c r="C43" i="5"/>
  <c r="E43" i="1" s="1"/>
  <c r="B43" i="5"/>
  <c r="A43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J42" i="1" s="1"/>
  <c r="E42" i="5"/>
  <c r="M42" i="1" s="1"/>
  <c r="D42" i="5"/>
  <c r="F42" i="1" s="1"/>
  <c r="C42" i="5"/>
  <c r="B42" i="5"/>
  <c r="A42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J41" i="1" s="1"/>
  <c r="E41" i="5"/>
  <c r="M41" i="1" s="1"/>
  <c r="D41" i="5"/>
  <c r="C41" i="5"/>
  <c r="E41" i="1" s="1"/>
  <c r="B41" i="5"/>
  <c r="A41" i="5"/>
  <c r="T40" i="5"/>
  <c r="S40" i="5"/>
  <c r="R40" i="5"/>
  <c r="Q40" i="5"/>
  <c r="P40" i="5"/>
  <c r="O40" i="5"/>
  <c r="N40" i="5"/>
  <c r="Q40" i="1" s="1"/>
  <c r="M40" i="5"/>
  <c r="L40" i="5"/>
  <c r="K40" i="5"/>
  <c r="J40" i="5"/>
  <c r="I40" i="5"/>
  <c r="H40" i="5"/>
  <c r="G40" i="5"/>
  <c r="F40" i="5"/>
  <c r="E40" i="5"/>
  <c r="D40" i="5"/>
  <c r="C40" i="5"/>
  <c r="B40" i="5"/>
  <c r="A40" i="5"/>
  <c r="T39" i="5"/>
  <c r="S39" i="5"/>
  <c r="R39" i="5"/>
  <c r="Q39" i="5"/>
  <c r="P39" i="5"/>
  <c r="O39" i="5"/>
  <c r="N39" i="5"/>
  <c r="Q39" i="1" s="1"/>
  <c r="M39" i="5"/>
  <c r="L39" i="5"/>
  <c r="K39" i="5"/>
  <c r="J39" i="5"/>
  <c r="I39" i="5"/>
  <c r="H39" i="5"/>
  <c r="G39" i="5"/>
  <c r="F39" i="5"/>
  <c r="E39" i="5"/>
  <c r="M39" i="1" s="1"/>
  <c r="D39" i="5"/>
  <c r="F39" i="1" s="1"/>
  <c r="C39" i="5"/>
  <c r="E39" i="1" s="1"/>
  <c r="B39" i="5"/>
  <c r="A39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J38" i="1" s="1"/>
  <c r="E38" i="5"/>
  <c r="M38" i="1" s="1"/>
  <c r="D38" i="5"/>
  <c r="F38" i="1" s="1"/>
  <c r="C38" i="5"/>
  <c r="B38" i="5"/>
  <c r="A38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J37" i="1" s="1"/>
  <c r="E37" i="5"/>
  <c r="M37" i="1" s="1"/>
  <c r="D37" i="5"/>
  <c r="C37" i="5"/>
  <c r="B37" i="5"/>
  <c r="A37" i="5"/>
  <c r="T36" i="5"/>
  <c r="S36" i="5"/>
  <c r="R36" i="5"/>
  <c r="Q36" i="5"/>
  <c r="P36" i="5"/>
  <c r="O36" i="5"/>
  <c r="N36" i="5"/>
  <c r="Q36" i="1" s="1"/>
  <c r="M36" i="5"/>
  <c r="L36" i="5"/>
  <c r="K36" i="5"/>
  <c r="J36" i="5"/>
  <c r="I36" i="5"/>
  <c r="H36" i="5"/>
  <c r="G36" i="5"/>
  <c r="F36" i="5"/>
  <c r="E36" i="5"/>
  <c r="D36" i="5"/>
  <c r="C36" i="5"/>
  <c r="B36" i="5"/>
  <c r="A36" i="5"/>
  <c r="T35" i="5"/>
  <c r="S35" i="5"/>
  <c r="R35" i="5"/>
  <c r="Q35" i="5"/>
  <c r="P35" i="5"/>
  <c r="O35" i="5"/>
  <c r="N35" i="5"/>
  <c r="Q35" i="1" s="1"/>
  <c r="M35" i="5"/>
  <c r="L35" i="5"/>
  <c r="K35" i="5"/>
  <c r="J35" i="5"/>
  <c r="I35" i="5"/>
  <c r="H35" i="5"/>
  <c r="G35" i="5"/>
  <c r="F35" i="5"/>
  <c r="E35" i="5"/>
  <c r="D35" i="5"/>
  <c r="C35" i="5"/>
  <c r="E35" i="1" s="1"/>
  <c r="B35" i="5"/>
  <c r="A35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J34" i="1" s="1"/>
  <c r="E34" i="5"/>
  <c r="M34" i="1" s="1"/>
  <c r="D34" i="5"/>
  <c r="F34" i="1" s="1"/>
  <c r="C34" i="5"/>
  <c r="B34" i="5"/>
  <c r="A34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J33" i="1" s="1"/>
  <c r="E33" i="5"/>
  <c r="M33" i="1" s="1"/>
  <c r="D33" i="5"/>
  <c r="C33" i="5"/>
  <c r="E33" i="1" s="1"/>
  <c r="B33" i="5"/>
  <c r="A33" i="5"/>
  <c r="T32" i="5"/>
  <c r="S32" i="5"/>
  <c r="R32" i="5"/>
  <c r="Q32" i="5"/>
  <c r="P32" i="5"/>
  <c r="O32" i="5"/>
  <c r="N32" i="5"/>
  <c r="Q32" i="1" s="1"/>
  <c r="M32" i="5"/>
  <c r="L32" i="5"/>
  <c r="K32" i="5"/>
  <c r="J32" i="5"/>
  <c r="I32" i="5"/>
  <c r="H32" i="5"/>
  <c r="G32" i="5"/>
  <c r="F32" i="5"/>
  <c r="E32" i="5"/>
  <c r="D32" i="5"/>
  <c r="C32" i="5"/>
  <c r="B32" i="5"/>
  <c r="A32" i="5"/>
  <c r="T31" i="5"/>
  <c r="S31" i="5"/>
  <c r="R31" i="5"/>
  <c r="Q31" i="5"/>
  <c r="P31" i="5"/>
  <c r="O31" i="5"/>
  <c r="N31" i="5"/>
  <c r="Q31" i="1" s="1"/>
  <c r="M31" i="5"/>
  <c r="L31" i="5"/>
  <c r="K31" i="5"/>
  <c r="J31" i="5"/>
  <c r="I31" i="5"/>
  <c r="H31" i="5"/>
  <c r="G31" i="5"/>
  <c r="F31" i="5"/>
  <c r="E31" i="5"/>
  <c r="M31" i="1" s="1"/>
  <c r="D31" i="5"/>
  <c r="F31" i="1" s="1"/>
  <c r="C31" i="5"/>
  <c r="E31" i="1" s="1"/>
  <c r="B31" i="5"/>
  <c r="A31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J30" i="1" s="1"/>
  <c r="E30" i="5"/>
  <c r="M30" i="1" s="1"/>
  <c r="D30" i="5"/>
  <c r="F30" i="1" s="1"/>
  <c r="C30" i="5"/>
  <c r="B30" i="5"/>
  <c r="A30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J29" i="1" s="1"/>
  <c r="E29" i="5"/>
  <c r="M29" i="1" s="1"/>
  <c r="D29" i="5"/>
  <c r="C29" i="5"/>
  <c r="B29" i="5"/>
  <c r="A29" i="5"/>
  <c r="T28" i="5"/>
  <c r="S28" i="5"/>
  <c r="R28" i="5"/>
  <c r="Q28" i="5"/>
  <c r="P28" i="5"/>
  <c r="O28" i="5"/>
  <c r="N28" i="5"/>
  <c r="Q28" i="1" s="1"/>
  <c r="M28" i="5"/>
  <c r="L28" i="5"/>
  <c r="K28" i="5"/>
  <c r="J28" i="5"/>
  <c r="I28" i="5"/>
  <c r="H28" i="5"/>
  <c r="G28" i="5"/>
  <c r="F28" i="5"/>
  <c r="E28" i="5"/>
  <c r="D28" i="5"/>
  <c r="C28" i="5"/>
  <c r="B28" i="5"/>
  <c r="A28" i="5"/>
  <c r="T27" i="5"/>
  <c r="S27" i="5"/>
  <c r="R27" i="5"/>
  <c r="Q27" i="5"/>
  <c r="P27" i="5"/>
  <c r="O27" i="5"/>
  <c r="N27" i="5"/>
  <c r="Q27" i="1" s="1"/>
  <c r="M27" i="5"/>
  <c r="L27" i="5"/>
  <c r="K27" i="5"/>
  <c r="J27" i="5"/>
  <c r="I27" i="5"/>
  <c r="H27" i="5"/>
  <c r="G27" i="5"/>
  <c r="F27" i="5"/>
  <c r="E27" i="5"/>
  <c r="D27" i="5"/>
  <c r="C27" i="5"/>
  <c r="E27" i="1" s="1"/>
  <c r="B27" i="5"/>
  <c r="A27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J26" i="1" s="1"/>
  <c r="E26" i="5"/>
  <c r="M26" i="1" s="1"/>
  <c r="D26" i="5"/>
  <c r="F26" i="1" s="1"/>
  <c r="C26" i="5"/>
  <c r="B26" i="5"/>
  <c r="A26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J25" i="1" s="1"/>
  <c r="E25" i="5"/>
  <c r="M25" i="1" s="1"/>
  <c r="D25" i="5"/>
  <c r="C25" i="5"/>
  <c r="E25" i="1" s="1"/>
  <c r="B25" i="5"/>
  <c r="A25" i="5"/>
  <c r="T24" i="5"/>
  <c r="S24" i="5"/>
  <c r="R24" i="5"/>
  <c r="Q24" i="5"/>
  <c r="P24" i="5"/>
  <c r="O24" i="5"/>
  <c r="N24" i="5"/>
  <c r="Q24" i="1" s="1"/>
  <c r="M24" i="5"/>
  <c r="L24" i="5"/>
  <c r="K24" i="5"/>
  <c r="J24" i="5"/>
  <c r="I24" i="5"/>
  <c r="H24" i="5"/>
  <c r="G24" i="5"/>
  <c r="F24" i="5"/>
  <c r="E24" i="5"/>
  <c r="D24" i="5"/>
  <c r="C24" i="5"/>
  <c r="B24" i="5"/>
  <c r="A24" i="5"/>
  <c r="T23" i="5"/>
  <c r="S23" i="5"/>
  <c r="R23" i="5"/>
  <c r="Q23" i="5"/>
  <c r="P23" i="5"/>
  <c r="O23" i="5"/>
  <c r="N23" i="5"/>
  <c r="Q23" i="1" s="1"/>
  <c r="M23" i="5"/>
  <c r="L23" i="5"/>
  <c r="K23" i="5"/>
  <c r="J23" i="5"/>
  <c r="I23" i="5"/>
  <c r="H23" i="5"/>
  <c r="G23" i="5"/>
  <c r="F23" i="5"/>
  <c r="E23" i="5"/>
  <c r="M23" i="1" s="1"/>
  <c r="D23" i="5"/>
  <c r="F23" i="1" s="1"/>
  <c r="C23" i="5"/>
  <c r="E23" i="1" s="1"/>
  <c r="B23" i="5"/>
  <c r="A23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J22" i="1" s="1"/>
  <c r="E22" i="5"/>
  <c r="M22" i="1" s="1"/>
  <c r="D22" i="5"/>
  <c r="F22" i="1" s="1"/>
  <c r="C22" i="5"/>
  <c r="B22" i="5"/>
  <c r="A22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J21" i="1" s="1"/>
  <c r="E21" i="5"/>
  <c r="M21" i="1" s="1"/>
  <c r="D21" i="5"/>
  <c r="C21" i="5"/>
  <c r="B21" i="5"/>
  <c r="A21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A20" i="5"/>
  <c r="T19" i="5"/>
  <c r="S19" i="5"/>
  <c r="R19" i="5"/>
  <c r="Q19" i="5"/>
  <c r="P19" i="5"/>
  <c r="O19" i="5"/>
  <c r="N19" i="5"/>
  <c r="Q19" i="1" s="1"/>
  <c r="M19" i="5"/>
  <c r="L19" i="5"/>
  <c r="K19" i="5"/>
  <c r="J19" i="5"/>
  <c r="I19" i="5"/>
  <c r="H19" i="5"/>
  <c r="G19" i="5"/>
  <c r="F19" i="5"/>
  <c r="E19" i="5"/>
  <c r="M19" i="1" s="1"/>
  <c r="D19" i="5"/>
  <c r="C19" i="5"/>
  <c r="B19" i="5"/>
  <c r="A19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J18" i="1" s="1"/>
  <c r="E18" i="5"/>
  <c r="M18" i="1" s="1"/>
  <c r="D18" i="5"/>
  <c r="F18" i="1" s="1"/>
  <c r="C18" i="5"/>
  <c r="B18" i="5"/>
  <c r="A18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J17" i="1" s="1"/>
  <c r="E17" i="5"/>
  <c r="M17" i="1" s="1"/>
  <c r="D17" i="5"/>
  <c r="C17" i="5"/>
  <c r="E17" i="1" s="1"/>
  <c r="B17" i="5"/>
  <c r="A17" i="5"/>
  <c r="T16" i="5"/>
  <c r="S16" i="5"/>
  <c r="R16" i="5"/>
  <c r="Q16" i="5"/>
  <c r="P16" i="5"/>
  <c r="O16" i="5"/>
  <c r="N16" i="5"/>
  <c r="Q16" i="1" s="1"/>
  <c r="M16" i="5"/>
  <c r="L16" i="5"/>
  <c r="K16" i="5"/>
  <c r="J16" i="5"/>
  <c r="I16" i="5"/>
  <c r="H16" i="5"/>
  <c r="G16" i="5"/>
  <c r="F16" i="5"/>
  <c r="E16" i="5"/>
  <c r="D16" i="5"/>
  <c r="C16" i="5"/>
  <c r="B16" i="5"/>
  <c r="A16" i="5"/>
  <c r="T15" i="5"/>
  <c r="S15" i="5"/>
  <c r="R15" i="5"/>
  <c r="Q15" i="5"/>
  <c r="P15" i="5"/>
  <c r="O15" i="5"/>
  <c r="N15" i="5"/>
  <c r="Q15" i="1" s="1"/>
  <c r="M15" i="5"/>
  <c r="L15" i="5"/>
  <c r="K15" i="5"/>
  <c r="J15" i="5"/>
  <c r="I15" i="5"/>
  <c r="H15" i="5"/>
  <c r="G15" i="5"/>
  <c r="F15" i="5"/>
  <c r="E15" i="5"/>
  <c r="M15" i="1" s="1"/>
  <c r="D15" i="5"/>
  <c r="F15" i="1" s="1"/>
  <c r="C15" i="5"/>
  <c r="E15" i="1" s="1"/>
  <c r="B15" i="5"/>
  <c r="A15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J14" i="1" s="1"/>
  <c r="E14" i="5"/>
  <c r="M14" i="1" s="1"/>
  <c r="D14" i="5"/>
  <c r="F14" i="1" s="1"/>
  <c r="C14" i="5"/>
  <c r="B14" i="5"/>
  <c r="A14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J13" i="1" s="1"/>
  <c r="E13" i="5"/>
  <c r="M13" i="1" s="1"/>
  <c r="D13" i="5"/>
  <c r="C13" i="5"/>
  <c r="B13" i="5"/>
  <c r="A13" i="5"/>
  <c r="T12" i="5"/>
  <c r="S12" i="5"/>
  <c r="R12" i="5"/>
  <c r="Q12" i="5"/>
  <c r="P12" i="5"/>
  <c r="O12" i="5"/>
  <c r="N12" i="5"/>
  <c r="Q12" i="1" s="1"/>
  <c r="M12" i="5"/>
  <c r="L12" i="5"/>
  <c r="K12" i="5"/>
  <c r="J12" i="5"/>
  <c r="I12" i="5"/>
  <c r="H12" i="5"/>
  <c r="G12" i="5"/>
  <c r="F12" i="5"/>
  <c r="E12" i="5"/>
  <c r="D12" i="5"/>
  <c r="C12" i="5"/>
  <c r="B12" i="5"/>
  <c r="A12" i="5"/>
  <c r="T11" i="5"/>
  <c r="S11" i="5"/>
  <c r="R11" i="5"/>
  <c r="Q11" i="5"/>
  <c r="P11" i="5"/>
  <c r="O11" i="5"/>
  <c r="N11" i="5"/>
  <c r="Q11" i="1" s="1"/>
  <c r="M11" i="5"/>
  <c r="L11" i="5"/>
  <c r="K11" i="5"/>
  <c r="J11" i="5"/>
  <c r="I11" i="5"/>
  <c r="H11" i="5"/>
  <c r="G11" i="5"/>
  <c r="F11" i="5"/>
  <c r="E11" i="5"/>
  <c r="M11" i="1" s="1"/>
  <c r="D11" i="5"/>
  <c r="C11" i="5"/>
  <c r="B11" i="5"/>
  <c r="A11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J10" i="1" s="1"/>
  <c r="E10" i="5"/>
  <c r="M10" i="1" s="1"/>
  <c r="D10" i="5"/>
  <c r="F10" i="1" s="1"/>
  <c r="C10" i="5"/>
  <c r="B10" i="5"/>
  <c r="A10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J9" i="1" s="1"/>
  <c r="E9" i="5"/>
  <c r="M9" i="1" s="1"/>
  <c r="D9" i="5"/>
  <c r="C9" i="5"/>
  <c r="E9" i="1" s="1"/>
  <c r="B9" i="5"/>
  <c r="A9" i="5"/>
  <c r="T8" i="5"/>
  <c r="S8" i="5"/>
  <c r="R8" i="5"/>
  <c r="Q8" i="5"/>
  <c r="P8" i="5"/>
  <c r="O8" i="5"/>
  <c r="N8" i="5"/>
  <c r="Q8" i="1" s="1"/>
  <c r="M8" i="5"/>
  <c r="L8" i="5"/>
  <c r="K8" i="5"/>
  <c r="J8" i="5"/>
  <c r="I8" i="5"/>
  <c r="H8" i="5"/>
  <c r="G8" i="5"/>
  <c r="F8" i="5"/>
  <c r="E8" i="5"/>
  <c r="D8" i="5"/>
  <c r="C8" i="5"/>
  <c r="B8" i="5"/>
  <c r="A8" i="5"/>
  <c r="T7" i="5"/>
  <c r="S7" i="5"/>
  <c r="R7" i="5"/>
  <c r="Q7" i="5"/>
  <c r="P7" i="5"/>
  <c r="O7" i="5"/>
  <c r="N7" i="5"/>
  <c r="Q7" i="1" s="1"/>
  <c r="M7" i="5"/>
  <c r="L7" i="5"/>
  <c r="K7" i="5"/>
  <c r="J7" i="5"/>
  <c r="I7" i="5"/>
  <c r="H7" i="5"/>
  <c r="G7" i="5"/>
  <c r="F7" i="5"/>
  <c r="E7" i="5"/>
  <c r="M7" i="1" s="1"/>
  <c r="D7" i="5"/>
  <c r="F7" i="1" s="1"/>
  <c r="C7" i="5"/>
  <c r="E7" i="1" s="1"/>
  <c r="B7" i="5"/>
  <c r="A7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J6" i="1" s="1"/>
  <c r="E6" i="5"/>
  <c r="M6" i="1" s="1"/>
  <c r="D6" i="5"/>
  <c r="F6" i="1" s="1"/>
  <c r="C6" i="5"/>
  <c r="B6" i="5"/>
  <c r="A6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J5" i="1" s="1"/>
  <c r="E5" i="5"/>
  <c r="M5" i="1" s="1"/>
  <c r="D5" i="5"/>
  <c r="C5" i="5"/>
  <c r="B5" i="5"/>
  <c r="A5" i="5"/>
  <c r="T4" i="5"/>
  <c r="S4" i="5"/>
  <c r="R4" i="5"/>
  <c r="Q4" i="5"/>
  <c r="P4" i="5"/>
  <c r="O4" i="5"/>
  <c r="N4" i="5"/>
  <c r="Q4" i="1" s="1"/>
  <c r="M4" i="5"/>
  <c r="L4" i="5"/>
  <c r="K4" i="5"/>
  <c r="J4" i="5"/>
  <c r="I4" i="5"/>
  <c r="H4" i="5"/>
  <c r="G4" i="5"/>
  <c r="F4" i="5"/>
  <c r="J4" i="1" s="1"/>
  <c r="E4" i="5"/>
  <c r="D4" i="5"/>
  <c r="C4" i="5"/>
  <c r="B4" i="5"/>
  <c r="A4" i="5"/>
  <c r="T3" i="5"/>
  <c r="S3" i="5"/>
  <c r="R3" i="5"/>
  <c r="Q3" i="5"/>
  <c r="P3" i="5"/>
  <c r="O3" i="5"/>
  <c r="N3" i="5"/>
  <c r="Q3" i="1" s="1"/>
  <c r="M3" i="5"/>
  <c r="L3" i="5"/>
  <c r="K3" i="5"/>
  <c r="J3" i="5"/>
  <c r="I3" i="5"/>
  <c r="H3" i="5"/>
  <c r="G3" i="5"/>
  <c r="F3" i="5"/>
  <c r="E3" i="5"/>
  <c r="M3" i="1" s="1"/>
  <c r="D3" i="5"/>
  <c r="C3" i="5"/>
  <c r="E3" i="1" s="1"/>
  <c r="B3" i="5"/>
  <c r="A3" i="5"/>
  <c r="T2" i="5"/>
  <c r="S2" i="5"/>
  <c r="R2" i="5"/>
  <c r="Q2" i="5"/>
  <c r="P2" i="5"/>
  <c r="O2" i="5"/>
  <c r="N2" i="5"/>
  <c r="Q2" i="1" s="1"/>
  <c r="M2" i="5"/>
  <c r="L2" i="5"/>
  <c r="K2" i="5"/>
  <c r="J2" i="5"/>
  <c r="I2" i="5"/>
  <c r="H2" i="5"/>
  <c r="G2" i="5"/>
  <c r="F2" i="5"/>
  <c r="E2" i="5"/>
  <c r="M2" i="1" s="1"/>
  <c r="D2" i="5"/>
  <c r="F2" i="1" s="1"/>
  <c r="C2" i="5"/>
  <c r="B2" i="5"/>
  <c r="A2" i="5"/>
  <c r="T96" i="3"/>
  <c r="S96" i="3"/>
  <c r="R96" i="3"/>
  <c r="Q96" i="3"/>
  <c r="P96" i="3"/>
  <c r="O96" i="3"/>
  <c r="N96" i="3"/>
  <c r="M96" i="3"/>
  <c r="L96" i="3"/>
  <c r="K96" i="3"/>
  <c r="J96" i="3"/>
  <c r="I96" i="1" s="1"/>
  <c r="I96" i="3"/>
  <c r="H96" i="3"/>
  <c r="G96" i="3"/>
  <c r="F96" i="3"/>
  <c r="E96" i="3"/>
  <c r="L96" i="1" s="1"/>
  <c r="D96" i="3"/>
  <c r="C96" i="3"/>
  <c r="B96" i="3"/>
  <c r="A96" i="3"/>
  <c r="T95" i="3"/>
  <c r="S95" i="3"/>
  <c r="R95" i="3"/>
  <c r="Q95" i="3"/>
  <c r="P95" i="3"/>
  <c r="O95" i="3"/>
  <c r="N95" i="3"/>
  <c r="P95" i="1" s="1"/>
  <c r="M95" i="3"/>
  <c r="L95" i="3"/>
  <c r="K95" i="3"/>
  <c r="J95" i="3"/>
  <c r="I95" i="1" s="1"/>
  <c r="I95" i="3"/>
  <c r="H95" i="3"/>
  <c r="G95" i="3"/>
  <c r="F95" i="3"/>
  <c r="E95" i="3"/>
  <c r="D95" i="3"/>
  <c r="C95" i="3"/>
  <c r="B95" i="3"/>
  <c r="A95" i="3"/>
  <c r="T94" i="3"/>
  <c r="S94" i="3"/>
  <c r="R94" i="3"/>
  <c r="Q94" i="3"/>
  <c r="P94" i="3"/>
  <c r="O94" i="3"/>
  <c r="N94" i="3"/>
  <c r="P94" i="1" s="1"/>
  <c r="M94" i="3"/>
  <c r="L94" i="3"/>
  <c r="K94" i="3"/>
  <c r="J94" i="3"/>
  <c r="I94" i="1" s="1"/>
  <c r="I94" i="3"/>
  <c r="H94" i="3"/>
  <c r="G94" i="3"/>
  <c r="F94" i="3"/>
  <c r="E94" i="3"/>
  <c r="L94" i="1" s="1"/>
  <c r="D94" i="3"/>
  <c r="D94" i="1" s="1"/>
  <c r="C94" i="3"/>
  <c r="B94" i="1" s="1"/>
  <c r="B94" i="3"/>
  <c r="A94" i="3"/>
  <c r="T93" i="3"/>
  <c r="S93" i="3"/>
  <c r="R93" i="3"/>
  <c r="Q93" i="3"/>
  <c r="P93" i="3"/>
  <c r="O93" i="3"/>
  <c r="N93" i="3"/>
  <c r="M93" i="3"/>
  <c r="L93" i="3"/>
  <c r="K93" i="3"/>
  <c r="J93" i="3"/>
  <c r="I93" i="3"/>
  <c r="H93" i="3"/>
  <c r="G93" i="3"/>
  <c r="F93" i="3"/>
  <c r="E93" i="3"/>
  <c r="L93" i="1" s="1"/>
  <c r="D93" i="3"/>
  <c r="D93" i="1" s="1"/>
  <c r="C93" i="3"/>
  <c r="B93" i="3"/>
  <c r="A93" i="3"/>
  <c r="T92" i="3"/>
  <c r="S92" i="3"/>
  <c r="R92" i="3"/>
  <c r="Q92" i="3"/>
  <c r="P92" i="3"/>
  <c r="O92" i="3"/>
  <c r="N92" i="3"/>
  <c r="M92" i="3"/>
  <c r="L92" i="3"/>
  <c r="K92" i="3"/>
  <c r="J92" i="3"/>
  <c r="I92" i="1" s="1"/>
  <c r="I92" i="3"/>
  <c r="H92" i="3"/>
  <c r="G92" i="3"/>
  <c r="F92" i="3"/>
  <c r="E92" i="3"/>
  <c r="L92" i="1" s="1"/>
  <c r="D92" i="3"/>
  <c r="C92" i="3"/>
  <c r="B92" i="3"/>
  <c r="A92" i="3"/>
  <c r="T91" i="3"/>
  <c r="S91" i="3"/>
  <c r="R91" i="3"/>
  <c r="Q91" i="3"/>
  <c r="P91" i="3"/>
  <c r="O91" i="3"/>
  <c r="N91" i="3"/>
  <c r="M91" i="3"/>
  <c r="L91" i="3"/>
  <c r="K91" i="3"/>
  <c r="J91" i="3"/>
  <c r="I91" i="1" s="1"/>
  <c r="I91" i="3"/>
  <c r="H91" i="3"/>
  <c r="G91" i="3"/>
  <c r="F91" i="3"/>
  <c r="E91" i="3"/>
  <c r="D91" i="3"/>
  <c r="C91" i="3"/>
  <c r="B91" i="3"/>
  <c r="A91" i="3"/>
  <c r="T90" i="3"/>
  <c r="S90" i="3"/>
  <c r="R90" i="3"/>
  <c r="Q90" i="3"/>
  <c r="P90" i="3"/>
  <c r="O90" i="3"/>
  <c r="N90" i="3"/>
  <c r="P90" i="1" s="1"/>
  <c r="M90" i="3"/>
  <c r="L90" i="3"/>
  <c r="K90" i="3"/>
  <c r="J90" i="3"/>
  <c r="I90" i="3"/>
  <c r="H90" i="3"/>
  <c r="G90" i="3"/>
  <c r="F90" i="3"/>
  <c r="E90" i="3"/>
  <c r="D90" i="3"/>
  <c r="D90" i="1" s="1"/>
  <c r="C90" i="3"/>
  <c r="B90" i="1" s="1"/>
  <c r="B90" i="3"/>
  <c r="A90" i="3"/>
  <c r="T89" i="3"/>
  <c r="S89" i="3"/>
  <c r="R89" i="3"/>
  <c r="Q89" i="3"/>
  <c r="P89" i="3"/>
  <c r="O89" i="3"/>
  <c r="N89" i="3"/>
  <c r="M89" i="3"/>
  <c r="L89" i="3"/>
  <c r="K89" i="3"/>
  <c r="J89" i="3"/>
  <c r="I89" i="3"/>
  <c r="H89" i="3"/>
  <c r="G89" i="3"/>
  <c r="F89" i="3"/>
  <c r="E89" i="3"/>
  <c r="L89" i="1" s="1"/>
  <c r="D89" i="3"/>
  <c r="D89" i="1" s="1"/>
  <c r="C89" i="3"/>
  <c r="B89" i="1" s="1"/>
  <c r="B89" i="3"/>
  <c r="A89" i="3"/>
  <c r="T88" i="3"/>
  <c r="S88" i="3"/>
  <c r="R88" i="3"/>
  <c r="Q88" i="3"/>
  <c r="P88" i="3"/>
  <c r="O88" i="3"/>
  <c r="N88" i="3"/>
  <c r="M88" i="3"/>
  <c r="L88" i="3"/>
  <c r="K88" i="3"/>
  <c r="J88" i="3"/>
  <c r="I88" i="1" s="1"/>
  <c r="I88" i="3"/>
  <c r="H88" i="3"/>
  <c r="G88" i="3"/>
  <c r="F88" i="3"/>
  <c r="E88" i="3"/>
  <c r="L88" i="1" s="1"/>
  <c r="D88" i="3"/>
  <c r="C88" i="3"/>
  <c r="B88" i="3"/>
  <c r="A88" i="3"/>
  <c r="T87" i="3"/>
  <c r="S87" i="3"/>
  <c r="R87" i="3"/>
  <c r="Q87" i="3"/>
  <c r="P87" i="3"/>
  <c r="O87" i="3"/>
  <c r="N87" i="3"/>
  <c r="P87" i="1" s="1"/>
  <c r="M87" i="3"/>
  <c r="L87" i="3"/>
  <c r="K87" i="3"/>
  <c r="J87" i="3"/>
  <c r="I87" i="1" s="1"/>
  <c r="I87" i="3"/>
  <c r="H87" i="3"/>
  <c r="G87" i="3"/>
  <c r="F87" i="3"/>
  <c r="E87" i="3"/>
  <c r="D87" i="3"/>
  <c r="C87" i="3"/>
  <c r="B87" i="3"/>
  <c r="A87" i="3"/>
  <c r="T86" i="3"/>
  <c r="S86" i="3"/>
  <c r="R86" i="3"/>
  <c r="Q86" i="3"/>
  <c r="P86" i="3"/>
  <c r="O86" i="3"/>
  <c r="N86" i="3"/>
  <c r="P86" i="1" s="1"/>
  <c r="M86" i="3"/>
  <c r="L86" i="3"/>
  <c r="K86" i="3"/>
  <c r="J86" i="3"/>
  <c r="I86" i="1" s="1"/>
  <c r="I86" i="3"/>
  <c r="H86" i="3"/>
  <c r="G86" i="3"/>
  <c r="F86" i="3"/>
  <c r="E86" i="3"/>
  <c r="L86" i="1" s="1"/>
  <c r="D86" i="3"/>
  <c r="D86" i="1" s="1"/>
  <c r="C86" i="3"/>
  <c r="B86" i="1" s="1"/>
  <c r="B86" i="3"/>
  <c r="A86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L85" i="1" s="1"/>
  <c r="D85" i="3"/>
  <c r="D85" i="1" s="1"/>
  <c r="C85" i="3"/>
  <c r="B85" i="3"/>
  <c r="A85" i="3"/>
  <c r="T84" i="3"/>
  <c r="S84" i="3"/>
  <c r="R84" i="3"/>
  <c r="Q84" i="3"/>
  <c r="P84" i="3"/>
  <c r="O84" i="3"/>
  <c r="N84" i="3"/>
  <c r="M84" i="3"/>
  <c r="L84" i="3"/>
  <c r="K84" i="3"/>
  <c r="J84" i="3"/>
  <c r="I84" i="1" s="1"/>
  <c r="I84" i="3"/>
  <c r="H84" i="3"/>
  <c r="G84" i="3"/>
  <c r="F84" i="3"/>
  <c r="E84" i="3"/>
  <c r="L84" i="1" s="1"/>
  <c r="D84" i="3"/>
  <c r="C84" i="3"/>
  <c r="B84" i="3"/>
  <c r="A84" i="3"/>
  <c r="T83" i="3"/>
  <c r="S83" i="3"/>
  <c r="R83" i="3"/>
  <c r="Q83" i="3"/>
  <c r="P83" i="3"/>
  <c r="O83" i="3"/>
  <c r="N83" i="3"/>
  <c r="M83" i="3"/>
  <c r="L83" i="3"/>
  <c r="K83" i="3"/>
  <c r="J83" i="3"/>
  <c r="I83" i="1" s="1"/>
  <c r="I83" i="3"/>
  <c r="H83" i="3"/>
  <c r="G83" i="3"/>
  <c r="F83" i="3"/>
  <c r="E83" i="3"/>
  <c r="D83" i="3"/>
  <c r="C83" i="3"/>
  <c r="B83" i="3"/>
  <c r="A83" i="3"/>
  <c r="T82" i="3"/>
  <c r="S82" i="3"/>
  <c r="R82" i="3"/>
  <c r="Q82" i="3"/>
  <c r="P82" i="3"/>
  <c r="O82" i="3"/>
  <c r="N82" i="3"/>
  <c r="P82" i="1" s="1"/>
  <c r="M82" i="3"/>
  <c r="L82" i="3"/>
  <c r="K82" i="3"/>
  <c r="J82" i="3"/>
  <c r="I82" i="1" s="1"/>
  <c r="I82" i="3"/>
  <c r="H82" i="3"/>
  <c r="G82" i="3"/>
  <c r="F82" i="3"/>
  <c r="E82" i="3"/>
  <c r="D82" i="3"/>
  <c r="D82" i="1" s="1"/>
  <c r="C82" i="3"/>
  <c r="B82" i="3"/>
  <c r="A82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E81" i="3"/>
  <c r="L81" i="1" s="1"/>
  <c r="D81" i="3"/>
  <c r="D81" i="1" s="1"/>
  <c r="C81" i="3"/>
  <c r="B81" i="1" s="1"/>
  <c r="B81" i="3"/>
  <c r="A81" i="3"/>
  <c r="T80" i="3"/>
  <c r="S80" i="3"/>
  <c r="R80" i="3"/>
  <c r="Q80" i="3"/>
  <c r="P80" i="3"/>
  <c r="O80" i="3"/>
  <c r="N80" i="3"/>
  <c r="M80" i="3"/>
  <c r="L80" i="3"/>
  <c r="K80" i="3"/>
  <c r="J80" i="3"/>
  <c r="I80" i="1" s="1"/>
  <c r="I80" i="3"/>
  <c r="H80" i="3"/>
  <c r="G80" i="3"/>
  <c r="F80" i="3"/>
  <c r="E80" i="3"/>
  <c r="L80" i="1" s="1"/>
  <c r="D80" i="3"/>
  <c r="C80" i="3"/>
  <c r="B80" i="3"/>
  <c r="A80" i="3"/>
  <c r="T79" i="3"/>
  <c r="S79" i="3"/>
  <c r="R79" i="3"/>
  <c r="Q79" i="3"/>
  <c r="P79" i="3"/>
  <c r="O79" i="3"/>
  <c r="N79" i="3"/>
  <c r="P79" i="1" s="1"/>
  <c r="M79" i="3"/>
  <c r="L79" i="3"/>
  <c r="K79" i="3"/>
  <c r="J79" i="3"/>
  <c r="I79" i="1" s="1"/>
  <c r="I79" i="3"/>
  <c r="H79" i="3"/>
  <c r="G79" i="3"/>
  <c r="F79" i="3"/>
  <c r="E79" i="3"/>
  <c r="D79" i="3"/>
  <c r="C79" i="3"/>
  <c r="B79" i="3"/>
  <c r="A79" i="3"/>
  <c r="T78" i="3"/>
  <c r="S78" i="3"/>
  <c r="R78" i="3"/>
  <c r="Q78" i="3"/>
  <c r="P78" i="3"/>
  <c r="O78" i="3"/>
  <c r="N78" i="3"/>
  <c r="P78" i="1" s="1"/>
  <c r="M78" i="3"/>
  <c r="L78" i="3"/>
  <c r="K78" i="3"/>
  <c r="J78" i="3"/>
  <c r="I78" i="3"/>
  <c r="H78" i="3"/>
  <c r="G78" i="3"/>
  <c r="F78" i="3"/>
  <c r="E78" i="3"/>
  <c r="L78" i="1" s="1"/>
  <c r="D78" i="3"/>
  <c r="C78" i="3"/>
  <c r="B78" i="1" s="1"/>
  <c r="B78" i="3"/>
  <c r="A78" i="3"/>
  <c r="T77" i="3"/>
  <c r="S77" i="3"/>
  <c r="R77" i="3"/>
  <c r="Q77" i="3"/>
  <c r="P77" i="3"/>
  <c r="O77" i="3"/>
  <c r="N77" i="3"/>
  <c r="M77" i="3"/>
  <c r="L77" i="3"/>
  <c r="K77" i="3"/>
  <c r="J77" i="3"/>
  <c r="I77" i="3"/>
  <c r="H77" i="3"/>
  <c r="G77" i="3"/>
  <c r="F77" i="3"/>
  <c r="E77" i="3"/>
  <c r="D77" i="3"/>
  <c r="D77" i="1" s="1"/>
  <c r="C77" i="3"/>
  <c r="B77" i="3"/>
  <c r="A77" i="3"/>
  <c r="T76" i="3"/>
  <c r="S76" i="3"/>
  <c r="R76" i="3"/>
  <c r="Q76" i="3"/>
  <c r="P76" i="3"/>
  <c r="O76" i="3"/>
  <c r="N76" i="3"/>
  <c r="M76" i="3"/>
  <c r="L76" i="3"/>
  <c r="K76" i="3"/>
  <c r="J76" i="3"/>
  <c r="I76" i="1" s="1"/>
  <c r="I76" i="3"/>
  <c r="H76" i="3"/>
  <c r="G76" i="3"/>
  <c r="F76" i="3"/>
  <c r="E76" i="3"/>
  <c r="L76" i="1" s="1"/>
  <c r="D76" i="3"/>
  <c r="C76" i="3"/>
  <c r="B76" i="3"/>
  <c r="A76" i="3"/>
  <c r="T75" i="3"/>
  <c r="S75" i="3"/>
  <c r="R75" i="3"/>
  <c r="Q75" i="3"/>
  <c r="P75" i="3"/>
  <c r="O75" i="3"/>
  <c r="N75" i="3"/>
  <c r="M75" i="3"/>
  <c r="L75" i="3"/>
  <c r="K75" i="3"/>
  <c r="J75" i="3"/>
  <c r="I75" i="1" s="1"/>
  <c r="I75" i="3"/>
  <c r="H75" i="3"/>
  <c r="G75" i="3"/>
  <c r="F75" i="3"/>
  <c r="E75" i="3"/>
  <c r="D75" i="3"/>
  <c r="C75" i="3"/>
  <c r="B75" i="3"/>
  <c r="A75" i="3"/>
  <c r="T74" i="3"/>
  <c r="S74" i="3"/>
  <c r="R74" i="3"/>
  <c r="Q74" i="3"/>
  <c r="P74" i="3"/>
  <c r="O74" i="3"/>
  <c r="N74" i="3"/>
  <c r="P74" i="1" s="1"/>
  <c r="M74" i="3"/>
  <c r="L74" i="3"/>
  <c r="K74" i="3"/>
  <c r="J74" i="3"/>
  <c r="I74" i="1" s="1"/>
  <c r="I74" i="3"/>
  <c r="H74" i="3"/>
  <c r="G74" i="3"/>
  <c r="F74" i="3"/>
  <c r="E74" i="3"/>
  <c r="D74" i="3"/>
  <c r="C74" i="3"/>
  <c r="B74" i="1" s="1"/>
  <c r="B74" i="3"/>
  <c r="A74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L73" i="1" s="1"/>
  <c r="D73" i="3"/>
  <c r="D73" i="1" s="1"/>
  <c r="C73" i="3"/>
  <c r="B73" i="1" s="1"/>
  <c r="B73" i="3"/>
  <c r="A73" i="3"/>
  <c r="T72" i="3"/>
  <c r="S72" i="3"/>
  <c r="R72" i="3"/>
  <c r="Q72" i="3"/>
  <c r="P72" i="3"/>
  <c r="O72" i="3"/>
  <c r="N72" i="3"/>
  <c r="M72" i="3"/>
  <c r="L72" i="3"/>
  <c r="K72" i="3"/>
  <c r="J72" i="3"/>
  <c r="I72" i="1" s="1"/>
  <c r="I72" i="3"/>
  <c r="H72" i="3"/>
  <c r="G72" i="3"/>
  <c r="F72" i="3"/>
  <c r="E72" i="3"/>
  <c r="L72" i="1" s="1"/>
  <c r="D72" i="3"/>
  <c r="C72" i="3"/>
  <c r="B72" i="3"/>
  <c r="A72" i="3"/>
  <c r="T71" i="3"/>
  <c r="S71" i="3"/>
  <c r="R71" i="3"/>
  <c r="Q71" i="3"/>
  <c r="P71" i="3"/>
  <c r="O71" i="3"/>
  <c r="N71" i="3"/>
  <c r="P71" i="1" s="1"/>
  <c r="M71" i="3"/>
  <c r="L71" i="3"/>
  <c r="K71" i="3"/>
  <c r="J71" i="3"/>
  <c r="I71" i="1" s="1"/>
  <c r="I71" i="3"/>
  <c r="H71" i="3"/>
  <c r="G71" i="3"/>
  <c r="F71" i="3"/>
  <c r="E71" i="3"/>
  <c r="D71" i="3"/>
  <c r="C71" i="3"/>
  <c r="B71" i="3"/>
  <c r="A71" i="3"/>
  <c r="T70" i="3"/>
  <c r="S70" i="3"/>
  <c r="R70" i="3"/>
  <c r="Q70" i="3"/>
  <c r="P70" i="3"/>
  <c r="O70" i="3"/>
  <c r="N70" i="3"/>
  <c r="P70" i="1" s="1"/>
  <c r="M70" i="3"/>
  <c r="L70" i="3"/>
  <c r="K70" i="3"/>
  <c r="J70" i="3"/>
  <c r="I70" i="1" s="1"/>
  <c r="I70" i="3"/>
  <c r="H70" i="3"/>
  <c r="G70" i="3"/>
  <c r="F70" i="3"/>
  <c r="E70" i="3"/>
  <c r="L70" i="1" s="1"/>
  <c r="D70" i="3"/>
  <c r="D70" i="1" s="1"/>
  <c r="C70" i="3"/>
  <c r="B70" i="1" s="1"/>
  <c r="B70" i="3"/>
  <c r="A70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L69" i="1" s="1"/>
  <c r="D69" i="3"/>
  <c r="D69" i="1" s="1"/>
  <c r="C69" i="3"/>
  <c r="B69" i="3"/>
  <c r="A69" i="3"/>
  <c r="T68" i="3"/>
  <c r="S68" i="3"/>
  <c r="R68" i="3"/>
  <c r="Q68" i="3"/>
  <c r="P68" i="3"/>
  <c r="O68" i="3"/>
  <c r="N68" i="3"/>
  <c r="M68" i="3"/>
  <c r="L68" i="3"/>
  <c r="K68" i="3"/>
  <c r="J68" i="3"/>
  <c r="I68" i="1" s="1"/>
  <c r="I68" i="3"/>
  <c r="H68" i="3"/>
  <c r="G68" i="3"/>
  <c r="F68" i="3"/>
  <c r="E68" i="3"/>
  <c r="L68" i="1" s="1"/>
  <c r="D68" i="3"/>
  <c r="C68" i="3"/>
  <c r="B68" i="3"/>
  <c r="A68" i="3"/>
  <c r="T67" i="3"/>
  <c r="S67" i="3"/>
  <c r="R67" i="3"/>
  <c r="Q67" i="3"/>
  <c r="P67" i="3"/>
  <c r="O67" i="3"/>
  <c r="N67" i="3"/>
  <c r="P67" i="1" s="1"/>
  <c r="M67" i="3"/>
  <c r="L67" i="3"/>
  <c r="K67" i="3"/>
  <c r="J67" i="3"/>
  <c r="I67" i="1" s="1"/>
  <c r="I67" i="3"/>
  <c r="H67" i="3"/>
  <c r="G67" i="3"/>
  <c r="F67" i="3"/>
  <c r="E67" i="3"/>
  <c r="D67" i="3"/>
  <c r="C67" i="3"/>
  <c r="B67" i="3"/>
  <c r="A67" i="3"/>
  <c r="T66" i="3"/>
  <c r="S66" i="3"/>
  <c r="R66" i="3"/>
  <c r="Q66" i="3"/>
  <c r="P66" i="3"/>
  <c r="O66" i="3"/>
  <c r="N66" i="3"/>
  <c r="P66" i="1" s="1"/>
  <c r="M66" i="3"/>
  <c r="L66" i="3"/>
  <c r="K66" i="3"/>
  <c r="J66" i="3"/>
  <c r="I66" i="3"/>
  <c r="H66" i="3"/>
  <c r="G66" i="3"/>
  <c r="F66" i="3"/>
  <c r="E66" i="3"/>
  <c r="L66" i="1" s="1"/>
  <c r="D66" i="3"/>
  <c r="D66" i="1" s="1"/>
  <c r="C66" i="3"/>
  <c r="B66" i="1" s="1"/>
  <c r="B66" i="3"/>
  <c r="A66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L65" i="1" s="1"/>
  <c r="D65" i="3"/>
  <c r="D65" i="1" s="1"/>
  <c r="C65" i="3"/>
  <c r="B65" i="1" s="1"/>
  <c r="B65" i="3"/>
  <c r="A65" i="3"/>
  <c r="T64" i="3"/>
  <c r="S64" i="3"/>
  <c r="R64" i="3"/>
  <c r="Q64" i="3"/>
  <c r="P64" i="3"/>
  <c r="O64" i="3"/>
  <c r="N64" i="3"/>
  <c r="M64" i="3"/>
  <c r="L64" i="3"/>
  <c r="K64" i="3"/>
  <c r="J64" i="3"/>
  <c r="I64" i="1" s="1"/>
  <c r="I64" i="3"/>
  <c r="H64" i="3"/>
  <c r="G64" i="3"/>
  <c r="F64" i="3"/>
  <c r="E64" i="3"/>
  <c r="L64" i="1" s="1"/>
  <c r="D64" i="3"/>
  <c r="C64" i="3"/>
  <c r="B64" i="3"/>
  <c r="A64" i="3"/>
  <c r="T63" i="3"/>
  <c r="S63" i="3"/>
  <c r="R63" i="3"/>
  <c r="Q63" i="3"/>
  <c r="P63" i="3"/>
  <c r="O63" i="3"/>
  <c r="N63" i="3"/>
  <c r="P63" i="1" s="1"/>
  <c r="M63" i="3"/>
  <c r="L63" i="3"/>
  <c r="K63" i="3"/>
  <c r="J63" i="3"/>
  <c r="I63" i="1" s="1"/>
  <c r="I63" i="3"/>
  <c r="H63" i="3"/>
  <c r="G63" i="3"/>
  <c r="F63" i="3"/>
  <c r="E63" i="3"/>
  <c r="D63" i="3"/>
  <c r="C63" i="3"/>
  <c r="B63" i="3"/>
  <c r="A63" i="3"/>
  <c r="T62" i="3"/>
  <c r="S62" i="3"/>
  <c r="R62" i="3"/>
  <c r="Q62" i="3"/>
  <c r="P62" i="3"/>
  <c r="O62" i="3"/>
  <c r="N62" i="3"/>
  <c r="P62" i="1" s="1"/>
  <c r="M62" i="3"/>
  <c r="L62" i="3"/>
  <c r="K62" i="3"/>
  <c r="J62" i="3"/>
  <c r="I62" i="1" s="1"/>
  <c r="I62" i="3"/>
  <c r="H62" i="3"/>
  <c r="G62" i="3"/>
  <c r="F62" i="3"/>
  <c r="E62" i="3"/>
  <c r="L62" i="1" s="1"/>
  <c r="D62" i="3"/>
  <c r="D62" i="1" s="1"/>
  <c r="C62" i="3"/>
  <c r="B62" i="1" s="1"/>
  <c r="B62" i="3"/>
  <c r="A62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L61" i="1" s="1"/>
  <c r="D61" i="3"/>
  <c r="D61" i="1" s="1"/>
  <c r="C61" i="3"/>
  <c r="B61" i="3"/>
  <c r="A61" i="3"/>
  <c r="T60" i="3"/>
  <c r="S60" i="3"/>
  <c r="R60" i="3"/>
  <c r="Q60" i="3"/>
  <c r="P60" i="3"/>
  <c r="O60" i="3"/>
  <c r="N60" i="3"/>
  <c r="M60" i="3"/>
  <c r="L60" i="3"/>
  <c r="K60" i="3"/>
  <c r="J60" i="3"/>
  <c r="I60" i="1" s="1"/>
  <c r="I60" i="3"/>
  <c r="H60" i="3"/>
  <c r="G60" i="3"/>
  <c r="F60" i="3"/>
  <c r="E60" i="3"/>
  <c r="L60" i="1" s="1"/>
  <c r="D60" i="3"/>
  <c r="C60" i="3"/>
  <c r="B60" i="3"/>
  <c r="A60" i="3"/>
  <c r="T59" i="3"/>
  <c r="S59" i="3"/>
  <c r="R59" i="3"/>
  <c r="Q59" i="3"/>
  <c r="P59" i="3"/>
  <c r="O59" i="3"/>
  <c r="N59" i="3"/>
  <c r="M59" i="3"/>
  <c r="L59" i="3"/>
  <c r="K59" i="3"/>
  <c r="J59" i="3"/>
  <c r="I59" i="1" s="1"/>
  <c r="I59" i="3"/>
  <c r="H59" i="3"/>
  <c r="G59" i="3"/>
  <c r="F59" i="3"/>
  <c r="E59" i="3"/>
  <c r="D59" i="3"/>
  <c r="C59" i="3"/>
  <c r="B59" i="3"/>
  <c r="A59" i="3"/>
  <c r="T58" i="3"/>
  <c r="S58" i="3"/>
  <c r="R58" i="3"/>
  <c r="Q58" i="3"/>
  <c r="P58" i="3"/>
  <c r="O58" i="3"/>
  <c r="N58" i="3"/>
  <c r="P58" i="1" s="1"/>
  <c r="M58" i="3"/>
  <c r="L58" i="3"/>
  <c r="K58" i="3"/>
  <c r="J58" i="3"/>
  <c r="I58" i="1" s="1"/>
  <c r="I58" i="3"/>
  <c r="H58" i="3"/>
  <c r="G58" i="3"/>
  <c r="F58" i="3"/>
  <c r="E58" i="3"/>
  <c r="L58" i="1" s="1"/>
  <c r="D58" i="3"/>
  <c r="D58" i="1" s="1"/>
  <c r="C58" i="3"/>
  <c r="B58" i="1" s="1"/>
  <c r="B58" i="3"/>
  <c r="A58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L57" i="1" s="1"/>
  <c r="D57" i="3"/>
  <c r="D57" i="1" s="1"/>
  <c r="C57" i="3"/>
  <c r="B57" i="1" s="1"/>
  <c r="B57" i="3"/>
  <c r="A57" i="3"/>
  <c r="T56" i="3"/>
  <c r="S56" i="3"/>
  <c r="R56" i="3"/>
  <c r="Q56" i="3"/>
  <c r="P56" i="3"/>
  <c r="O56" i="3"/>
  <c r="N56" i="3"/>
  <c r="M56" i="3"/>
  <c r="L56" i="3"/>
  <c r="K56" i="3"/>
  <c r="J56" i="3"/>
  <c r="I56" i="1" s="1"/>
  <c r="I56" i="3"/>
  <c r="H56" i="3"/>
  <c r="G56" i="3"/>
  <c r="F56" i="3"/>
  <c r="E56" i="3"/>
  <c r="L56" i="1" s="1"/>
  <c r="D56" i="3"/>
  <c r="C56" i="3"/>
  <c r="B56" i="3"/>
  <c r="A56" i="3"/>
  <c r="T55" i="3"/>
  <c r="S55" i="3"/>
  <c r="R55" i="3"/>
  <c r="Q55" i="3"/>
  <c r="P55" i="3"/>
  <c r="O55" i="3"/>
  <c r="N55" i="3"/>
  <c r="P55" i="1" s="1"/>
  <c r="M55" i="3"/>
  <c r="L55" i="3"/>
  <c r="K55" i="3"/>
  <c r="J55" i="3"/>
  <c r="I55" i="1" s="1"/>
  <c r="I55" i="3"/>
  <c r="H55" i="3"/>
  <c r="G55" i="3"/>
  <c r="F55" i="3"/>
  <c r="E55" i="3"/>
  <c r="D55" i="3"/>
  <c r="C55" i="3"/>
  <c r="B55" i="3"/>
  <c r="A55" i="3"/>
  <c r="T54" i="3"/>
  <c r="S54" i="3"/>
  <c r="R54" i="3"/>
  <c r="Q54" i="3"/>
  <c r="P54" i="3"/>
  <c r="O54" i="3"/>
  <c r="N54" i="3"/>
  <c r="P54" i="1" s="1"/>
  <c r="M54" i="3"/>
  <c r="L54" i="3"/>
  <c r="K54" i="3"/>
  <c r="J54" i="3"/>
  <c r="I54" i="1" s="1"/>
  <c r="I54" i="3"/>
  <c r="H54" i="3"/>
  <c r="G54" i="3"/>
  <c r="F54" i="3"/>
  <c r="E54" i="3"/>
  <c r="L54" i="1" s="1"/>
  <c r="D54" i="3"/>
  <c r="D54" i="1" s="1"/>
  <c r="C54" i="3"/>
  <c r="B54" i="1" s="1"/>
  <c r="B54" i="3"/>
  <c r="A54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L53" i="1" s="1"/>
  <c r="D53" i="3"/>
  <c r="D53" i="1" s="1"/>
  <c r="C53" i="3"/>
  <c r="B53" i="1" s="1"/>
  <c r="B53" i="3"/>
  <c r="A53" i="3"/>
  <c r="T52" i="3"/>
  <c r="S52" i="3"/>
  <c r="R52" i="3"/>
  <c r="Q52" i="3"/>
  <c r="P52" i="3"/>
  <c r="O52" i="3"/>
  <c r="N52" i="3"/>
  <c r="M52" i="3"/>
  <c r="L52" i="3"/>
  <c r="K52" i="3"/>
  <c r="J52" i="3"/>
  <c r="I52" i="1" s="1"/>
  <c r="I52" i="3"/>
  <c r="H52" i="3"/>
  <c r="G52" i="3"/>
  <c r="F52" i="3"/>
  <c r="E52" i="3"/>
  <c r="L52" i="1" s="1"/>
  <c r="D52" i="3"/>
  <c r="C52" i="3"/>
  <c r="B52" i="3"/>
  <c r="A52" i="3"/>
  <c r="T51" i="3"/>
  <c r="S51" i="3"/>
  <c r="R51" i="3"/>
  <c r="Q51" i="3"/>
  <c r="P51" i="3"/>
  <c r="O51" i="3"/>
  <c r="N51" i="3"/>
  <c r="M51" i="3"/>
  <c r="L51" i="3"/>
  <c r="K51" i="3"/>
  <c r="J51" i="3"/>
  <c r="I51" i="1" s="1"/>
  <c r="I51" i="3"/>
  <c r="H51" i="3"/>
  <c r="G51" i="3"/>
  <c r="F51" i="3"/>
  <c r="E51" i="3"/>
  <c r="D51" i="3"/>
  <c r="C51" i="3"/>
  <c r="B51" i="3"/>
  <c r="A51" i="3"/>
  <c r="T50" i="3"/>
  <c r="S50" i="3"/>
  <c r="R50" i="3"/>
  <c r="Q50" i="3"/>
  <c r="P50" i="3"/>
  <c r="O50" i="3"/>
  <c r="N50" i="3"/>
  <c r="P50" i="1" s="1"/>
  <c r="M50" i="3"/>
  <c r="L50" i="3"/>
  <c r="K50" i="3"/>
  <c r="J50" i="3"/>
  <c r="I50" i="1" s="1"/>
  <c r="I50" i="3"/>
  <c r="H50" i="3"/>
  <c r="G50" i="3"/>
  <c r="F50" i="3"/>
  <c r="E50" i="3"/>
  <c r="L50" i="1" s="1"/>
  <c r="D50" i="3"/>
  <c r="D50" i="1" s="1"/>
  <c r="C50" i="3"/>
  <c r="B50" i="1" s="1"/>
  <c r="B50" i="3"/>
  <c r="A50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L49" i="1" s="1"/>
  <c r="D49" i="3"/>
  <c r="D49" i="1" s="1"/>
  <c r="C49" i="3"/>
  <c r="B49" i="1" s="1"/>
  <c r="B49" i="3"/>
  <c r="A49" i="3"/>
  <c r="T48" i="3"/>
  <c r="S48" i="3"/>
  <c r="R48" i="3"/>
  <c r="Q48" i="3"/>
  <c r="P48" i="3"/>
  <c r="O48" i="3"/>
  <c r="N48" i="3"/>
  <c r="M48" i="3"/>
  <c r="L48" i="3"/>
  <c r="K48" i="3"/>
  <c r="J48" i="3"/>
  <c r="I48" i="1" s="1"/>
  <c r="I48" i="3"/>
  <c r="H48" i="3"/>
  <c r="G48" i="3"/>
  <c r="F48" i="3"/>
  <c r="E48" i="3"/>
  <c r="L48" i="1" s="1"/>
  <c r="D48" i="3"/>
  <c r="C48" i="3"/>
  <c r="B48" i="3"/>
  <c r="A48" i="3"/>
  <c r="T47" i="3"/>
  <c r="S47" i="3"/>
  <c r="R47" i="3"/>
  <c r="Q47" i="3"/>
  <c r="P47" i="3"/>
  <c r="O47" i="3"/>
  <c r="N47" i="3"/>
  <c r="M47" i="3"/>
  <c r="L47" i="3"/>
  <c r="K47" i="3"/>
  <c r="J47" i="3"/>
  <c r="I47" i="1" s="1"/>
  <c r="I47" i="3"/>
  <c r="H47" i="3"/>
  <c r="G47" i="3"/>
  <c r="F47" i="3"/>
  <c r="E47" i="3"/>
  <c r="D47" i="3"/>
  <c r="C47" i="3"/>
  <c r="B47" i="3"/>
  <c r="A47" i="3"/>
  <c r="T46" i="3"/>
  <c r="S46" i="3"/>
  <c r="R46" i="3"/>
  <c r="Q46" i="3"/>
  <c r="P46" i="3"/>
  <c r="O46" i="3"/>
  <c r="N46" i="3"/>
  <c r="P46" i="1" s="1"/>
  <c r="M46" i="3"/>
  <c r="L46" i="3"/>
  <c r="K46" i="3"/>
  <c r="J46" i="3"/>
  <c r="I46" i="1" s="1"/>
  <c r="I46" i="3"/>
  <c r="H46" i="3"/>
  <c r="G46" i="3"/>
  <c r="F46" i="3"/>
  <c r="E46" i="3"/>
  <c r="L46" i="1" s="1"/>
  <c r="D46" i="3"/>
  <c r="C46" i="3"/>
  <c r="B46" i="1" s="1"/>
  <c r="B46" i="3"/>
  <c r="A46" i="3"/>
  <c r="T45" i="3"/>
  <c r="S45" i="3"/>
  <c r="R45" i="3"/>
  <c r="Q45" i="3"/>
  <c r="P45" i="3"/>
  <c r="O45" i="3"/>
  <c r="N45" i="3"/>
  <c r="M45" i="3"/>
  <c r="L45" i="3"/>
  <c r="K45" i="3"/>
  <c r="J45" i="3"/>
  <c r="I45" i="1" s="1"/>
  <c r="I45" i="3"/>
  <c r="H45" i="3"/>
  <c r="G45" i="3"/>
  <c r="F45" i="3"/>
  <c r="E45" i="3"/>
  <c r="L45" i="1" s="1"/>
  <c r="D45" i="3"/>
  <c r="D45" i="1" s="1"/>
  <c r="C45" i="3"/>
  <c r="B45" i="3"/>
  <c r="A45" i="3"/>
  <c r="T44" i="3"/>
  <c r="S44" i="3"/>
  <c r="R44" i="3"/>
  <c r="Q44" i="3"/>
  <c r="P44" i="3"/>
  <c r="O44" i="3"/>
  <c r="N44" i="3"/>
  <c r="M44" i="3"/>
  <c r="L44" i="3"/>
  <c r="K44" i="3"/>
  <c r="J44" i="3"/>
  <c r="I44" i="1" s="1"/>
  <c r="I44" i="3"/>
  <c r="H44" i="3"/>
  <c r="G44" i="3"/>
  <c r="F44" i="3"/>
  <c r="E44" i="3"/>
  <c r="L44" i="1" s="1"/>
  <c r="D44" i="3"/>
  <c r="C44" i="3"/>
  <c r="B44" i="3"/>
  <c r="A44" i="3"/>
  <c r="T43" i="3"/>
  <c r="S43" i="3"/>
  <c r="R43" i="3"/>
  <c r="Q43" i="3"/>
  <c r="P43" i="3"/>
  <c r="O43" i="3"/>
  <c r="N43" i="3"/>
  <c r="P43" i="1" s="1"/>
  <c r="M43" i="3"/>
  <c r="L43" i="3"/>
  <c r="K43" i="3"/>
  <c r="J43" i="3"/>
  <c r="I43" i="1" s="1"/>
  <c r="I43" i="3"/>
  <c r="H43" i="3"/>
  <c r="G43" i="3"/>
  <c r="F43" i="3"/>
  <c r="E43" i="3"/>
  <c r="D43" i="3"/>
  <c r="C43" i="3"/>
  <c r="B43" i="3"/>
  <c r="A43" i="3"/>
  <c r="T42" i="3"/>
  <c r="S42" i="3"/>
  <c r="R42" i="3"/>
  <c r="Q42" i="3"/>
  <c r="P42" i="3"/>
  <c r="O42" i="3"/>
  <c r="N42" i="3"/>
  <c r="P42" i="1" s="1"/>
  <c r="M42" i="3"/>
  <c r="L42" i="3"/>
  <c r="K42" i="3"/>
  <c r="J42" i="3"/>
  <c r="I42" i="1" s="1"/>
  <c r="I42" i="3"/>
  <c r="H42" i="3"/>
  <c r="G42" i="3"/>
  <c r="F42" i="3"/>
  <c r="E42" i="3"/>
  <c r="L42" i="1" s="1"/>
  <c r="D42" i="3"/>
  <c r="C42" i="3"/>
  <c r="B42" i="3"/>
  <c r="A42" i="3"/>
  <c r="T41" i="3"/>
  <c r="S41" i="3"/>
  <c r="R41" i="3"/>
  <c r="Q41" i="3"/>
  <c r="P41" i="3"/>
  <c r="O41" i="3"/>
  <c r="N41" i="3"/>
  <c r="M41" i="3"/>
  <c r="L41" i="3"/>
  <c r="K41" i="3"/>
  <c r="J41" i="3"/>
  <c r="I41" i="1" s="1"/>
  <c r="I41" i="3"/>
  <c r="H41" i="3"/>
  <c r="G41" i="3"/>
  <c r="F41" i="3"/>
  <c r="E41" i="3"/>
  <c r="L41" i="1" s="1"/>
  <c r="D41" i="3"/>
  <c r="D41" i="1" s="1"/>
  <c r="C41" i="3"/>
  <c r="B41" i="1" s="1"/>
  <c r="B41" i="3"/>
  <c r="A41" i="3"/>
  <c r="T40" i="3"/>
  <c r="S40" i="3"/>
  <c r="R40" i="3"/>
  <c r="Q40" i="3"/>
  <c r="P40" i="3"/>
  <c r="O40" i="3"/>
  <c r="N40" i="3"/>
  <c r="M40" i="3"/>
  <c r="L40" i="3"/>
  <c r="K40" i="3"/>
  <c r="J40" i="3"/>
  <c r="I40" i="1" s="1"/>
  <c r="I40" i="3"/>
  <c r="H40" i="3"/>
  <c r="G40" i="3"/>
  <c r="F40" i="3"/>
  <c r="E40" i="3"/>
  <c r="L40" i="1" s="1"/>
  <c r="D40" i="3"/>
  <c r="C40" i="3"/>
  <c r="B40" i="3"/>
  <c r="A40" i="3"/>
  <c r="T39" i="3"/>
  <c r="S39" i="3"/>
  <c r="R39" i="3"/>
  <c r="Q39" i="3"/>
  <c r="P39" i="3"/>
  <c r="O39" i="3"/>
  <c r="N39" i="3"/>
  <c r="P39" i="1" s="1"/>
  <c r="M39" i="3"/>
  <c r="L39" i="3"/>
  <c r="K39" i="3"/>
  <c r="J39" i="3"/>
  <c r="I39" i="1" s="1"/>
  <c r="I39" i="3"/>
  <c r="H39" i="3"/>
  <c r="G39" i="3"/>
  <c r="F39" i="3"/>
  <c r="E39" i="3"/>
  <c r="D39" i="3"/>
  <c r="C39" i="3"/>
  <c r="B39" i="3"/>
  <c r="A39" i="3"/>
  <c r="T38" i="3"/>
  <c r="S38" i="3"/>
  <c r="R38" i="3"/>
  <c r="Q38" i="3"/>
  <c r="P38" i="3"/>
  <c r="O38" i="3"/>
  <c r="N38" i="3"/>
  <c r="P38" i="1" s="1"/>
  <c r="M38" i="3"/>
  <c r="L38" i="3"/>
  <c r="K38" i="3"/>
  <c r="J38" i="3"/>
  <c r="I38" i="1" s="1"/>
  <c r="I38" i="3"/>
  <c r="H38" i="3"/>
  <c r="G38" i="3"/>
  <c r="F38" i="3"/>
  <c r="E38" i="3"/>
  <c r="L38" i="1" s="1"/>
  <c r="D38" i="3"/>
  <c r="D38" i="1" s="1"/>
  <c r="C38" i="3"/>
  <c r="B38" i="1" s="1"/>
  <c r="B38" i="3"/>
  <c r="A38" i="3"/>
  <c r="T37" i="3"/>
  <c r="S37" i="3"/>
  <c r="R37" i="3"/>
  <c r="Q37" i="3"/>
  <c r="P37" i="3"/>
  <c r="O37" i="3"/>
  <c r="N37" i="3"/>
  <c r="M37" i="3"/>
  <c r="L37" i="3"/>
  <c r="K37" i="3"/>
  <c r="J37" i="3"/>
  <c r="I37" i="1" s="1"/>
  <c r="I37" i="3"/>
  <c r="H37" i="3"/>
  <c r="G37" i="3"/>
  <c r="F37" i="3"/>
  <c r="E37" i="3"/>
  <c r="L37" i="1" s="1"/>
  <c r="D37" i="3"/>
  <c r="C37" i="3"/>
  <c r="B37" i="3"/>
  <c r="A37" i="3"/>
  <c r="T36" i="3"/>
  <c r="S36" i="3"/>
  <c r="R36" i="3"/>
  <c r="Q36" i="3"/>
  <c r="P36" i="3"/>
  <c r="O36" i="3"/>
  <c r="N36" i="3"/>
  <c r="M36" i="3"/>
  <c r="L36" i="3"/>
  <c r="K36" i="3"/>
  <c r="J36" i="3"/>
  <c r="I36" i="1" s="1"/>
  <c r="I36" i="3"/>
  <c r="H36" i="3"/>
  <c r="G36" i="3"/>
  <c r="F36" i="3"/>
  <c r="E36" i="3"/>
  <c r="L36" i="1" s="1"/>
  <c r="D36" i="3"/>
  <c r="C36" i="3"/>
  <c r="B36" i="3"/>
  <c r="A36" i="3"/>
  <c r="T35" i="3"/>
  <c r="S35" i="3"/>
  <c r="R35" i="3"/>
  <c r="Q35" i="3"/>
  <c r="P35" i="3"/>
  <c r="O35" i="3"/>
  <c r="N35" i="3"/>
  <c r="M35" i="3"/>
  <c r="L35" i="3"/>
  <c r="K35" i="3"/>
  <c r="J35" i="3"/>
  <c r="I35" i="1" s="1"/>
  <c r="I35" i="3"/>
  <c r="H35" i="3"/>
  <c r="G35" i="3"/>
  <c r="F35" i="3"/>
  <c r="E35" i="3"/>
  <c r="D35" i="3"/>
  <c r="C35" i="3"/>
  <c r="B35" i="3"/>
  <c r="A35" i="3"/>
  <c r="T34" i="3"/>
  <c r="S34" i="3"/>
  <c r="R34" i="3"/>
  <c r="Q34" i="3"/>
  <c r="P34" i="3"/>
  <c r="O34" i="3"/>
  <c r="N34" i="3"/>
  <c r="P34" i="1" s="1"/>
  <c r="M34" i="3"/>
  <c r="L34" i="3"/>
  <c r="K34" i="3"/>
  <c r="J34" i="3"/>
  <c r="I34" i="1" s="1"/>
  <c r="I34" i="3"/>
  <c r="H34" i="3"/>
  <c r="G34" i="3"/>
  <c r="F34" i="3"/>
  <c r="E34" i="3"/>
  <c r="L34" i="1" s="1"/>
  <c r="D34" i="3"/>
  <c r="C34" i="3"/>
  <c r="B34" i="3"/>
  <c r="A34" i="3"/>
  <c r="T33" i="3"/>
  <c r="S33" i="3"/>
  <c r="R33" i="3"/>
  <c r="Q33" i="3"/>
  <c r="P33" i="3"/>
  <c r="O33" i="3"/>
  <c r="N33" i="3"/>
  <c r="M33" i="3"/>
  <c r="L33" i="3"/>
  <c r="K33" i="3"/>
  <c r="J33" i="3"/>
  <c r="I33" i="1" s="1"/>
  <c r="I33" i="3"/>
  <c r="H33" i="3"/>
  <c r="G33" i="3"/>
  <c r="F33" i="3"/>
  <c r="E33" i="3"/>
  <c r="L33" i="1" s="1"/>
  <c r="D33" i="3"/>
  <c r="D33" i="1" s="1"/>
  <c r="C33" i="3"/>
  <c r="B33" i="1" s="1"/>
  <c r="B33" i="3"/>
  <c r="A33" i="3"/>
  <c r="T32" i="3"/>
  <c r="S32" i="3"/>
  <c r="R32" i="3"/>
  <c r="Q32" i="3"/>
  <c r="P32" i="3"/>
  <c r="O32" i="3"/>
  <c r="N32" i="3"/>
  <c r="M32" i="3"/>
  <c r="L32" i="3"/>
  <c r="K32" i="3"/>
  <c r="J32" i="3"/>
  <c r="I32" i="1" s="1"/>
  <c r="I32" i="3"/>
  <c r="H32" i="3"/>
  <c r="G32" i="3"/>
  <c r="F32" i="3"/>
  <c r="E32" i="3"/>
  <c r="L32" i="1" s="1"/>
  <c r="D32" i="3"/>
  <c r="C32" i="3"/>
  <c r="B32" i="3"/>
  <c r="A32" i="3"/>
  <c r="T31" i="3"/>
  <c r="S31" i="3"/>
  <c r="R31" i="3"/>
  <c r="Q31" i="3"/>
  <c r="P31" i="3"/>
  <c r="O31" i="3"/>
  <c r="N31" i="3"/>
  <c r="P31" i="1" s="1"/>
  <c r="M31" i="3"/>
  <c r="L31" i="3"/>
  <c r="K31" i="3"/>
  <c r="J31" i="3"/>
  <c r="I31" i="1" s="1"/>
  <c r="I31" i="3"/>
  <c r="H31" i="3"/>
  <c r="G31" i="3"/>
  <c r="F31" i="3"/>
  <c r="E31" i="3"/>
  <c r="D31" i="3"/>
  <c r="C31" i="3"/>
  <c r="B31" i="3"/>
  <c r="A31" i="3"/>
  <c r="T30" i="3"/>
  <c r="S30" i="3"/>
  <c r="R30" i="3"/>
  <c r="Q30" i="3"/>
  <c r="P30" i="3"/>
  <c r="O30" i="3"/>
  <c r="N30" i="3"/>
  <c r="P30" i="1" s="1"/>
  <c r="M30" i="3"/>
  <c r="L30" i="3"/>
  <c r="K30" i="3"/>
  <c r="J30" i="3"/>
  <c r="I30" i="1" s="1"/>
  <c r="I30" i="3"/>
  <c r="H30" i="3"/>
  <c r="G30" i="3"/>
  <c r="F30" i="3"/>
  <c r="E30" i="3"/>
  <c r="L30" i="1" s="1"/>
  <c r="D30" i="3"/>
  <c r="D30" i="1" s="1"/>
  <c r="C30" i="3"/>
  <c r="B30" i="1" s="1"/>
  <c r="B30" i="3"/>
  <c r="A30" i="3"/>
  <c r="T29" i="3"/>
  <c r="S29" i="3"/>
  <c r="R29" i="3"/>
  <c r="Q29" i="3"/>
  <c r="P29" i="3"/>
  <c r="O29" i="3"/>
  <c r="N29" i="3"/>
  <c r="M29" i="3"/>
  <c r="L29" i="3"/>
  <c r="K29" i="3"/>
  <c r="J29" i="3"/>
  <c r="I29" i="1" s="1"/>
  <c r="I29" i="3"/>
  <c r="H29" i="3"/>
  <c r="G29" i="3"/>
  <c r="F29" i="3"/>
  <c r="E29" i="3"/>
  <c r="L29" i="1" s="1"/>
  <c r="D29" i="3"/>
  <c r="D29" i="1" s="1"/>
  <c r="C29" i="3"/>
  <c r="B29" i="3"/>
  <c r="A29" i="3"/>
  <c r="T28" i="3"/>
  <c r="S28" i="3"/>
  <c r="R28" i="3"/>
  <c r="Q28" i="3"/>
  <c r="P28" i="3"/>
  <c r="O28" i="3"/>
  <c r="N28" i="3"/>
  <c r="M28" i="3"/>
  <c r="L28" i="3"/>
  <c r="K28" i="3"/>
  <c r="J28" i="3"/>
  <c r="I28" i="1" s="1"/>
  <c r="I28" i="3"/>
  <c r="H28" i="3"/>
  <c r="G28" i="3"/>
  <c r="F28" i="3"/>
  <c r="E28" i="3"/>
  <c r="L28" i="1" s="1"/>
  <c r="D28" i="3"/>
  <c r="C28" i="3"/>
  <c r="B28" i="3"/>
  <c r="A28" i="3"/>
  <c r="T27" i="3"/>
  <c r="S27" i="3"/>
  <c r="R27" i="3"/>
  <c r="Q27" i="3"/>
  <c r="P27" i="3"/>
  <c r="O27" i="3"/>
  <c r="N27" i="3"/>
  <c r="M27" i="3"/>
  <c r="L27" i="3"/>
  <c r="K27" i="3"/>
  <c r="J27" i="3"/>
  <c r="I27" i="1" s="1"/>
  <c r="I27" i="3"/>
  <c r="H27" i="3"/>
  <c r="G27" i="3"/>
  <c r="F27" i="3"/>
  <c r="E27" i="3"/>
  <c r="D27" i="3"/>
  <c r="C27" i="3"/>
  <c r="B27" i="3"/>
  <c r="A27" i="3"/>
  <c r="T26" i="3"/>
  <c r="S26" i="3"/>
  <c r="R26" i="3"/>
  <c r="Q26" i="3"/>
  <c r="P26" i="3"/>
  <c r="O26" i="3"/>
  <c r="N26" i="3"/>
  <c r="P26" i="1" s="1"/>
  <c r="M26" i="3"/>
  <c r="L26" i="3"/>
  <c r="K26" i="3"/>
  <c r="J26" i="3"/>
  <c r="I26" i="1" s="1"/>
  <c r="I26" i="3"/>
  <c r="H26" i="3"/>
  <c r="G26" i="3"/>
  <c r="F26" i="3"/>
  <c r="E26" i="3"/>
  <c r="L26" i="1" s="1"/>
  <c r="D26" i="3"/>
  <c r="C26" i="3"/>
  <c r="B26" i="3"/>
  <c r="A26" i="3"/>
  <c r="T25" i="3"/>
  <c r="S25" i="3"/>
  <c r="R25" i="3"/>
  <c r="Q25" i="3"/>
  <c r="P25" i="3"/>
  <c r="O25" i="3"/>
  <c r="N25" i="3"/>
  <c r="M25" i="3"/>
  <c r="L25" i="3"/>
  <c r="K25" i="3"/>
  <c r="J25" i="3"/>
  <c r="I25" i="1" s="1"/>
  <c r="I25" i="3"/>
  <c r="H25" i="3"/>
  <c r="G25" i="3"/>
  <c r="F25" i="3"/>
  <c r="E25" i="3"/>
  <c r="L25" i="1" s="1"/>
  <c r="D25" i="3"/>
  <c r="D25" i="1" s="1"/>
  <c r="C25" i="3"/>
  <c r="B25" i="1" s="1"/>
  <c r="B25" i="3"/>
  <c r="A25" i="3"/>
  <c r="T24" i="3"/>
  <c r="S24" i="3"/>
  <c r="R24" i="3"/>
  <c r="Q24" i="3"/>
  <c r="P24" i="3"/>
  <c r="O24" i="3"/>
  <c r="N24" i="3"/>
  <c r="M24" i="3"/>
  <c r="L24" i="3"/>
  <c r="K24" i="3"/>
  <c r="J24" i="3"/>
  <c r="I24" i="1" s="1"/>
  <c r="I24" i="3"/>
  <c r="H24" i="3"/>
  <c r="G24" i="3"/>
  <c r="F24" i="3"/>
  <c r="E24" i="3"/>
  <c r="L24" i="1" s="1"/>
  <c r="D24" i="3"/>
  <c r="C24" i="3"/>
  <c r="B24" i="3"/>
  <c r="A24" i="3"/>
  <c r="T23" i="3"/>
  <c r="S23" i="3"/>
  <c r="R23" i="3"/>
  <c r="Q23" i="3"/>
  <c r="P23" i="3"/>
  <c r="O23" i="3"/>
  <c r="N23" i="3"/>
  <c r="P23" i="1" s="1"/>
  <c r="M23" i="3"/>
  <c r="L23" i="3"/>
  <c r="K23" i="3"/>
  <c r="J23" i="3"/>
  <c r="I23" i="1" s="1"/>
  <c r="I23" i="3"/>
  <c r="H23" i="3"/>
  <c r="G23" i="3"/>
  <c r="F23" i="3"/>
  <c r="E23" i="3"/>
  <c r="D23" i="3"/>
  <c r="C23" i="3"/>
  <c r="B23" i="3"/>
  <c r="A23" i="3"/>
  <c r="T22" i="3"/>
  <c r="S22" i="3"/>
  <c r="R22" i="3"/>
  <c r="Q22" i="3"/>
  <c r="P22" i="3"/>
  <c r="O22" i="3"/>
  <c r="N22" i="3"/>
  <c r="P22" i="1" s="1"/>
  <c r="M22" i="3"/>
  <c r="L22" i="3"/>
  <c r="K22" i="3"/>
  <c r="J22" i="3"/>
  <c r="I22" i="1" s="1"/>
  <c r="I22" i="3"/>
  <c r="H22" i="3"/>
  <c r="G22" i="3"/>
  <c r="F22" i="3"/>
  <c r="E22" i="3"/>
  <c r="L22" i="1" s="1"/>
  <c r="D22" i="3"/>
  <c r="D22" i="1" s="1"/>
  <c r="C22" i="3"/>
  <c r="B22" i="1" s="1"/>
  <c r="B22" i="3"/>
  <c r="A22" i="3"/>
  <c r="T21" i="3"/>
  <c r="S21" i="3"/>
  <c r="R21" i="3"/>
  <c r="Q21" i="3"/>
  <c r="P21" i="3"/>
  <c r="O21" i="3"/>
  <c r="N21" i="3"/>
  <c r="M21" i="3"/>
  <c r="L21" i="3"/>
  <c r="K21" i="3"/>
  <c r="J21" i="3"/>
  <c r="I21" i="1" s="1"/>
  <c r="I21" i="3"/>
  <c r="H21" i="3"/>
  <c r="G21" i="3"/>
  <c r="F21" i="3"/>
  <c r="E21" i="3"/>
  <c r="L21" i="1" s="1"/>
  <c r="D21" i="3"/>
  <c r="D21" i="1" s="1"/>
  <c r="C21" i="3"/>
  <c r="B21" i="1" s="1"/>
  <c r="B21" i="3"/>
  <c r="A21" i="3"/>
  <c r="T20" i="3"/>
  <c r="S20" i="3"/>
  <c r="R20" i="3"/>
  <c r="Q20" i="3"/>
  <c r="P20" i="3"/>
  <c r="O20" i="3"/>
  <c r="N20" i="3"/>
  <c r="M20" i="3"/>
  <c r="L20" i="3"/>
  <c r="K20" i="3"/>
  <c r="J20" i="3"/>
  <c r="I20" i="1" s="1"/>
  <c r="I20" i="3"/>
  <c r="H20" i="3"/>
  <c r="G20" i="3"/>
  <c r="F20" i="3"/>
  <c r="E20" i="3"/>
  <c r="L20" i="1" s="1"/>
  <c r="D20" i="3"/>
  <c r="C20" i="3"/>
  <c r="B20" i="3"/>
  <c r="A20" i="3"/>
  <c r="T19" i="3"/>
  <c r="S19" i="3"/>
  <c r="R19" i="3"/>
  <c r="Q19" i="3"/>
  <c r="P19" i="3"/>
  <c r="O19" i="3"/>
  <c r="N19" i="3"/>
  <c r="P19" i="1" s="1"/>
  <c r="M19" i="3"/>
  <c r="L19" i="3"/>
  <c r="K19" i="3"/>
  <c r="J19" i="3"/>
  <c r="I19" i="1" s="1"/>
  <c r="I19" i="3"/>
  <c r="H19" i="3"/>
  <c r="G19" i="3"/>
  <c r="F19" i="3"/>
  <c r="E19" i="3"/>
  <c r="D19" i="3"/>
  <c r="C19" i="3"/>
  <c r="B19" i="3"/>
  <c r="A19" i="3"/>
  <c r="T18" i="3"/>
  <c r="S18" i="3"/>
  <c r="R18" i="3"/>
  <c r="Q18" i="3"/>
  <c r="P18" i="3"/>
  <c r="O18" i="3"/>
  <c r="N18" i="3"/>
  <c r="P18" i="1" s="1"/>
  <c r="M18" i="3"/>
  <c r="L18" i="3"/>
  <c r="K18" i="3"/>
  <c r="J18" i="3"/>
  <c r="I18" i="1" s="1"/>
  <c r="I18" i="3"/>
  <c r="H18" i="3"/>
  <c r="G18" i="3"/>
  <c r="F18" i="3"/>
  <c r="E18" i="3"/>
  <c r="L18" i="1" s="1"/>
  <c r="D18" i="3"/>
  <c r="C18" i="3"/>
  <c r="B18" i="3"/>
  <c r="A18" i="3"/>
  <c r="T17" i="3"/>
  <c r="S17" i="3"/>
  <c r="R17" i="3"/>
  <c r="Q17" i="3"/>
  <c r="P17" i="3"/>
  <c r="O17" i="3"/>
  <c r="N17" i="3"/>
  <c r="M17" i="3"/>
  <c r="L17" i="3"/>
  <c r="K17" i="3"/>
  <c r="J17" i="3"/>
  <c r="I17" i="1" s="1"/>
  <c r="I17" i="3"/>
  <c r="H17" i="3"/>
  <c r="G17" i="3"/>
  <c r="F17" i="3"/>
  <c r="E17" i="3"/>
  <c r="L17" i="1" s="1"/>
  <c r="D17" i="3"/>
  <c r="D17" i="1" s="1"/>
  <c r="C17" i="3"/>
  <c r="B17" i="1" s="1"/>
  <c r="B17" i="3"/>
  <c r="A17" i="3"/>
  <c r="T16" i="3"/>
  <c r="S16" i="3"/>
  <c r="R16" i="3"/>
  <c r="Q16" i="3"/>
  <c r="P16" i="3"/>
  <c r="O16" i="3"/>
  <c r="N16" i="3"/>
  <c r="M16" i="3"/>
  <c r="L16" i="3"/>
  <c r="K16" i="3"/>
  <c r="J16" i="3"/>
  <c r="I16" i="1" s="1"/>
  <c r="I16" i="3"/>
  <c r="H16" i="3"/>
  <c r="G16" i="3"/>
  <c r="F16" i="3"/>
  <c r="E16" i="3"/>
  <c r="L16" i="1" s="1"/>
  <c r="D16" i="3"/>
  <c r="C16" i="3"/>
  <c r="B16" i="3"/>
  <c r="A16" i="3"/>
  <c r="T15" i="3"/>
  <c r="S15" i="3"/>
  <c r="R15" i="3"/>
  <c r="Q15" i="3"/>
  <c r="P15" i="3"/>
  <c r="O15" i="3"/>
  <c r="N15" i="3"/>
  <c r="P15" i="1" s="1"/>
  <c r="M15" i="3"/>
  <c r="L15" i="3"/>
  <c r="K15" i="3"/>
  <c r="J15" i="3"/>
  <c r="I15" i="1" s="1"/>
  <c r="I15" i="3"/>
  <c r="H15" i="3"/>
  <c r="G15" i="3"/>
  <c r="F15" i="3"/>
  <c r="E15" i="3"/>
  <c r="D15" i="3"/>
  <c r="C15" i="3"/>
  <c r="B15" i="3"/>
  <c r="A15" i="3"/>
  <c r="T14" i="3"/>
  <c r="S14" i="3"/>
  <c r="R14" i="3"/>
  <c r="Q14" i="3"/>
  <c r="P14" i="3"/>
  <c r="O14" i="3"/>
  <c r="N14" i="3"/>
  <c r="P14" i="1" s="1"/>
  <c r="M14" i="3"/>
  <c r="L14" i="3"/>
  <c r="K14" i="3"/>
  <c r="J14" i="3"/>
  <c r="I14" i="1" s="1"/>
  <c r="I14" i="3"/>
  <c r="H14" i="3"/>
  <c r="G14" i="3"/>
  <c r="F14" i="3"/>
  <c r="E14" i="3"/>
  <c r="L14" i="1" s="1"/>
  <c r="D14" i="3"/>
  <c r="D14" i="1" s="1"/>
  <c r="C14" i="3"/>
  <c r="B14" i="1" s="1"/>
  <c r="B14" i="3"/>
  <c r="A14" i="3"/>
  <c r="T13" i="3"/>
  <c r="S13" i="3"/>
  <c r="R13" i="3"/>
  <c r="Q13" i="3"/>
  <c r="P13" i="3"/>
  <c r="O13" i="3"/>
  <c r="N13" i="3"/>
  <c r="M13" i="3"/>
  <c r="L13" i="3"/>
  <c r="K13" i="3"/>
  <c r="J13" i="3"/>
  <c r="I13" i="1" s="1"/>
  <c r="I13" i="3"/>
  <c r="H13" i="3"/>
  <c r="G13" i="3"/>
  <c r="F13" i="3"/>
  <c r="E13" i="3"/>
  <c r="L13" i="1" s="1"/>
  <c r="D13" i="3"/>
  <c r="D13" i="1" s="1"/>
  <c r="C13" i="3"/>
  <c r="B13" i="1" s="1"/>
  <c r="B13" i="3"/>
  <c r="A13" i="3"/>
  <c r="T12" i="3"/>
  <c r="S12" i="3"/>
  <c r="R12" i="3"/>
  <c r="Q12" i="3"/>
  <c r="P12" i="3"/>
  <c r="O12" i="3"/>
  <c r="N12" i="3"/>
  <c r="M12" i="3"/>
  <c r="L12" i="3"/>
  <c r="K12" i="3"/>
  <c r="J12" i="3"/>
  <c r="I12" i="1" s="1"/>
  <c r="I12" i="3"/>
  <c r="H12" i="3"/>
  <c r="G12" i="3"/>
  <c r="F12" i="3"/>
  <c r="E12" i="3"/>
  <c r="L12" i="1" s="1"/>
  <c r="D12" i="3"/>
  <c r="C12" i="3"/>
  <c r="B12" i="3"/>
  <c r="A12" i="3"/>
  <c r="T11" i="3"/>
  <c r="S11" i="3"/>
  <c r="R11" i="3"/>
  <c r="Q11" i="3"/>
  <c r="P11" i="3"/>
  <c r="O11" i="3"/>
  <c r="N11" i="3"/>
  <c r="P11" i="1" s="1"/>
  <c r="M11" i="3"/>
  <c r="L11" i="3"/>
  <c r="K11" i="3"/>
  <c r="J11" i="3"/>
  <c r="I11" i="1" s="1"/>
  <c r="I11" i="3"/>
  <c r="H11" i="3"/>
  <c r="G11" i="3"/>
  <c r="F11" i="3"/>
  <c r="E11" i="3"/>
  <c r="D11" i="3"/>
  <c r="C11" i="3"/>
  <c r="B11" i="3"/>
  <c r="A11" i="3"/>
  <c r="T10" i="3"/>
  <c r="S10" i="3"/>
  <c r="R10" i="3"/>
  <c r="Q10" i="3"/>
  <c r="P10" i="3"/>
  <c r="O10" i="3"/>
  <c r="N10" i="3"/>
  <c r="P10" i="1" s="1"/>
  <c r="M10" i="3"/>
  <c r="L10" i="3"/>
  <c r="K10" i="3"/>
  <c r="J10" i="3"/>
  <c r="I10" i="1" s="1"/>
  <c r="I10" i="3"/>
  <c r="H10" i="3"/>
  <c r="G10" i="3"/>
  <c r="F10" i="3"/>
  <c r="E10" i="3"/>
  <c r="L10" i="1" s="1"/>
  <c r="D10" i="3"/>
  <c r="D10" i="1" s="1"/>
  <c r="C10" i="3"/>
  <c r="B10" i="1" s="1"/>
  <c r="B10" i="3"/>
  <c r="A10" i="3"/>
  <c r="T9" i="3"/>
  <c r="S9" i="3"/>
  <c r="R9" i="3"/>
  <c r="Q9" i="3"/>
  <c r="P9" i="3"/>
  <c r="O9" i="3"/>
  <c r="N9" i="3"/>
  <c r="M9" i="3"/>
  <c r="L9" i="3"/>
  <c r="K9" i="3"/>
  <c r="J9" i="3"/>
  <c r="I9" i="1" s="1"/>
  <c r="I9" i="3"/>
  <c r="H9" i="3"/>
  <c r="G9" i="3"/>
  <c r="F9" i="3"/>
  <c r="E9" i="3"/>
  <c r="L9" i="1" s="1"/>
  <c r="D9" i="3"/>
  <c r="D9" i="1" s="1"/>
  <c r="C9" i="3"/>
  <c r="B9" i="1" s="1"/>
  <c r="B9" i="3"/>
  <c r="A9" i="3"/>
  <c r="T8" i="3"/>
  <c r="S8" i="3"/>
  <c r="R8" i="3"/>
  <c r="Q8" i="3"/>
  <c r="P8" i="3"/>
  <c r="O8" i="3"/>
  <c r="N8" i="3"/>
  <c r="M8" i="3"/>
  <c r="L8" i="3"/>
  <c r="K8" i="3"/>
  <c r="J8" i="3"/>
  <c r="I8" i="1" s="1"/>
  <c r="I8" i="3"/>
  <c r="H8" i="3"/>
  <c r="G8" i="3"/>
  <c r="F8" i="3"/>
  <c r="E8" i="3"/>
  <c r="L8" i="1" s="1"/>
  <c r="D8" i="3"/>
  <c r="C8" i="3"/>
  <c r="B8" i="3"/>
  <c r="A8" i="3"/>
  <c r="T7" i="3"/>
  <c r="S7" i="3"/>
  <c r="R7" i="3"/>
  <c r="Q7" i="3"/>
  <c r="P7" i="3"/>
  <c r="O7" i="3"/>
  <c r="N7" i="3"/>
  <c r="P7" i="1" s="1"/>
  <c r="M7" i="3"/>
  <c r="L7" i="3"/>
  <c r="K7" i="3"/>
  <c r="J7" i="3"/>
  <c r="I7" i="1" s="1"/>
  <c r="I7" i="3"/>
  <c r="H7" i="3"/>
  <c r="G7" i="3"/>
  <c r="F7" i="3"/>
  <c r="E7" i="3"/>
  <c r="D7" i="3"/>
  <c r="C7" i="3"/>
  <c r="B7" i="3"/>
  <c r="A7" i="3"/>
  <c r="T6" i="3"/>
  <c r="S6" i="3"/>
  <c r="R6" i="3"/>
  <c r="Q6" i="3"/>
  <c r="P6" i="3"/>
  <c r="O6" i="3"/>
  <c r="N6" i="3"/>
  <c r="M6" i="3"/>
  <c r="L6" i="3"/>
  <c r="K6" i="3"/>
  <c r="J6" i="3"/>
  <c r="I6" i="1" s="1"/>
  <c r="I6" i="3"/>
  <c r="H6" i="3"/>
  <c r="G6" i="3"/>
  <c r="F6" i="3"/>
  <c r="E6" i="3"/>
  <c r="L6" i="1" s="1"/>
  <c r="D6" i="3"/>
  <c r="D6" i="1" s="1"/>
  <c r="C6" i="3"/>
  <c r="B6" i="1" s="1"/>
  <c r="B6" i="3"/>
  <c r="A6" i="3"/>
  <c r="T5" i="3"/>
  <c r="S5" i="3"/>
  <c r="R5" i="3"/>
  <c r="Q5" i="3"/>
  <c r="P5" i="3"/>
  <c r="O5" i="3"/>
  <c r="N5" i="3"/>
  <c r="M5" i="3"/>
  <c r="L5" i="3"/>
  <c r="K5" i="3"/>
  <c r="J5" i="3"/>
  <c r="I5" i="1" s="1"/>
  <c r="I5" i="3"/>
  <c r="H5" i="3"/>
  <c r="G5" i="3"/>
  <c r="F5" i="3"/>
  <c r="E5" i="3"/>
  <c r="L5" i="1" s="1"/>
  <c r="D5" i="3"/>
  <c r="C5" i="3"/>
  <c r="B5" i="1" s="1"/>
  <c r="B5" i="3"/>
  <c r="A5" i="3"/>
  <c r="T4" i="3"/>
  <c r="S4" i="3"/>
  <c r="R4" i="3"/>
  <c r="Q4" i="3"/>
  <c r="P4" i="3"/>
  <c r="O4" i="3"/>
  <c r="N4" i="3"/>
  <c r="M4" i="3"/>
  <c r="L4" i="3"/>
  <c r="K4" i="3"/>
  <c r="J4" i="3"/>
  <c r="I4" i="1" s="1"/>
  <c r="I4" i="3"/>
  <c r="H4" i="3"/>
  <c r="G4" i="3"/>
  <c r="F4" i="3"/>
  <c r="E4" i="3"/>
  <c r="L4" i="1" s="1"/>
  <c r="D4" i="3"/>
  <c r="C4" i="3"/>
  <c r="B4" i="3"/>
  <c r="A4" i="3"/>
  <c r="T3" i="3"/>
  <c r="S3" i="3"/>
  <c r="R3" i="3"/>
  <c r="Q3" i="3"/>
  <c r="P3" i="3"/>
  <c r="O3" i="3"/>
  <c r="N3" i="3"/>
  <c r="P3" i="1" s="1"/>
  <c r="M3" i="3"/>
  <c r="L3" i="3"/>
  <c r="K3" i="3"/>
  <c r="J3" i="3"/>
  <c r="I3" i="1" s="1"/>
  <c r="I3" i="3"/>
  <c r="H3" i="3"/>
  <c r="G3" i="3"/>
  <c r="F3" i="3"/>
  <c r="E3" i="3"/>
  <c r="D3" i="3"/>
  <c r="C3" i="3"/>
  <c r="B3" i="3"/>
  <c r="A3" i="3"/>
  <c r="T2" i="3"/>
  <c r="S2" i="3"/>
  <c r="R2" i="3"/>
  <c r="Q2" i="3"/>
  <c r="P2" i="3"/>
  <c r="O2" i="3"/>
  <c r="N2" i="3"/>
  <c r="P2" i="1" s="1"/>
  <c r="M2" i="3"/>
  <c r="L2" i="3"/>
  <c r="K2" i="3"/>
  <c r="J2" i="3"/>
  <c r="I2" i="3"/>
  <c r="H2" i="3"/>
  <c r="G2" i="3"/>
  <c r="F2" i="3"/>
  <c r="E2" i="3"/>
  <c r="L2" i="1" s="1"/>
  <c r="D2" i="3"/>
  <c r="D2" i="1" s="1"/>
  <c r="C2" i="3"/>
  <c r="B2" i="1" s="1"/>
  <c r="B2" i="3"/>
  <c r="A2" i="3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H96" i="1" s="1"/>
  <c r="E96" i="2"/>
  <c r="D96" i="2"/>
  <c r="C96" i="1" s="1"/>
  <c r="C96" i="2"/>
  <c r="A96" i="1" s="1"/>
  <c r="B96" i="2"/>
  <c r="A96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H95" i="1" s="1"/>
  <c r="E95" i="2"/>
  <c r="K95" i="1" s="1"/>
  <c r="D95" i="2"/>
  <c r="C95" i="2"/>
  <c r="B95" i="2"/>
  <c r="A95" i="2"/>
  <c r="T94" i="2"/>
  <c r="S94" i="2"/>
  <c r="R94" i="2"/>
  <c r="Q94" i="2"/>
  <c r="P94" i="2"/>
  <c r="O94" i="2"/>
  <c r="N94" i="2"/>
  <c r="O94" i="1" s="1"/>
  <c r="M94" i="2"/>
  <c r="L94" i="2"/>
  <c r="K94" i="2"/>
  <c r="J94" i="2"/>
  <c r="I94" i="2"/>
  <c r="H94" i="2"/>
  <c r="G94" i="2"/>
  <c r="F94" i="2"/>
  <c r="H94" i="1" s="1"/>
  <c r="E94" i="2"/>
  <c r="D94" i="2"/>
  <c r="C94" i="2"/>
  <c r="B94" i="2"/>
  <c r="A94" i="2"/>
  <c r="T93" i="2"/>
  <c r="S93" i="2"/>
  <c r="R93" i="2"/>
  <c r="Q93" i="2"/>
  <c r="P93" i="2"/>
  <c r="O93" i="2"/>
  <c r="N93" i="2"/>
  <c r="O93" i="1" s="1"/>
  <c r="M93" i="2"/>
  <c r="L93" i="2"/>
  <c r="K93" i="2"/>
  <c r="J93" i="2"/>
  <c r="I93" i="2"/>
  <c r="H93" i="2"/>
  <c r="G93" i="2"/>
  <c r="F93" i="2"/>
  <c r="H93" i="1" s="1"/>
  <c r="E93" i="2"/>
  <c r="K93" i="1" s="1"/>
  <c r="D93" i="2"/>
  <c r="C93" i="1" s="1"/>
  <c r="C93" i="2"/>
  <c r="B93" i="2"/>
  <c r="A93" i="2"/>
  <c r="T92" i="2"/>
  <c r="S92" i="2"/>
  <c r="R92" i="2"/>
  <c r="Q92" i="2"/>
  <c r="P92" i="2"/>
  <c r="O92" i="2"/>
  <c r="N92" i="2"/>
  <c r="O92" i="1" s="1"/>
  <c r="M92" i="2"/>
  <c r="L92" i="2"/>
  <c r="K92" i="2"/>
  <c r="J92" i="2"/>
  <c r="I92" i="2"/>
  <c r="H92" i="2"/>
  <c r="G92" i="2"/>
  <c r="F92" i="2"/>
  <c r="H92" i="1" s="1"/>
  <c r="E92" i="2"/>
  <c r="K92" i="1" s="1"/>
  <c r="D92" i="2"/>
  <c r="C92" i="1" s="1"/>
  <c r="C92" i="2"/>
  <c r="A92" i="1" s="1"/>
  <c r="B92" i="2"/>
  <c r="A92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H91" i="1" s="1"/>
  <c r="E91" i="2"/>
  <c r="D91" i="2"/>
  <c r="C91" i="2"/>
  <c r="A91" i="1" s="1"/>
  <c r="B91" i="2"/>
  <c r="A91" i="2"/>
  <c r="T90" i="2"/>
  <c r="S90" i="2"/>
  <c r="R90" i="2"/>
  <c r="Q90" i="2"/>
  <c r="P90" i="2"/>
  <c r="O90" i="2"/>
  <c r="N90" i="2"/>
  <c r="O90" i="1" s="1"/>
  <c r="M90" i="2"/>
  <c r="L90" i="2"/>
  <c r="K90" i="2"/>
  <c r="J90" i="2"/>
  <c r="I90" i="2"/>
  <c r="H90" i="2"/>
  <c r="G90" i="2"/>
  <c r="F90" i="2"/>
  <c r="H90" i="1" s="1"/>
  <c r="E90" i="2"/>
  <c r="D90" i="2"/>
  <c r="C90" i="2"/>
  <c r="B90" i="2"/>
  <c r="A90" i="2"/>
  <c r="T89" i="2"/>
  <c r="S89" i="2"/>
  <c r="R89" i="2"/>
  <c r="Q89" i="2"/>
  <c r="P89" i="2"/>
  <c r="O89" i="2"/>
  <c r="N89" i="2"/>
  <c r="O89" i="1" s="1"/>
  <c r="M89" i="2"/>
  <c r="L89" i="2"/>
  <c r="K89" i="2"/>
  <c r="J89" i="2"/>
  <c r="I89" i="2"/>
  <c r="H89" i="2"/>
  <c r="G89" i="2"/>
  <c r="F89" i="2"/>
  <c r="H89" i="1" s="1"/>
  <c r="E89" i="2"/>
  <c r="K89" i="1" s="1"/>
  <c r="D89" i="2"/>
  <c r="C89" i="1" s="1"/>
  <c r="C89" i="2"/>
  <c r="A89" i="1" s="1"/>
  <c r="B89" i="2"/>
  <c r="A89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H88" i="1" s="1"/>
  <c r="E88" i="2"/>
  <c r="K88" i="1" s="1"/>
  <c r="D88" i="2"/>
  <c r="C88" i="1" s="1"/>
  <c r="C88" i="2"/>
  <c r="A88" i="1" s="1"/>
  <c r="B88" i="2"/>
  <c r="A88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H87" i="1" s="1"/>
  <c r="E87" i="2"/>
  <c r="K87" i="1" s="1"/>
  <c r="D87" i="2"/>
  <c r="C87" i="2"/>
  <c r="B87" i="2"/>
  <c r="A87" i="2"/>
  <c r="T86" i="2"/>
  <c r="S86" i="2"/>
  <c r="R86" i="2"/>
  <c r="Q86" i="2"/>
  <c r="P86" i="2"/>
  <c r="O86" i="2"/>
  <c r="N86" i="2"/>
  <c r="O86" i="1" s="1"/>
  <c r="M86" i="2"/>
  <c r="L86" i="2"/>
  <c r="K86" i="2"/>
  <c r="J86" i="2"/>
  <c r="I86" i="2"/>
  <c r="H86" i="2"/>
  <c r="G86" i="2"/>
  <c r="F86" i="2"/>
  <c r="H86" i="1" s="1"/>
  <c r="E86" i="2"/>
  <c r="D86" i="2"/>
  <c r="C86" i="2"/>
  <c r="B86" i="2"/>
  <c r="A86" i="2"/>
  <c r="T85" i="2"/>
  <c r="S85" i="2"/>
  <c r="R85" i="2"/>
  <c r="Q85" i="2"/>
  <c r="P85" i="2"/>
  <c r="O85" i="2"/>
  <c r="N85" i="2"/>
  <c r="O85" i="1" s="1"/>
  <c r="M85" i="2"/>
  <c r="L85" i="2"/>
  <c r="K85" i="2"/>
  <c r="J85" i="2"/>
  <c r="I85" i="2"/>
  <c r="H85" i="2"/>
  <c r="G85" i="2"/>
  <c r="F85" i="2"/>
  <c r="H85" i="1" s="1"/>
  <c r="E85" i="2"/>
  <c r="D85" i="2"/>
  <c r="C85" i="1" s="1"/>
  <c r="C85" i="2"/>
  <c r="A85" i="1" s="1"/>
  <c r="B85" i="2"/>
  <c r="A85" i="2"/>
  <c r="T84" i="2"/>
  <c r="S84" i="2"/>
  <c r="R84" i="2"/>
  <c r="Q84" i="2"/>
  <c r="P84" i="2"/>
  <c r="O84" i="2"/>
  <c r="N84" i="2"/>
  <c r="O84" i="1" s="1"/>
  <c r="M84" i="2"/>
  <c r="L84" i="2"/>
  <c r="K84" i="2"/>
  <c r="J84" i="2"/>
  <c r="I84" i="2"/>
  <c r="H84" i="2"/>
  <c r="G84" i="2"/>
  <c r="F84" i="2"/>
  <c r="H84" i="1" s="1"/>
  <c r="E84" i="2"/>
  <c r="K84" i="1" s="1"/>
  <c r="D84" i="2"/>
  <c r="C84" i="1" s="1"/>
  <c r="C84" i="2"/>
  <c r="B84" i="2"/>
  <c r="A84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H83" i="1" s="1"/>
  <c r="E83" i="2"/>
  <c r="K83" i="1" s="1"/>
  <c r="D83" i="2"/>
  <c r="C83" i="2"/>
  <c r="A83" i="1" s="1"/>
  <c r="B83" i="2"/>
  <c r="A83" i="2"/>
  <c r="T82" i="2"/>
  <c r="S82" i="2"/>
  <c r="R82" i="2"/>
  <c r="Q82" i="2"/>
  <c r="P82" i="2"/>
  <c r="O82" i="2"/>
  <c r="N82" i="2"/>
  <c r="O82" i="1" s="1"/>
  <c r="M82" i="2"/>
  <c r="L82" i="2"/>
  <c r="K82" i="2"/>
  <c r="J82" i="2"/>
  <c r="I82" i="2"/>
  <c r="H82" i="2"/>
  <c r="G82" i="2"/>
  <c r="F82" i="2"/>
  <c r="H82" i="1" s="1"/>
  <c r="E82" i="2"/>
  <c r="D82" i="2"/>
  <c r="C82" i="2"/>
  <c r="B82" i="2"/>
  <c r="A82" i="2"/>
  <c r="T81" i="2"/>
  <c r="S81" i="2"/>
  <c r="R81" i="2"/>
  <c r="Q81" i="2"/>
  <c r="P81" i="2"/>
  <c r="O81" i="2"/>
  <c r="N81" i="2"/>
  <c r="O81" i="1" s="1"/>
  <c r="M81" i="2"/>
  <c r="L81" i="2"/>
  <c r="K81" i="2"/>
  <c r="J81" i="2"/>
  <c r="I81" i="2"/>
  <c r="H81" i="2"/>
  <c r="G81" i="2"/>
  <c r="F81" i="2"/>
  <c r="H81" i="1" s="1"/>
  <c r="E81" i="2"/>
  <c r="K81" i="1" s="1"/>
  <c r="D81" i="2"/>
  <c r="C81" i="1" s="1"/>
  <c r="C81" i="2"/>
  <c r="A81" i="1" s="1"/>
  <c r="B81" i="2"/>
  <c r="A81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H80" i="1" s="1"/>
  <c r="E80" i="2"/>
  <c r="K80" i="1" s="1"/>
  <c r="D80" i="2"/>
  <c r="C80" i="1" s="1"/>
  <c r="C80" i="2"/>
  <c r="A80" i="1" s="1"/>
  <c r="B80" i="2"/>
  <c r="A80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H79" i="1" s="1"/>
  <c r="E79" i="2"/>
  <c r="K79" i="1" s="1"/>
  <c r="D79" i="2"/>
  <c r="C79" i="2"/>
  <c r="B79" i="2"/>
  <c r="A79" i="2"/>
  <c r="T78" i="2"/>
  <c r="S78" i="2"/>
  <c r="R78" i="2"/>
  <c r="Q78" i="2"/>
  <c r="P78" i="2"/>
  <c r="O78" i="2"/>
  <c r="N78" i="2"/>
  <c r="O78" i="1" s="1"/>
  <c r="M78" i="2"/>
  <c r="L78" i="2"/>
  <c r="K78" i="2"/>
  <c r="J78" i="2"/>
  <c r="I78" i="2"/>
  <c r="H78" i="2"/>
  <c r="G78" i="2"/>
  <c r="F78" i="2"/>
  <c r="H78" i="1" s="1"/>
  <c r="E78" i="2"/>
  <c r="D78" i="2"/>
  <c r="C78" i="2"/>
  <c r="B78" i="2"/>
  <c r="A78" i="2"/>
  <c r="T77" i="2"/>
  <c r="S77" i="2"/>
  <c r="R77" i="2"/>
  <c r="Q77" i="2"/>
  <c r="P77" i="2"/>
  <c r="O77" i="2"/>
  <c r="N77" i="2"/>
  <c r="O77" i="1" s="1"/>
  <c r="M77" i="2"/>
  <c r="L77" i="2"/>
  <c r="K77" i="2"/>
  <c r="J77" i="2"/>
  <c r="I77" i="2"/>
  <c r="H77" i="2"/>
  <c r="G77" i="2"/>
  <c r="F77" i="2"/>
  <c r="H77" i="1" s="1"/>
  <c r="E77" i="2"/>
  <c r="K77" i="1" s="1"/>
  <c r="D77" i="2"/>
  <c r="C77" i="2"/>
  <c r="A77" i="1" s="1"/>
  <c r="B77" i="2"/>
  <c r="A77" i="2"/>
  <c r="T76" i="2"/>
  <c r="S76" i="2"/>
  <c r="R76" i="2"/>
  <c r="Q76" i="2"/>
  <c r="P76" i="2"/>
  <c r="O76" i="2"/>
  <c r="N76" i="2"/>
  <c r="O76" i="1" s="1"/>
  <c r="M76" i="2"/>
  <c r="L76" i="2"/>
  <c r="K76" i="2"/>
  <c r="J76" i="2"/>
  <c r="I76" i="2"/>
  <c r="H76" i="2"/>
  <c r="G76" i="2"/>
  <c r="F76" i="2"/>
  <c r="H76" i="1" s="1"/>
  <c r="E76" i="2"/>
  <c r="K76" i="1" s="1"/>
  <c r="D76" i="2"/>
  <c r="C76" i="1" s="1"/>
  <c r="C76" i="2"/>
  <c r="B76" i="2"/>
  <c r="A76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H75" i="1" s="1"/>
  <c r="E75" i="2"/>
  <c r="K75" i="1" s="1"/>
  <c r="D75" i="2"/>
  <c r="C75" i="2"/>
  <c r="A75" i="1" s="1"/>
  <c r="B75" i="2"/>
  <c r="A75" i="2"/>
  <c r="T74" i="2"/>
  <c r="S74" i="2"/>
  <c r="R74" i="2"/>
  <c r="Q74" i="2"/>
  <c r="P74" i="2"/>
  <c r="O74" i="2"/>
  <c r="N74" i="2"/>
  <c r="O74" i="1" s="1"/>
  <c r="M74" i="2"/>
  <c r="L74" i="2"/>
  <c r="K74" i="2"/>
  <c r="J74" i="2"/>
  <c r="I74" i="2"/>
  <c r="H74" i="2"/>
  <c r="G74" i="2"/>
  <c r="F74" i="2"/>
  <c r="E74" i="2"/>
  <c r="D74" i="2"/>
  <c r="C74" i="2"/>
  <c r="B74" i="2"/>
  <c r="A74" i="2"/>
  <c r="T73" i="2"/>
  <c r="S73" i="2"/>
  <c r="R73" i="2"/>
  <c r="Q73" i="2"/>
  <c r="P73" i="2"/>
  <c r="O73" i="2"/>
  <c r="N73" i="2"/>
  <c r="O73" i="1" s="1"/>
  <c r="M73" i="2"/>
  <c r="L73" i="2"/>
  <c r="K73" i="2"/>
  <c r="J73" i="2"/>
  <c r="I73" i="2"/>
  <c r="H73" i="2"/>
  <c r="G73" i="2"/>
  <c r="F73" i="2"/>
  <c r="H73" i="1" s="1"/>
  <c r="E73" i="2"/>
  <c r="K73" i="1" s="1"/>
  <c r="D73" i="2"/>
  <c r="C73" i="2"/>
  <c r="B73" i="2"/>
  <c r="A73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H72" i="1" s="1"/>
  <c r="E72" i="2"/>
  <c r="K72" i="1" s="1"/>
  <c r="D72" i="2"/>
  <c r="C72" i="1" s="1"/>
  <c r="C72" i="2"/>
  <c r="A72" i="1" s="1"/>
  <c r="B72" i="2"/>
  <c r="A72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H71" i="1" s="1"/>
  <c r="E71" i="2"/>
  <c r="K71" i="1" s="1"/>
  <c r="D71" i="2"/>
  <c r="C71" i="2"/>
  <c r="B71" i="2"/>
  <c r="A71" i="2"/>
  <c r="T70" i="2"/>
  <c r="S70" i="2"/>
  <c r="R70" i="2"/>
  <c r="Q70" i="2"/>
  <c r="P70" i="2"/>
  <c r="O70" i="2"/>
  <c r="N70" i="2"/>
  <c r="O70" i="1" s="1"/>
  <c r="M70" i="2"/>
  <c r="L70" i="2"/>
  <c r="K70" i="2"/>
  <c r="J70" i="2"/>
  <c r="I70" i="2"/>
  <c r="H70" i="2"/>
  <c r="G70" i="2"/>
  <c r="F70" i="2"/>
  <c r="H70" i="1" s="1"/>
  <c r="E70" i="2"/>
  <c r="D70" i="2"/>
  <c r="C70" i="2"/>
  <c r="B70" i="2"/>
  <c r="A70" i="2"/>
  <c r="T69" i="2"/>
  <c r="S69" i="2"/>
  <c r="R69" i="2"/>
  <c r="Q69" i="2"/>
  <c r="P69" i="2"/>
  <c r="O69" i="2"/>
  <c r="N69" i="2"/>
  <c r="O69" i="1" s="1"/>
  <c r="M69" i="2"/>
  <c r="L69" i="2"/>
  <c r="K69" i="2"/>
  <c r="J69" i="2"/>
  <c r="I69" i="2"/>
  <c r="H69" i="2"/>
  <c r="G69" i="2"/>
  <c r="F69" i="2"/>
  <c r="H69" i="1" s="1"/>
  <c r="E69" i="2"/>
  <c r="K69" i="1" s="1"/>
  <c r="D69" i="2"/>
  <c r="C69" i="2"/>
  <c r="A69" i="1" s="1"/>
  <c r="B69" i="2"/>
  <c r="A69" i="2"/>
  <c r="T68" i="2"/>
  <c r="S68" i="2"/>
  <c r="R68" i="2"/>
  <c r="Q68" i="2"/>
  <c r="P68" i="2"/>
  <c r="O68" i="2"/>
  <c r="N68" i="2"/>
  <c r="O68" i="1" s="1"/>
  <c r="M68" i="2"/>
  <c r="L68" i="2"/>
  <c r="K68" i="2"/>
  <c r="J68" i="2"/>
  <c r="I68" i="2"/>
  <c r="H68" i="2"/>
  <c r="G68" i="2"/>
  <c r="F68" i="2"/>
  <c r="H68" i="1" s="1"/>
  <c r="E68" i="2"/>
  <c r="K68" i="1" s="1"/>
  <c r="D68" i="2"/>
  <c r="C68" i="1" s="1"/>
  <c r="C68" i="2"/>
  <c r="A68" i="1" s="1"/>
  <c r="B68" i="2"/>
  <c r="A68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H67" i="1" s="1"/>
  <c r="E67" i="2"/>
  <c r="K67" i="1" s="1"/>
  <c r="D67" i="2"/>
  <c r="C67" i="2"/>
  <c r="A67" i="1" s="1"/>
  <c r="B67" i="2"/>
  <c r="A67" i="2"/>
  <c r="T66" i="2"/>
  <c r="S66" i="2"/>
  <c r="R66" i="2"/>
  <c r="Q66" i="2"/>
  <c r="P66" i="2"/>
  <c r="O66" i="2"/>
  <c r="N66" i="2"/>
  <c r="O66" i="1" s="1"/>
  <c r="M66" i="2"/>
  <c r="L66" i="2"/>
  <c r="K66" i="2"/>
  <c r="J66" i="2"/>
  <c r="I66" i="2"/>
  <c r="H66" i="2"/>
  <c r="G66" i="2"/>
  <c r="F66" i="2"/>
  <c r="H66" i="1" s="1"/>
  <c r="E66" i="2"/>
  <c r="D66" i="2"/>
  <c r="C66" i="2"/>
  <c r="B66" i="2"/>
  <c r="A66" i="2"/>
  <c r="T65" i="2"/>
  <c r="S65" i="2"/>
  <c r="R65" i="2"/>
  <c r="Q65" i="2"/>
  <c r="P65" i="2"/>
  <c r="O65" i="2"/>
  <c r="N65" i="2"/>
  <c r="O65" i="1" s="1"/>
  <c r="M65" i="2"/>
  <c r="L65" i="2"/>
  <c r="K65" i="2"/>
  <c r="J65" i="2"/>
  <c r="I65" i="2"/>
  <c r="H65" i="2"/>
  <c r="G65" i="2"/>
  <c r="F65" i="2"/>
  <c r="H65" i="1" s="1"/>
  <c r="E65" i="2"/>
  <c r="K65" i="1" s="1"/>
  <c r="D65" i="2"/>
  <c r="C65" i="1" s="1"/>
  <c r="C65" i="2"/>
  <c r="A65" i="1" s="1"/>
  <c r="B65" i="2"/>
  <c r="A65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H64" i="1" s="1"/>
  <c r="E64" i="2"/>
  <c r="K64" i="1" s="1"/>
  <c r="D64" i="2"/>
  <c r="C64" i="1" s="1"/>
  <c r="C64" i="2"/>
  <c r="B64" i="2"/>
  <c r="A64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H63" i="1" s="1"/>
  <c r="E63" i="2"/>
  <c r="K63" i="1" s="1"/>
  <c r="D63" i="2"/>
  <c r="C63" i="2"/>
  <c r="B63" i="2"/>
  <c r="A63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H62" i="1" s="1"/>
  <c r="E62" i="2"/>
  <c r="D62" i="2"/>
  <c r="C62" i="2"/>
  <c r="B62" i="2"/>
  <c r="A62" i="2"/>
  <c r="T61" i="2"/>
  <c r="S61" i="2"/>
  <c r="R61" i="2"/>
  <c r="Q61" i="2"/>
  <c r="P61" i="2"/>
  <c r="O61" i="2"/>
  <c r="N61" i="2"/>
  <c r="O61" i="1" s="1"/>
  <c r="M61" i="2"/>
  <c r="L61" i="2"/>
  <c r="K61" i="2"/>
  <c r="J61" i="2"/>
  <c r="I61" i="2"/>
  <c r="H61" i="2"/>
  <c r="G61" i="2"/>
  <c r="F61" i="2"/>
  <c r="H61" i="1" s="1"/>
  <c r="E61" i="2"/>
  <c r="K61" i="1" s="1"/>
  <c r="D61" i="2"/>
  <c r="C61" i="2"/>
  <c r="A61" i="1" s="1"/>
  <c r="B61" i="2"/>
  <c r="A61" i="2"/>
  <c r="T60" i="2"/>
  <c r="S60" i="2"/>
  <c r="R60" i="2"/>
  <c r="Q60" i="2"/>
  <c r="P60" i="2"/>
  <c r="O60" i="2"/>
  <c r="N60" i="2"/>
  <c r="O60" i="1" s="1"/>
  <c r="M60" i="2"/>
  <c r="L60" i="2"/>
  <c r="K60" i="2"/>
  <c r="J60" i="2"/>
  <c r="I60" i="2"/>
  <c r="H60" i="2"/>
  <c r="G60" i="2"/>
  <c r="F60" i="2"/>
  <c r="H60" i="1" s="1"/>
  <c r="E60" i="2"/>
  <c r="K60" i="1" s="1"/>
  <c r="D60" i="2"/>
  <c r="C60" i="1" s="1"/>
  <c r="C60" i="2"/>
  <c r="A60" i="1" s="1"/>
  <c r="B60" i="2"/>
  <c r="A60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H59" i="1" s="1"/>
  <c r="E59" i="2"/>
  <c r="K59" i="1" s="1"/>
  <c r="D59" i="2"/>
  <c r="C59" i="2"/>
  <c r="A59" i="1" s="1"/>
  <c r="B59" i="2"/>
  <c r="A59" i="2"/>
  <c r="T58" i="2"/>
  <c r="S58" i="2"/>
  <c r="R58" i="2"/>
  <c r="Q58" i="2"/>
  <c r="P58" i="2"/>
  <c r="O58" i="2"/>
  <c r="N58" i="2"/>
  <c r="O58" i="1" s="1"/>
  <c r="M58" i="2"/>
  <c r="L58" i="2"/>
  <c r="K58" i="2"/>
  <c r="J58" i="2"/>
  <c r="I58" i="2"/>
  <c r="H58" i="2"/>
  <c r="G58" i="2"/>
  <c r="F58" i="2"/>
  <c r="H58" i="1" s="1"/>
  <c r="E58" i="2"/>
  <c r="D58" i="2"/>
  <c r="C58" i="1" s="1"/>
  <c r="C58" i="2"/>
  <c r="B58" i="2"/>
  <c r="A58" i="2"/>
  <c r="T57" i="2"/>
  <c r="S57" i="2"/>
  <c r="R57" i="2"/>
  <c r="Q57" i="2"/>
  <c r="P57" i="2"/>
  <c r="O57" i="2"/>
  <c r="N57" i="2"/>
  <c r="O57" i="1" s="1"/>
  <c r="M57" i="2"/>
  <c r="L57" i="2"/>
  <c r="K57" i="2"/>
  <c r="J57" i="2"/>
  <c r="I57" i="2"/>
  <c r="H57" i="2"/>
  <c r="G57" i="2"/>
  <c r="F57" i="2"/>
  <c r="H57" i="1" s="1"/>
  <c r="E57" i="2"/>
  <c r="K57" i="1" s="1"/>
  <c r="D57" i="2"/>
  <c r="C57" i="1" s="1"/>
  <c r="C57" i="2"/>
  <c r="A57" i="1" s="1"/>
  <c r="B57" i="2"/>
  <c r="A57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H56" i="1" s="1"/>
  <c r="E56" i="2"/>
  <c r="K56" i="1" s="1"/>
  <c r="D56" i="2"/>
  <c r="C56" i="1" s="1"/>
  <c r="C56" i="2"/>
  <c r="A56" i="1" s="1"/>
  <c r="B56" i="2"/>
  <c r="A56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H55" i="1" s="1"/>
  <c r="E55" i="2"/>
  <c r="K55" i="1" s="1"/>
  <c r="D55" i="2"/>
  <c r="C55" i="2"/>
  <c r="B55" i="2"/>
  <c r="A55" i="2"/>
  <c r="T54" i="2"/>
  <c r="S54" i="2"/>
  <c r="R54" i="2"/>
  <c r="Q54" i="2"/>
  <c r="P54" i="2"/>
  <c r="O54" i="2"/>
  <c r="N54" i="2"/>
  <c r="O54" i="1" s="1"/>
  <c r="M54" i="2"/>
  <c r="L54" i="2"/>
  <c r="K54" i="2"/>
  <c r="J54" i="2"/>
  <c r="I54" i="2"/>
  <c r="H54" i="2"/>
  <c r="G54" i="2"/>
  <c r="F54" i="2"/>
  <c r="H54" i="1" s="1"/>
  <c r="E54" i="2"/>
  <c r="D54" i="2"/>
  <c r="C54" i="2"/>
  <c r="B54" i="2"/>
  <c r="A54" i="2"/>
  <c r="T53" i="2"/>
  <c r="S53" i="2"/>
  <c r="R53" i="2"/>
  <c r="Q53" i="2"/>
  <c r="P53" i="2"/>
  <c r="O53" i="2"/>
  <c r="N53" i="2"/>
  <c r="O53" i="1" s="1"/>
  <c r="M53" i="2"/>
  <c r="L53" i="2"/>
  <c r="K53" i="2"/>
  <c r="J53" i="2"/>
  <c r="I53" i="2"/>
  <c r="H53" i="2"/>
  <c r="G53" i="2"/>
  <c r="F53" i="2"/>
  <c r="H53" i="1" s="1"/>
  <c r="E53" i="2"/>
  <c r="K53" i="1" s="1"/>
  <c r="D53" i="2"/>
  <c r="C53" i="1" s="1"/>
  <c r="C53" i="2"/>
  <c r="A53" i="1" s="1"/>
  <c r="B53" i="2"/>
  <c r="A53" i="2"/>
  <c r="T52" i="2"/>
  <c r="S52" i="2"/>
  <c r="R52" i="2"/>
  <c r="Q52" i="2"/>
  <c r="P52" i="2"/>
  <c r="O52" i="2"/>
  <c r="N52" i="2"/>
  <c r="O52" i="1" s="1"/>
  <c r="M52" i="2"/>
  <c r="L52" i="2"/>
  <c r="K52" i="2"/>
  <c r="J52" i="2"/>
  <c r="I52" i="2"/>
  <c r="H52" i="2"/>
  <c r="G52" i="2"/>
  <c r="F52" i="2"/>
  <c r="H52" i="1" s="1"/>
  <c r="E52" i="2"/>
  <c r="K52" i="1" s="1"/>
  <c r="D52" i="2"/>
  <c r="C52" i="1" s="1"/>
  <c r="C52" i="2"/>
  <c r="B52" i="2"/>
  <c r="A52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H51" i="1" s="1"/>
  <c r="E51" i="2"/>
  <c r="K51" i="1" s="1"/>
  <c r="D51" i="2"/>
  <c r="C51" i="2"/>
  <c r="A51" i="1" s="1"/>
  <c r="B51" i="2"/>
  <c r="A51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H50" i="1" s="1"/>
  <c r="E50" i="2"/>
  <c r="D50" i="2"/>
  <c r="C50" i="1" s="1"/>
  <c r="C50" i="2"/>
  <c r="B50" i="2"/>
  <c r="A50" i="2"/>
  <c r="T49" i="2"/>
  <c r="S49" i="2"/>
  <c r="R49" i="2"/>
  <c r="Q49" i="2"/>
  <c r="P49" i="2"/>
  <c r="O49" i="2"/>
  <c r="N49" i="2"/>
  <c r="O49" i="1" s="1"/>
  <c r="M49" i="2"/>
  <c r="L49" i="2"/>
  <c r="K49" i="2"/>
  <c r="J49" i="2"/>
  <c r="I49" i="2"/>
  <c r="H49" i="2"/>
  <c r="G49" i="2"/>
  <c r="F49" i="2"/>
  <c r="H49" i="1" s="1"/>
  <c r="E49" i="2"/>
  <c r="K49" i="1" s="1"/>
  <c r="D49" i="2"/>
  <c r="C49" i="2"/>
  <c r="B49" i="2"/>
  <c r="A49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H48" i="1" s="1"/>
  <c r="E48" i="2"/>
  <c r="K48" i="1" s="1"/>
  <c r="D48" i="2"/>
  <c r="C48" i="1" s="1"/>
  <c r="C48" i="2"/>
  <c r="A48" i="1" s="1"/>
  <c r="B48" i="2"/>
  <c r="A48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H47" i="1" s="1"/>
  <c r="E47" i="2"/>
  <c r="K47" i="1" s="1"/>
  <c r="D47" i="2"/>
  <c r="C47" i="2"/>
  <c r="B47" i="2"/>
  <c r="A47" i="2"/>
  <c r="T46" i="2"/>
  <c r="S46" i="2"/>
  <c r="R46" i="2"/>
  <c r="Q46" i="2"/>
  <c r="P46" i="2"/>
  <c r="O46" i="2"/>
  <c r="N46" i="2"/>
  <c r="O46" i="1" s="1"/>
  <c r="M46" i="2"/>
  <c r="L46" i="2"/>
  <c r="K46" i="2"/>
  <c r="J46" i="2"/>
  <c r="I46" i="2"/>
  <c r="H46" i="2"/>
  <c r="G46" i="2"/>
  <c r="F46" i="2"/>
  <c r="H46" i="1" s="1"/>
  <c r="E46" i="2"/>
  <c r="D46" i="2"/>
  <c r="C46" i="2"/>
  <c r="B46" i="2"/>
  <c r="A46" i="2"/>
  <c r="T45" i="2"/>
  <c r="S45" i="2"/>
  <c r="R45" i="2"/>
  <c r="Q45" i="2"/>
  <c r="P45" i="2"/>
  <c r="O45" i="2"/>
  <c r="N45" i="2"/>
  <c r="O45" i="1" s="1"/>
  <c r="M45" i="2"/>
  <c r="L45" i="2"/>
  <c r="K45" i="2"/>
  <c r="J45" i="2"/>
  <c r="I45" i="2"/>
  <c r="H45" i="2"/>
  <c r="G45" i="2"/>
  <c r="F45" i="2"/>
  <c r="H45" i="1" s="1"/>
  <c r="E45" i="2"/>
  <c r="K45" i="1" s="1"/>
  <c r="D45" i="2"/>
  <c r="C45" i="1" s="1"/>
  <c r="C45" i="2"/>
  <c r="B45" i="2"/>
  <c r="A45" i="2"/>
  <c r="T44" i="2"/>
  <c r="S44" i="2"/>
  <c r="R44" i="2"/>
  <c r="Q44" i="2"/>
  <c r="P44" i="2"/>
  <c r="O44" i="2"/>
  <c r="N44" i="2"/>
  <c r="O44" i="1" s="1"/>
  <c r="M44" i="2"/>
  <c r="L44" i="2"/>
  <c r="K44" i="2"/>
  <c r="J44" i="2"/>
  <c r="I44" i="2"/>
  <c r="H44" i="2"/>
  <c r="G44" i="2"/>
  <c r="F44" i="2"/>
  <c r="H44" i="1" s="1"/>
  <c r="E44" i="2"/>
  <c r="K44" i="1" s="1"/>
  <c r="D44" i="2"/>
  <c r="C44" i="1" s="1"/>
  <c r="C44" i="2"/>
  <c r="A44" i="1" s="1"/>
  <c r="B44" i="2"/>
  <c r="A44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H43" i="1" s="1"/>
  <c r="E43" i="2"/>
  <c r="K43" i="1" s="1"/>
  <c r="D43" i="2"/>
  <c r="C43" i="2"/>
  <c r="A43" i="1" s="1"/>
  <c r="B43" i="2"/>
  <c r="A43" i="2"/>
  <c r="T42" i="2"/>
  <c r="S42" i="2"/>
  <c r="R42" i="2"/>
  <c r="Q42" i="2"/>
  <c r="P42" i="2"/>
  <c r="O42" i="2"/>
  <c r="N42" i="2"/>
  <c r="O42" i="1" s="1"/>
  <c r="M42" i="2"/>
  <c r="L42" i="2"/>
  <c r="K42" i="2"/>
  <c r="J42" i="2"/>
  <c r="I42" i="2"/>
  <c r="H42" i="2"/>
  <c r="G42" i="2"/>
  <c r="F42" i="2"/>
  <c r="H42" i="1" s="1"/>
  <c r="E42" i="2"/>
  <c r="D42" i="2"/>
  <c r="C42" i="1" s="1"/>
  <c r="C42" i="2"/>
  <c r="B42" i="2"/>
  <c r="A42" i="2"/>
  <c r="T41" i="2"/>
  <c r="S41" i="2"/>
  <c r="R41" i="2"/>
  <c r="Q41" i="2"/>
  <c r="P41" i="2"/>
  <c r="O41" i="2"/>
  <c r="N41" i="2"/>
  <c r="O41" i="1" s="1"/>
  <c r="M41" i="2"/>
  <c r="L41" i="2"/>
  <c r="K41" i="2"/>
  <c r="J41" i="2"/>
  <c r="I41" i="2"/>
  <c r="H41" i="2"/>
  <c r="G41" i="2"/>
  <c r="F41" i="2"/>
  <c r="H41" i="1" s="1"/>
  <c r="E41" i="2"/>
  <c r="K41" i="1" s="1"/>
  <c r="D41" i="2"/>
  <c r="C41" i="1" s="1"/>
  <c r="C41" i="2"/>
  <c r="A41" i="1" s="1"/>
  <c r="B41" i="2"/>
  <c r="A41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H40" i="1" s="1"/>
  <c r="E40" i="2"/>
  <c r="K40" i="1" s="1"/>
  <c r="D40" i="2"/>
  <c r="C40" i="1" s="1"/>
  <c r="C40" i="2"/>
  <c r="B40" i="2"/>
  <c r="A40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H39" i="1" s="1"/>
  <c r="E39" i="2"/>
  <c r="K39" i="1" s="1"/>
  <c r="D39" i="2"/>
  <c r="C39" i="2"/>
  <c r="B39" i="2"/>
  <c r="A39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H38" i="1" s="1"/>
  <c r="E38" i="2"/>
  <c r="D38" i="2"/>
  <c r="C38" i="2"/>
  <c r="B38" i="2"/>
  <c r="A38" i="2"/>
  <c r="T37" i="2"/>
  <c r="S37" i="2"/>
  <c r="R37" i="2"/>
  <c r="Q37" i="2"/>
  <c r="P37" i="2"/>
  <c r="O37" i="2"/>
  <c r="N37" i="2"/>
  <c r="O37" i="1" s="1"/>
  <c r="M37" i="2"/>
  <c r="L37" i="2"/>
  <c r="K37" i="2"/>
  <c r="J37" i="2"/>
  <c r="I37" i="2"/>
  <c r="H37" i="2"/>
  <c r="G37" i="2"/>
  <c r="F37" i="2"/>
  <c r="H37" i="1" s="1"/>
  <c r="E37" i="2"/>
  <c r="K37" i="1" s="1"/>
  <c r="D37" i="2"/>
  <c r="C37" i="2"/>
  <c r="B37" i="2"/>
  <c r="A37" i="2"/>
  <c r="T36" i="2"/>
  <c r="S36" i="2"/>
  <c r="R36" i="2"/>
  <c r="Q36" i="2"/>
  <c r="P36" i="2"/>
  <c r="O36" i="2"/>
  <c r="N36" i="2"/>
  <c r="O36" i="1" s="1"/>
  <c r="M36" i="2"/>
  <c r="L36" i="2"/>
  <c r="K36" i="2"/>
  <c r="J36" i="2"/>
  <c r="I36" i="2"/>
  <c r="H36" i="2"/>
  <c r="G36" i="2"/>
  <c r="F36" i="2"/>
  <c r="H36" i="1" s="1"/>
  <c r="E36" i="2"/>
  <c r="K36" i="1" s="1"/>
  <c r="D36" i="2"/>
  <c r="C36" i="1" s="1"/>
  <c r="C36" i="2"/>
  <c r="B36" i="2"/>
  <c r="A36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H35" i="1" s="1"/>
  <c r="E35" i="2"/>
  <c r="K35" i="1" s="1"/>
  <c r="D35" i="2"/>
  <c r="C35" i="2"/>
  <c r="A35" i="1" s="1"/>
  <c r="B35" i="2"/>
  <c r="A35" i="2"/>
  <c r="T34" i="2"/>
  <c r="S34" i="2"/>
  <c r="R34" i="2"/>
  <c r="Q34" i="2"/>
  <c r="P34" i="2"/>
  <c r="O34" i="2"/>
  <c r="N34" i="2"/>
  <c r="O34" i="1" s="1"/>
  <c r="M34" i="2"/>
  <c r="L34" i="2"/>
  <c r="K34" i="2"/>
  <c r="J34" i="2"/>
  <c r="I34" i="2"/>
  <c r="H34" i="2"/>
  <c r="G34" i="2"/>
  <c r="F34" i="2"/>
  <c r="H34" i="1" s="1"/>
  <c r="E34" i="2"/>
  <c r="D34" i="2"/>
  <c r="C34" i="1" s="1"/>
  <c r="C34" i="2"/>
  <c r="B34" i="2"/>
  <c r="A34" i="2"/>
  <c r="T33" i="2"/>
  <c r="S33" i="2"/>
  <c r="R33" i="2"/>
  <c r="Q33" i="2"/>
  <c r="P33" i="2"/>
  <c r="O33" i="2"/>
  <c r="N33" i="2"/>
  <c r="O33" i="1" s="1"/>
  <c r="M33" i="2"/>
  <c r="L33" i="2"/>
  <c r="K33" i="2"/>
  <c r="J33" i="2"/>
  <c r="I33" i="2"/>
  <c r="H33" i="2"/>
  <c r="G33" i="2"/>
  <c r="F33" i="2"/>
  <c r="H33" i="1" s="1"/>
  <c r="E33" i="2"/>
  <c r="K33" i="1" s="1"/>
  <c r="D33" i="2"/>
  <c r="C33" i="1" s="1"/>
  <c r="C33" i="2"/>
  <c r="A33" i="1" s="1"/>
  <c r="B33" i="2"/>
  <c r="A33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H32" i="1" s="1"/>
  <c r="E32" i="2"/>
  <c r="K32" i="1" s="1"/>
  <c r="D32" i="2"/>
  <c r="C32" i="1" s="1"/>
  <c r="C32" i="2"/>
  <c r="A32" i="1" s="1"/>
  <c r="B32" i="2"/>
  <c r="A32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H31" i="1" s="1"/>
  <c r="E31" i="2"/>
  <c r="K31" i="1" s="1"/>
  <c r="D31" i="2"/>
  <c r="C31" i="2"/>
  <c r="B31" i="2"/>
  <c r="A31" i="2"/>
  <c r="T30" i="2"/>
  <c r="S30" i="2"/>
  <c r="R30" i="2"/>
  <c r="Q30" i="2"/>
  <c r="P30" i="2"/>
  <c r="O30" i="2"/>
  <c r="N30" i="2"/>
  <c r="O30" i="1" s="1"/>
  <c r="M30" i="2"/>
  <c r="L30" i="2"/>
  <c r="K30" i="2"/>
  <c r="J30" i="2"/>
  <c r="I30" i="2"/>
  <c r="H30" i="2"/>
  <c r="G30" i="2"/>
  <c r="F30" i="2"/>
  <c r="H30" i="1" s="1"/>
  <c r="E30" i="2"/>
  <c r="D30" i="2"/>
  <c r="C30" i="2"/>
  <c r="B30" i="2"/>
  <c r="A30" i="2"/>
  <c r="T29" i="2"/>
  <c r="S29" i="2"/>
  <c r="R29" i="2"/>
  <c r="Q29" i="2"/>
  <c r="P29" i="2"/>
  <c r="O29" i="2"/>
  <c r="N29" i="2"/>
  <c r="O29" i="1" s="1"/>
  <c r="M29" i="2"/>
  <c r="L29" i="2"/>
  <c r="K29" i="2"/>
  <c r="J29" i="2"/>
  <c r="I29" i="2"/>
  <c r="H29" i="2"/>
  <c r="G29" i="2"/>
  <c r="F29" i="2"/>
  <c r="H29" i="1" s="1"/>
  <c r="E29" i="2"/>
  <c r="K29" i="1" s="1"/>
  <c r="D29" i="2"/>
  <c r="C29" i="2"/>
  <c r="A29" i="1" s="1"/>
  <c r="B29" i="2"/>
  <c r="A29" i="2"/>
  <c r="T28" i="2"/>
  <c r="S28" i="2"/>
  <c r="R28" i="2"/>
  <c r="Q28" i="2"/>
  <c r="P28" i="2"/>
  <c r="O28" i="2"/>
  <c r="N28" i="2"/>
  <c r="O28" i="1" s="1"/>
  <c r="M28" i="2"/>
  <c r="L28" i="2"/>
  <c r="K28" i="2"/>
  <c r="J28" i="2"/>
  <c r="I28" i="2"/>
  <c r="H28" i="2"/>
  <c r="G28" i="2"/>
  <c r="F28" i="2"/>
  <c r="H28" i="1" s="1"/>
  <c r="E28" i="2"/>
  <c r="K28" i="1" s="1"/>
  <c r="D28" i="2"/>
  <c r="C28" i="1" s="1"/>
  <c r="C28" i="2"/>
  <c r="A28" i="1" s="1"/>
  <c r="B28" i="2"/>
  <c r="A28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H27" i="1" s="1"/>
  <c r="E27" i="2"/>
  <c r="K27" i="1" s="1"/>
  <c r="D27" i="2"/>
  <c r="C27" i="2"/>
  <c r="A27" i="1" s="1"/>
  <c r="B27" i="2"/>
  <c r="A27" i="2"/>
  <c r="T26" i="2"/>
  <c r="S26" i="2"/>
  <c r="R26" i="2"/>
  <c r="Q26" i="2"/>
  <c r="P26" i="2"/>
  <c r="O26" i="2"/>
  <c r="N26" i="2"/>
  <c r="O26" i="1" s="1"/>
  <c r="M26" i="2"/>
  <c r="L26" i="2"/>
  <c r="K26" i="2"/>
  <c r="J26" i="2"/>
  <c r="I26" i="2"/>
  <c r="H26" i="2"/>
  <c r="G26" i="2"/>
  <c r="F26" i="2"/>
  <c r="H26" i="1" s="1"/>
  <c r="E26" i="2"/>
  <c r="D26" i="2"/>
  <c r="C26" i="1" s="1"/>
  <c r="C26" i="2"/>
  <c r="B26" i="2"/>
  <c r="A26" i="2"/>
  <c r="T25" i="2"/>
  <c r="S25" i="2"/>
  <c r="R25" i="2"/>
  <c r="Q25" i="2"/>
  <c r="P25" i="2"/>
  <c r="O25" i="2"/>
  <c r="N25" i="2"/>
  <c r="O25" i="1" s="1"/>
  <c r="M25" i="2"/>
  <c r="L25" i="2"/>
  <c r="K25" i="2"/>
  <c r="J25" i="2"/>
  <c r="I25" i="2"/>
  <c r="H25" i="2"/>
  <c r="G25" i="2"/>
  <c r="F25" i="2"/>
  <c r="H25" i="1" s="1"/>
  <c r="E25" i="2"/>
  <c r="K25" i="1" s="1"/>
  <c r="D25" i="2"/>
  <c r="C25" i="1" s="1"/>
  <c r="C25" i="2"/>
  <c r="A25" i="1" s="1"/>
  <c r="B25" i="2"/>
  <c r="A25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H24" i="1" s="1"/>
  <c r="E24" i="2"/>
  <c r="K24" i="1" s="1"/>
  <c r="D24" i="2"/>
  <c r="C24" i="1" s="1"/>
  <c r="C24" i="2"/>
  <c r="A24" i="1" s="1"/>
  <c r="B24" i="2"/>
  <c r="A24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H23" i="1" s="1"/>
  <c r="E23" i="2"/>
  <c r="K23" i="1" s="1"/>
  <c r="D23" i="2"/>
  <c r="C23" i="2"/>
  <c r="B23" i="2"/>
  <c r="A23" i="2"/>
  <c r="T22" i="2"/>
  <c r="S22" i="2"/>
  <c r="R22" i="2"/>
  <c r="Q22" i="2"/>
  <c r="P22" i="2"/>
  <c r="O22" i="2"/>
  <c r="N22" i="2"/>
  <c r="O22" i="1" s="1"/>
  <c r="M22" i="2"/>
  <c r="L22" i="2"/>
  <c r="K22" i="2"/>
  <c r="J22" i="2"/>
  <c r="I22" i="2"/>
  <c r="H22" i="2"/>
  <c r="G22" i="2"/>
  <c r="F22" i="2"/>
  <c r="H22" i="1" s="1"/>
  <c r="E22" i="2"/>
  <c r="D22" i="2"/>
  <c r="C22" i="2"/>
  <c r="B22" i="2"/>
  <c r="A22" i="2"/>
  <c r="T21" i="2"/>
  <c r="S21" i="2"/>
  <c r="R21" i="2"/>
  <c r="Q21" i="2"/>
  <c r="P21" i="2"/>
  <c r="O21" i="2"/>
  <c r="N21" i="2"/>
  <c r="O21" i="1" s="1"/>
  <c r="M21" i="2"/>
  <c r="L21" i="2"/>
  <c r="K21" i="2"/>
  <c r="J21" i="2"/>
  <c r="I21" i="2"/>
  <c r="H21" i="2"/>
  <c r="G21" i="2"/>
  <c r="F21" i="2"/>
  <c r="H21" i="1" s="1"/>
  <c r="E21" i="2"/>
  <c r="K21" i="1" s="1"/>
  <c r="D21" i="2"/>
  <c r="C21" i="1" s="1"/>
  <c r="C21" i="2"/>
  <c r="A21" i="1" s="1"/>
  <c r="B21" i="2"/>
  <c r="A21" i="2"/>
  <c r="T20" i="2"/>
  <c r="S20" i="2"/>
  <c r="R20" i="2"/>
  <c r="Q20" i="2"/>
  <c r="P20" i="2"/>
  <c r="O20" i="2"/>
  <c r="N20" i="2"/>
  <c r="O20" i="1" s="1"/>
  <c r="M20" i="2"/>
  <c r="L20" i="2"/>
  <c r="K20" i="2"/>
  <c r="J20" i="2"/>
  <c r="I20" i="2"/>
  <c r="H20" i="2"/>
  <c r="G20" i="2"/>
  <c r="F20" i="2"/>
  <c r="H20" i="1" s="1"/>
  <c r="E20" i="2"/>
  <c r="K20" i="1" s="1"/>
  <c r="D20" i="2"/>
  <c r="C20" i="1" s="1"/>
  <c r="C20" i="2"/>
  <c r="A20" i="1" s="1"/>
  <c r="B20" i="2"/>
  <c r="A20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H19" i="1" s="1"/>
  <c r="E19" i="2"/>
  <c r="K19" i="1" s="1"/>
  <c r="D19" i="2"/>
  <c r="C19" i="2"/>
  <c r="A19" i="1" s="1"/>
  <c r="B19" i="2"/>
  <c r="A19" i="2"/>
  <c r="T18" i="2"/>
  <c r="S18" i="2"/>
  <c r="R18" i="2"/>
  <c r="Q18" i="2"/>
  <c r="P18" i="2"/>
  <c r="O18" i="2"/>
  <c r="N18" i="2"/>
  <c r="O18" i="1" s="1"/>
  <c r="M18" i="2"/>
  <c r="L18" i="2"/>
  <c r="K18" i="2"/>
  <c r="J18" i="2"/>
  <c r="I18" i="2"/>
  <c r="H18" i="2"/>
  <c r="G18" i="2"/>
  <c r="F18" i="2"/>
  <c r="H18" i="1" s="1"/>
  <c r="E18" i="2"/>
  <c r="D18" i="2"/>
  <c r="C18" i="1" s="1"/>
  <c r="C18" i="2"/>
  <c r="B18" i="2"/>
  <c r="A18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H17" i="1" s="1"/>
  <c r="E17" i="2"/>
  <c r="K17" i="1" s="1"/>
  <c r="D17" i="2"/>
  <c r="C17" i="1" s="1"/>
  <c r="C17" i="2"/>
  <c r="A17" i="1" s="1"/>
  <c r="B17" i="2"/>
  <c r="A17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H16" i="1" s="1"/>
  <c r="E16" i="2"/>
  <c r="K16" i="1" s="1"/>
  <c r="D16" i="2"/>
  <c r="C16" i="1" s="1"/>
  <c r="C16" i="2"/>
  <c r="B16" i="2"/>
  <c r="A16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H15" i="1" s="1"/>
  <c r="E15" i="2"/>
  <c r="K15" i="1" s="1"/>
  <c r="D15" i="2"/>
  <c r="C15" i="2"/>
  <c r="B15" i="2"/>
  <c r="A15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H14" i="1" s="1"/>
  <c r="E14" i="2"/>
  <c r="D14" i="2"/>
  <c r="C14" i="2"/>
  <c r="B14" i="2"/>
  <c r="A14" i="2"/>
  <c r="T13" i="2"/>
  <c r="S13" i="2"/>
  <c r="R13" i="2"/>
  <c r="Q13" i="2"/>
  <c r="P13" i="2"/>
  <c r="O13" i="2"/>
  <c r="N13" i="2"/>
  <c r="O13" i="1" s="1"/>
  <c r="M13" i="2"/>
  <c r="L13" i="2"/>
  <c r="K13" i="2"/>
  <c r="J13" i="2"/>
  <c r="I13" i="2"/>
  <c r="H13" i="2"/>
  <c r="G13" i="2"/>
  <c r="F13" i="2"/>
  <c r="H13" i="1" s="1"/>
  <c r="E13" i="2"/>
  <c r="K13" i="1" s="1"/>
  <c r="D13" i="2"/>
  <c r="C13" i="2"/>
  <c r="A13" i="1" s="1"/>
  <c r="B13" i="2"/>
  <c r="A13" i="2"/>
  <c r="T12" i="2"/>
  <c r="S12" i="2"/>
  <c r="R12" i="2"/>
  <c r="Q12" i="2"/>
  <c r="P12" i="2"/>
  <c r="O12" i="2"/>
  <c r="N12" i="2"/>
  <c r="O12" i="1" s="1"/>
  <c r="M12" i="2"/>
  <c r="L12" i="2"/>
  <c r="K12" i="2"/>
  <c r="J12" i="2"/>
  <c r="I12" i="2"/>
  <c r="H12" i="2"/>
  <c r="G12" i="2"/>
  <c r="F12" i="2"/>
  <c r="H12" i="1" s="1"/>
  <c r="E12" i="2"/>
  <c r="K12" i="1" s="1"/>
  <c r="D12" i="2"/>
  <c r="C12" i="1" s="1"/>
  <c r="C12" i="2"/>
  <c r="A12" i="1" s="1"/>
  <c r="B12" i="2"/>
  <c r="A12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H11" i="1" s="1"/>
  <c r="E11" i="2"/>
  <c r="K11" i="1" s="1"/>
  <c r="D11" i="2"/>
  <c r="C11" i="2"/>
  <c r="A11" i="1" s="1"/>
  <c r="B11" i="2"/>
  <c r="A11" i="2"/>
  <c r="T10" i="2"/>
  <c r="S10" i="2"/>
  <c r="R10" i="2"/>
  <c r="Q10" i="2"/>
  <c r="P10" i="2"/>
  <c r="O10" i="2"/>
  <c r="N10" i="2"/>
  <c r="O10" i="1" s="1"/>
  <c r="M10" i="2"/>
  <c r="L10" i="2"/>
  <c r="K10" i="2"/>
  <c r="J10" i="2"/>
  <c r="I10" i="2"/>
  <c r="H10" i="2"/>
  <c r="G10" i="2"/>
  <c r="F10" i="2"/>
  <c r="H10" i="1" s="1"/>
  <c r="E10" i="2"/>
  <c r="D10" i="2"/>
  <c r="C10" i="1" s="1"/>
  <c r="C10" i="2"/>
  <c r="B10" i="2"/>
  <c r="A10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H9" i="1" s="1"/>
  <c r="E9" i="2"/>
  <c r="K9" i="1" s="1"/>
  <c r="D9" i="2"/>
  <c r="C9" i="1" s="1"/>
  <c r="C9" i="2"/>
  <c r="A9" i="1" s="1"/>
  <c r="B9" i="2"/>
  <c r="A9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H8" i="1" s="1"/>
  <c r="E8" i="2"/>
  <c r="K8" i="1" s="1"/>
  <c r="D8" i="2"/>
  <c r="C8" i="2"/>
  <c r="A8" i="1" s="1"/>
  <c r="B8" i="2"/>
  <c r="A8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H7" i="1" s="1"/>
  <c r="E7" i="2"/>
  <c r="K7" i="1" s="1"/>
  <c r="D7" i="2"/>
  <c r="C7" i="2"/>
  <c r="B7" i="2"/>
  <c r="A7" i="2"/>
  <c r="T6" i="2"/>
  <c r="S6" i="2"/>
  <c r="R6" i="2"/>
  <c r="Q6" i="2"/>
  <c r="P6" i="2"/>
  <c r="O6" i="2"/>
  <c r="N6" i="2"/>
  <c r="O6" i="1" s="1"/>
  <c r="M6" i="2"/>
  <c r="L6" i="2"/>
  <c r="K6" i="2"/>
  <c r="J6" i="2"/>
  <c r="I6" i="2"/>
  <c r="H6" i="2"/>
  <c r="G6" i="2"/>
  <c r="F6" i="2"/>
  <c r="H6" i="1" s="1"/>
  <c r="E6" i="2"/>
  <c r="D6" i="2"/>
  <c r="C6" i="2"/>
  <c r="B6" i="2"/>
  <c r="A6" i="2"/>
  <c r="T5" i="2"/>
  <c r="S5" i="2"/>
  <c r="R5" i="2"/>
  <c r="Q5" i="2"/>
  <c r="P5" i="2"/>
  <c r="O5" i="2"/>
  <c r="N5" i="2"/>
  <c r="O5" i="1" s="1"/>
  <c r="M5" i="2"/>
  <c r="L5" i="2"/>
  <c r="K5" i="2"/>
  <c r="J5" i="2"/>
  <c r="I5" i="2"/>
  <c r="H5" i="2"/>
  <c r="G5" i="2"/>
  <c r="F5" i="2"/>
  <c r="H5" i="1" s="1"/>
  <c r="E5" i="2"/>
  <c r="K5" i="1" s="1"/>
  <c r="D5" i="2"/>
  <c r="C5" i="1" s="1"/>
  <c r="C5" i="2"/>
  <c r="A5" i="1" s="1"/>
  <c r="B5" i="2"/>
  <c r="A5" i="2"/>
  <c r="T4" i="2"/>
  <c r="S4" i="2"/>
  <c r="R4" i="2"/>
  <c r="Q4" i="2"/>
  <c r="P4" i="2"/>
  <c r="O4" i="2"/>
  <c r="N4" i="2"/>
  <c r="O4" i="1" s="1"/>
  <c r="M4" i="2"/>
  <c r="L4" i="2"/>
  <c r="K4" i="2"/>
  <c r="J4" i="2"/>
  <c r="I4" i="2"/>
  <c r="H4" i="2"/>
  <c r="G4" i="2"/>
  <c r="F4" i="2"/>
  <c r="H4" i="1" s="1"/>
  <c r="E4" i="2"/>
  <c r="K4" i="1" s="1"/>
  <c r="D4" i="2"/>
  <c r="C4" i="1" s="1"/>
  <c r="C4" i="2"/>
  <c r="B4" i="2"/>
  <c r="A4" i="2"/>
  <c r="T3" i="2"/>
  <c r="S3" i="2"/>
  <c r="R3" i="2"/>
  <c r="Q3" i="2"/>
  <c r="P3" i="2"/>
  <c r="O3" i="2"/>
  <c r="N3" i="2"/>
  <c r="O3" i="1" s="1"/>
  <c r="M3" i="2"/>
  <c r="L3" i="2"/>
  <c r="K3" i="2"/>
  <c r="J3" i="2"/>
  <c r="I3" i="2"/>
  <c r="H3" i="2"/>
  <c r="G3" i="2"/>
  <c r="F3" i="2"/>
  <c r="H3" i="1" s="1"/>
  <c r="E3" i="2"/>
  <c r="K3" i="1" s="1"/>
  <c r="D3" i="2"/>
  <c r="C3" i="2"/>
  <c r="B3" i="2"/>
  <c r="A3" i="2"/>
  <c r="T2" i="2"/>
  <c r="S2" i="2"/>
  <c r="R2" i="2"/>
  <c r="Q2" i="2"/>
  <c r="P2" i="2"/>
  <c r="O2" i="2"/>
  <c r="N2" i="2"/>
  <c r="O2" i="1" s="1"/>
  <c r="M2" i="2"/>
  <c r="L2" i="2"/>
  <c r="K2" i="2"/>
  <c r="J2" i="2"/>
  <c r="I2" i="2"/>
  <c r="H2" i="2"/>
  <c r="G2" i="2"/>
  <c r="F2" i="2"/>
  <c r="E2" i="2"/>
  <c r="D2" i="2"/>
  <c r="C2" i="2"/>
  <c r="B2" i="2"/>
  <c r="A2" i="2"/>
  <c r="R96" i="1"/>
  <c r="Q96" i="1"/>
  <c r="P96" i="1"/>
  <c r="O96" i="1"/>
  <c r="N96" i="1"/>
  <c r="M96" i="1"/>
  <c r="K96" i="1"/>
  <c r="J96" i="1"/>
  <c r="D96" i="1"/>
  <c r="B96" i="1"/>
  <c r="R95" i="1"/>
  <c r="O95" i="1"/>
  <c r="L95" i="1"/>
  <c r="J95" i="1"/>
  <c r="G95" i="1"/>
  <c r="D95" i="1"/>
  <c r="C95" i="1"/>
  <c r="B95" i="1"/>
  <c r="A95" i="1"/>
  <c r="Q94" i="1"/>
  <c r="N94" i="1"/>
  <c r="K94" i="1"/>
  <c r="G94" i="1"/>
  <c r="C94" i="1"/>
  <c r="A94" i="1"/>
  <c r="R93" i="1"/>
  <c r="Q93" i="1"/>
  <c r="P93" i="1"/>
  <c r="I93" i="1"/>
  <c r="G93" i="1"/>
  <c r="F93" i="1"/>
  <c r="B93" i="1"/>
  <c r="A93" i="1"/>
  <c r="R92" i="1"/>
  <c r="P92" i="1"/>
  <c r="M92" i="1"/>
  <c r="J92" i="1"/>
  <c r="F92" i="1"/>
  <c r="D92" i="1"/>
  <c r="B92" i="1"/>
  <c r="R91" i="1"/>
  <c r="P91" i="1"/>
  <c r="O91" i="1"/>
  <c r="M91" i="1"/>
  <c r="L91" i="1"/>
  <c r="K91" i="1"/>
  <c r="J91" i="1"/>
  <c r="G91" i="1"/>
  <c r="F91" i="1"/>
  <c r="D91" i="1"/>
  <c r="C91" i="1"/>
  <c r="B91" i="1"/>
  <c r="Q90" i="1"/>
  <c r="N90" i="1"/>
  <c r="L90" i="1"/>
  <c r="K90" i="1"/>
  <c r="J90" i="1"/>
  <c r="I90" i="1"/>
  <c r="G90" i="1"/>
  <c r="C90" i="1"/>
  <c r="A90" i="1"/>
  <c r="Q89" i="1"/>
  <c r="P89" i="1"/>
  <c r="I89" i="1"/>
  <c r="G89" i="1"/>
  <c r="F89" i="1"/>
  <c r="R88" i="1"/>
  <c r="P88" i="1"/>
  <c r="O88" i="1"/>
  <c r="M88" i="1"/>
  <c r="J88" i="1"/>
  <c r="F88" i="1"/>
  <c r="D88" i="1"/>
  <c r="B88" i="1"/>
  <c r="R87" i="1"/>
  <c r="O87" i="1"/>
  <c r="L87" i="1"/>
  <c r="J87" i="1"/>
  <c r="G87" i="1"/>
  <c r="D87" i="1"/>
  <c r="C87" i="1"/>
  <c r="B87" i="1"/>
  <c r="A87" i="1"/>
  <c r="Q86" i="1"/>
  <c r="N86" i="1"/>
  <c r="K86" i="1"/>
  <c r="G86" i="1"/>
  <c r="C86" i="1"/>
  <c r="A86" i="1"/>
  <c r="Q85" i="1"/>
  <c r="P85" i="1"/>
  <c r="K85" i="1"/>
  <c r="I85" i="1"/>
  <c r="G85" i="1"/>
  <c r="F85" i="1"/>
  <c r="E85" i="1"/>
  <c r="B85" i="1"/>
  <c r="R84" i="1"/>
  <c r="P84" i="1"/>
  <c r="M84" i="1"/>
  <c r="J84" i="1"/>
  <c r="F84" i="1"/>
  <c r="D84" i="1"/>
  <c r="B84" i="1"/>
  <c r="A84" i="1"/>
  <c r="R83" i="1"/>
  <c r="P83" i="1"/>
  <c r="O83" i="1"/>
  <c r="M83" i="1"/>
  <c r="L83" i="1"/>
  <c r="J83" i="1"/>
  <c r="G83" i="1"/>
  <c r="D83" i="1"/>
  <c r="C83" i="1"/>
  <c r="B83" i="1"/>
  <c r="Q82" i="1"/>
  <c r="N82" i="1"/>
  <c r="L82" i="1"/>
  <c r="K82" i="1"/>
  <c r="J82" i="1"/>
  <c r="G82" i="1"/>
  <c r="C82" i="1"/>
  <c r="B82" i="1"/>
  <c r="A82" i="1"/>
  <c r="Q81" i="1"/>
  <c r="P81" i="1"/>
  <c r="I81" i="1"/>
  <c r="F81" i="1"/>
  <c r="R80" i="1"/>
  <c r="P80" i="1"/>
  <c r="O80" i="1"/>
  <c r="M80" i="1"/>
  <c r="F80" i="1"/>
  <c r="D80" i="1"/>
  <c r="B80" i="1"/>
  <c r="R79" i="1"/>
  <c r="O79" i="1"/>
  <c r="L79" i="1"/>
  <c r="J79" i="1"/>
  <c r="G79" i="1"/>
  <c r="D79" i="1"/>
  <c r="C79" i="1"/>
  <c r="B79" i="1"/>
  <c r="A79" i="1"/>
  <c r="Q78" i="1"/>
  <c r="N78" i="1"/>
  <c r="M78" i="1"/>
  <c r="K78" i="1"/>
  <c r="I78" i="1"/>
  <c r="G78" i="1"/>
  <c r="E78" i="1"/>
  <c r="D78" i="1"/>
  <c r="C78" i="1"/>
  <c r="A78" i="1"/>
  <c r="Q77" i="1"/>
  <c r="P77" i="1"/>
  <c r="L77" i="1"/>
  <c r="I77" i="1"/>
  <c r="F77" i="1"/>
  <c r="E77" i="1"/>
  <c r="C77" i="1"/>
  <c r="B77" i="1"/>
  <c r="R76" i="1"/>
  <c r="P76" i="1"/>
  <c r="M76" i="1"/>
  <c r="F76" i="1"/>
  <c r="E76" i="1"/>
  <c r="D76" i="1"/>
  <c r="B76" i="1"/>
  <c r="A76" i="1"/>
  <c r="R75" i="1"/>
  <c r="P75" i="1"/>
  <c r="O75" i="1"/>
  <c r="M75" i="1"/>
  <c r="L75" i="1"/>
  <c r="J75" i="1"/>
  <c r="G75" i="1"/>
  <c r="D75" i="1"/>
  <c r="C75" i="1"/>
  <c r="B75" i="1"/>
  <c r="Q74" i="1"/>
  <c r="N74" i="1"/>
  <c r="L74" i="1"/>
  <c r="K74" i="1"/>
  <c r="H74" i="1"/>
  <c r="G74" i="1"/>
  <c r="E74" i="1"/>
  <c r="D74" i="1"/>
  <c r="C74" i="1"/>
  <c r="A74" i="1"/>
  <c r="Q73" i="1"/>
  <c r="P73" i="1"/>
  <c r="I73" i="1"/>
  <c r="G73" i="1"/>
  <c r="F73" i="1"/>
  <c r="C73" i="1"/>
  <c r="A73" i="1"/>
  <c r="R72" i="1"/>
  <c r="Q72" i="1"/>
  <c r="P72" i="1"/>
  <c r="O72" i="1"/>
  <c r="M72" i="1"/>
  <c r="F72" i="1"/>
  <c r="E72" i="1"/>
  <c r="D72" i="1"/>
  <c r="B72" i="1"/>
  <c r="R71" i="1"/>
  <c r="O71" i="1"/>
  <c r="M71" i="1"/>
  <c r="L71" i="1"/>
  <c r="J71" i="1"/>
  <c r="G71" i="1"/>
  <c r="D71" i="1"/>
  <c r="C71" i="1"/>
  <c r="B71" i="1"/>
  <c r="A71" i="1"/>
  <c r="Q70" i="1"/>
  <c r="N70" i="1"/>
  <c r="K70" i="1"/>
  <c r="G70" i="1"/>
  <c r="E70" i="1"/>
  <c r="C70" i="1"/>
  <c r="A70" i="1"/>
  <c r="Q69" i="1"/>
  <c r="P69" i="1"/>
  <c r="I69" i="1"/>
  <c r="G69" i="1"/>
  <c r="F69" i="1"/>
  <c r="E69" i="1"/>
  <c r="C69" i="1"/>
  <c r="B69" i="1"/>
  <c r="R68" i="1"/>
  <c r="P68" i="1"/>
  <c r="M68" i="1"/>
  <c r="F68" i="1"/>
  <c r="E68" i="1"/>
  <c r="D68" i="1"/>
  <c r="B68" i="1"/>
  <c r="R67" i="1"/>
  <c r="O67" i="1"/>
  <c r="L67" i="1"/>
  <c r="J67" i="1"/>
  <c r="G67" i="1"/>
  <c r="F67" i="1"/>
  <c r="D67" i="1"/>
  <c r="C67" i="1"/>
  <c r="B67" i="1"/>
  <c r="R66" i="1"/>
  <c r="Q66" i="1"/>
  <c r="N66" i="1"/>
  <c r="K66" i="1"/>
  <c r="I66" i="1"/>
  <c r="G66" i="1"/>
  <c r="E66" i="1"/>
  <c r="C66" i="1"/>
  <c r="A66" i="1"/>
  <c r="Q65" i="1"/>
  <c r="P65" i="1"/>
  <c r="N65" i="1"/>
  <c r="I65" i="1"/>
  <c r="G65" i="1"/>
  <c r="F65" i="1"/>
  <c r="R64" i="1"/>
  <c r="P64" i="1"/>
  <c r="O64" i="1"/>
  <c r="M64" i="1"/>
  <c r="J64" i="1"/>
  <c r="F64" i="1"/>
  <c r="E64" i="1"/>
  <c r="D64" i="1"/>
  <c r="B64" i="1"/>
  <c r="A64" i="1"/>
  <c r="R63" i="1"/>
  <c r="O63" i="1"/>
  <c r="L63" i="1"/>
  <c r="J63" i="1"/>
  <c r="G63" i="1"/>
  <c r="D63" i="1"/>
  <c r="C63" i="1"/>
  <c r="B63" i="1"/>
  <c r="A63" i="1"/>
  <c r="R62" i="1"/>
  <c r="Q62" i="1"/>
  <c r="O62" i="1"/>
  <c r="N62" i="1"/>
  <c r="K62" i="1"/>
  <c r="G62" i="1"/>
  <c r="E62" i="1"/>
  <c r="C62" i="1"/>
  <c r="A62" i="1"/>
  <c r="Q61" i="1"/>
  <c r="P61" i="1"/>
  <c r="I61" i="1"/>
  <c r="G61" i="1"/>
  <c r="F61" i="1"/>
  <c r="E61" i="1"/>
  <c r="C61" i="1"/>
  <c r="B61" i="1"/>
  <c r="R60" i="1"/>
  <c r="P60" i="1"/>
  <c r="M60" i="1"/>
  <c r="J60" i="1"/>
  <c r="F60" i="1"/>
  <c r="E60" i="1"/>
  <c r="D60" i="1"/>
  <c r="B60" i="1"/>
  <c r="R59" i="1"/>
  <c r="P59" i="1"/>
  <c r="O59" i="1"/>
  <c r="L59" i="1"/>
  <c r="J59" i="1"/>
  <c r="G59" i="1"/>
  <c r="F59" i="1"/>
  <c r="D59" i="1"/>
  <c r="C59" i="1"/>
  <c r="B59" i="1"/>
  <c r="Q58" i="1"/>
  <c r="N58" i="1"/>
  <c r="K58" i="1"/>
  <c r="G58" i="1"/>
  <c r="E58" i="1"/>
  <c r="A58" i="1"/>
  <c r="Q57" i="1"/>
  <c r="P57" i="1"/>
  <c r="I57" i="1"/>
  <c r="G57" i="1"/>
  <c r="F57" i="1"/>
  <c r="R56" i="1"/>
  <c r="P56" i="1"/>
  <c r="O56" i="1"/>
  <c r="M56" i="1"/>
  <c r="J56" i="1"/>
  <c r="F56" i="1"/>
  <c r="E56" i="1"/>
  <c r="D56" i="1"/>
  <c r="B56" i="1"/>
  <c r="R55" i="1"/>
  <c r="O55" i="1"/>
  <c r="L55" i="1"/>
  <c r="J55" i="1"/>
  <c r="G55" i="1"/>
  <c r="D55" i="1"/>
  <c r="C55" i="1"/>
  <c r="B55" i="1"/>
  <c r="A55" i="1"/>
  <c r="R54" i="1"/>
  <c r="Q54" i="1"/>
  <c r="N54" i="1"/>
  <c r="K54" i="1"/>
  <c r="G54" i="1"/>
  <c r="E54" i="1"/>
  <c r="C54" i="1"/>
  <c r="A54" i="1"/>
  <c r="Q53" i="1"/>
  <c r="P53" i="1"/>
  <c r="I53" i="1"/>
  <c r="G53" i="1"/>
  <c r="F53" i="1"/>
  <c r="E53" i="1"/>
  <c r="R52" i="1"/>
  <c r="P52" i="1"/>
  <c r="M52" i="1"/>
  <c r="J52" i="1"/>
  <c r="F52" i="1"/>
  <c r="E52" i="1"/>
  <c r="D52" i="1"/>
  <c r="B52" i="1"/>
  <c r="A52" i="1"/>
  <c r="R51" i="1"/>
  <c r="P51" i="1"/>
  <c r="O51" i="1"/>
  <c r="L51" i="1"/>
  <c r="J51" i="1"/>
  <c r="G51" i="1"/>
  <c r="F51" i="1"/>
  <c r="D51" i="1"/>
  <c r="C51" i="1"/>
  <c r="B51" i="1"/>
  <c r="Q50" i="1"/>
  <c r="O50" i="1"/>
  <c r="N50" i="1"/>
  <c r="K50" i="1"/>
  <c r="G50" i="1"/>
  <c r="E50" i="1"/>
  <c r="A50" i="1"/>
  <c r="Q49" i="1"/>
  <c r="P49" i="1"/>
  <c r="I49" i="1"/>
  <c r="G49" i="1"/>
  <c r="F49" i="1"/>
  <c r="C49" i="1"/>
  <c r="A49" i="1"/>
  <c r="R48" i="1"/>
  <c r="Q48" i="1"/>
  <c r="P48" i="1"/>
  <c r="O48" i="1"/>
  <c r="M48" i="1"/>
  <c r="J48" i="1"/>
  <c r="F48" i="1"/>
  <c r="E48" i="1"/>
  <c r="D48" i="1"/>
  <c r="B48" i="1"/>
  <c r="R47" i="1"/>
  <c r="P47" i="1"/>
  <c r="O47" i="1"/>
  <c r="L47" i="1"/>
  <c r="J47" i="1"/>
  <c r="G47" i="1"/>
  <c r="D47" i="1"/>
  <c r="C47" i="1"/>
  <c r="B47" i="1"/>
  <c r="A47" i="1"/>
  <c r="Q46" i="1"/>
  <c r="N46" i="1"/>
  <c r="K46" i="1"/>
  <c r="G46" i="1"/>
  <c r="E46" i="1"/>
  <c r="D46" i="1"/>
  <c r="C46" i="1"/>
  <c r="A46" i="1"/>
  <c r="Q45" i="1"/>
  <c r="P45" i="1"/>
  <c r="G45" i="1"/>
  <c r="F45" i="1"/>
  <c r="E45" i="1"/>
  <c r="B45" i="1"/>
  <c r="A45" i="1"/>
  <c r="R44" i="1"/>
  <c r="Q44" i="1"/>
  <c r="P44" i="1"/>
  <c r="M44" i="1"/>
  <c r="J44" i="1"/>
  <c r="F44" i="1"/>
  <c r="E44" i="1"/>
  <c r="D44" i="1"/>
  <c r="B44" i="1"/>
  <c r="R43" i="1"/>
  <c r="O43" i="1"/>
  <c r="M43" i="1"/>
  <c r="L43" i="1"/>
  <c r="J43" i="1"/>
  <c r="G43" i="1"/>
  <c r="F43" i="1"/>
  <c r="D43" i="1"/>
  <c r="C43" i="1"/>
  <c r="B43" i="1"/>
  <c r="Q42" i="1"/>
  <c r="N42" i="1"/>
  <c r="K42" i="1"/>
  <c r="G42" i="1"/>
  <c r="E42" i="1"/>
  <c r="D42" i="1"/>
  <c r="B42" i="1"/>
  <c r="A42" i="1"/>
  <c r="Q41" i="1"/>
  <c r="P41" i="1"/>
  <c r="G41" i="1"/>
  <c r="F41" i="1"/>
  <c r="R40" i="1"/>
  <c r="P40" i="1"/>
  <c r="O40" i="1"/>
  <c r="M40" i="1"/>
  <c r="J40" i="1"/>
  <c r="F40" i="1"/>
  <c r="E40" i="1"/>
  <c r="D40" i="1"/>
  <c r="B40" i="1"/>
  <c r="A40" i="1"/>
  <c r="R39" i="1"/>
  <c r="O39" i="1"/>
  <c r="L39" i="1"/>
  <c r="J39" i="1"/>
  <c r="G39" i="1"/>
  <c r="D39" i="1"/>
  <c r="C39" i="1"/>
  <c r="B39" i="1"/>
  <c r="A39" i="1"/>
  <c r="Q38" i="1"/>
  <c r="O38" i="1"/>
  <c r="N38" i="1"/>
  <c r="K38" i="1"/>
  <c r="G38" i="1"/>
  <c r="E38" i="1"/>
  <c r="C38" i="1"/>
  <c r="A38" i="1"/>
  <c r="Q37" i="1"/>
  <c r="P37" i="1"/>
  <c r="G37" i="1"/>
  <c r="F37" i="1"/>
  <c r="E37" i="1"/>
  <c r="D37" i="1"/>
  <c r="C37" i="1"/>
  <c r="B37" i="1"/>
  <c r="A37" i="1"/>
  <c r="R36" i="1"/>
  <c r="P36" i="1"/>
  <c r="M36" i="1"/>
  <c r="J36" i="1"/>
  <c r="F36" i="1"/>
  <c r="E36" i="1"/>
  <c r="D36" i="1"/>
  <c r="B36" i="1"/>
  <c r="A36" i="1"/>
  <c r="R35" i="1"/>
  <c r="P35" i="1"/>
  <c r="O35" i="1"/>
  <c r="M35" i="1"/>
  <c r="L35" i="1"/>
  <c r="J35" i="1"/>
  <c r="G35" i="1"/>
  <c r="F35" i="1"/>
  <c r="D35" i="1"/>
  <c r="C35" i="1"/>
  <c r="B35" i="1"/>
  <c r="Q34" i="1"/>
  <c r="N34" i="1"/>
  <c r="K34" i="1"/>
  <c r="G34" i="1"/>
  <c r="E34" i="1"/>
  <c r="D34" i="1"/>
  <c r="B34" i="1"/>
  <c r="A34" i="1"/>
  <c r="Q33" i="1"/>
  <c r="P33" i="1"/>
  <c r="G33" i="1"/>
  <c r="F33" i="1"/>
  <c r="R32" i="1"/>
  <c r="P32" i="1"/>
  <c r="O32" i="1"/>
  <c r="N32" i="1"/>
  <c r="M32" i="1"/>
  <c r="J32" i="1"/>
  <c r="F32" i="1"/>
  <c r="E32" i="1"/>
  <c r="D32" i="1"/>
  <c r="B32" i="1"/>
  <c r="R31" i="1"/>
  <c r="O31" i="1"/>
  <c r="L31" i="1"/>
  <c r="J31" i="1"/>
  <c r="G31" i="1"/>
  <c r="D31" i="1"/>
  <c r="C31" i="1"/>
  <c r="B31" i="1"/>
  <c r="A31" i="1"/>
  <c r="Q30" i="1"/>
  <c r="N30" i="1"/>
  <c r="K30" i="1"/>
  <c r="G30" i="1"/>
  <c r="E30" i="1"/>
  <c r="C30" i="1"/>
  <c r="A30" i="1"/>
  <c r="Q29" i="1"/>
  <c r="P29" i="1"/>
  <c r="G29" i="1"/>
  <c r="F29" i="1"/>
  <c r="E29" i="1"/>
  <c r="C29" i="1"/>
  <c r="B29" i="1"/>
  <c r="R28" i="1"/>
  <c r="P28" i="1"/>
  <c r="M28" i="1"/>
  <c r="J28" i="1"/>
  <c r="F28" i="1"/>
  <c r="E28" i="1"/>
  <c r="D28" i="1"/>
  <c r="B28" i="1"/>
  <c r="R27" i="1"/>
  <c r="P27" i="1"/>
  <c r="O27" i="1"/>
  <c r="M27" i="1"/>
  <c r="L27" i="1"/>
  <c r="J27" i="1"/>
  <c r="G27" i="1"/>
  <c r="F27" i="1"/>
  <c r="D27" i="1"/>
  <c r="C27" i="1"/>
  <c r="B27" i="1"/>
  <c r="Q26" i="1"/>
  <c r="N26" i="1"/>
  <c r="K26" i="1"/>
  <c r="G26" i="1"/>
  <c r="E26" i="1"/>
  <c r="D26" i="1"/>
  <c r="B26" i="1"/>
  <c r="A26" i="1"/>
  <c r="Q25" i="1"/>
  <c r="P25" i="1"/>
  <c r="G25" i="1"/>
  <c r="F25" i="1"/>
  <c r="R24" i="1"/>
  <c r="P24" i="1"/>
  <c r="O24" i="1"/>
  <c r="M24" i="1"/>
  <c r="J24" i="1"/>
  <c r="F24" i="1"/>
  <c r="E24" i="1"/>
  <c r="D24" i="1"/>
  <c r="B24" i="1"/>
  <c r="R23" i="1"/>
  <c r="O23" i="1"/>
  <c r="L23" i="1"/>
  <c r="J23" i="1"/>
  <c r="G23" i="1"/>
  <c r="D23" i="1"/>
  <c r="C23" i="1"/>
  <c r="B23" i="1"/>
  <c r="A23" i="1"/>
  <c r="R22" i="1"/>
  <c r="Q22" i="1"/>
  <c r="N22" i="1"/>
  <c r="K22" i="1"/>
  <c r="G22" i="1"/>
  <c r="E22" i="1"/>
  <c r="C22" i="1"/>
  <c r="A22" i="1"/>
  <c r="Q21" i="1"/>
  <c r="P21" i="1"/>
  <c r="G21" i="1"/>
  <c r="F21" i="1"/>
  <c r="E21" i="1"/>
  <c r="R20" i="1"/>
  <c r="Q20" i="1"/>
  <c r="P20" i="1"/>
  <c r="M20" i="1"/>
  <c r="J20" i="1"/>
  <c r="F20" i="1"/>
  <c r="E20" i="1"/>
  <c r="D20" i="1"/>
  <c r="B20" i="1"/>
  <c r="R19" i="1"/>
  <c r="O19" i="1"/>
  <c r="L19" i="1"/>
  <c r="J19" i="1"/>
  <c r="G19" i="1"/>
  <c r="F19" i="1"/>
  <c r="E19" i="1"/>
  <c r="D19" i="1"/>
  <c r="C19" i="1"/>
  <c r="B19" i="1"/>
  <c r="Q18" i="1"/>
  <c r="N18" i="1"/>
  <c r="K18" i="1"/>
  <c r="G18" i="1"/>
  <c r="E18" i="1"/>
  <c r="D18" i="1"/>
  <c r="B18" i="1"/>
  <c r="A18" i="1"/>
  <c r="Q17" i="1"/>
  <c r="P17" i="1"/>
  <c r="O17" i="1"/>
  <c r="N17" i="1"/>
  <c r="G17" i="1"/>
  <c r="F17" i="1"/>
  <c r="R16" i="1"/>
  <c r="P16" i="1"/>
  <c r="O16" i="1"/>
  <c r="M16" i="1"/>
  <c r="J16" i="1"/>
  <c r="F16" i="1"/>
  <c r="E16" i="1"/>
  <c r="D16" i="1"/>
  <c r="B16" i="1"/>
  <c r="A16" i="1"/>
  <c r="R15" i="1"/>
  <c r="O15" i="1"/>
  <c r="L15" i="1"/>
  <c r="J15" i="1"/>
  <c r="G15" i="1"/>
  <c r="D15" i="1"/>
  <c r="C15" i="1"/>
  <c r="B15" i="1"/>
  <c r="A15" i="1"/>
  <c r="Q14" i="1"/>
  <c r="O14" i="1"/>
  <c r="N14" i="1"/>
  <c r="K14" i="1"/>
  <c r="G14" i="1"/>
  <c r="E14" i="1"/>
  <c r="C14" i="1"/>
  <c r="A14" i="1"/>
  <c r="Q13" i="1"/>
  <c r="P13" i="1"/>
  <c r="G13" i="1"/>
  <c r="F13" i="1"/>
  <c r="E13" i="1"/>
  <c r="C13" i="1"/>
  <c r="R12" i="1"/>
  <c r="P12" i="1"/>
  <c r="N12" i="1"/>
  <c r="M12" i="1"/>
  <c r="J12" i="1"/>
  <c r="F12" i="1"/>
  <c r="E12" i="1"/>
  <c r="D12" i="1"/>
  <c r="B12" i="1"/>
  <c r="R11" i="1"/>
  <c r="O11" i="1"/>
  <c r="L11" i="1"/>
  <c r="J11" i="1"/>
  <c r="G11" i="1"/>
  <c r="F11" i="1"/>
  <c r="E11" i="1"/>
  <c r="D11" i="1"/>
  <c r="C11" i="1"/>
  <c r="B11" i="1"/>
  <c r="Q10" i="1"/>
  <c r="N10" i="1"/>
  <c r="K10" i="1"/>
  <c r="G10" i="1"/>
  <c r="E10" i="1"/>
  <c r="A10" i="1"/>
  <c r="Q9" i="1"/>
  <c r="P9" i="1"/>
  <c r="O9" i="1"/>
  <c r="N9" i="1"/>
  <c r="G9" i="1"/>
  <c r="F9" i="1"/>
  <c r="R8" i="1"/>
  <c r="P8" i="1"/>
  <c r="O8" i="1"/>
  <c r="M8" i="1"/>
  <c r="J8" i="1"/>
  <c r="F8" i="1"/>
  <c r="E8" i="1"/>
  <c r="D8" i="1"/>
  <c r="C8" i="1"/>
  <c r="B8" i="1"/>
  <c r="R7" i="1"/>
  <c r="O7" i="1"/>
  <c r="L7" i="1"/>
  <c r="J7" i="1"/>
  <c r="G7" i="1"/>
  <c r="D7" i="1"/>
  <c r="C7" i="1"/>
  <c r="B7" i="1"/>
  <c r="A7" i="1"/>
  <c r="R6" i="1"/>
  <c r="Q6" i="1"/>
  <c r="P6" i="1"/>
  <c r="N6" i="1"/>
  <c r="K6" i="1"/>
  <c r="G6" i="1"/>
  <c r="E6" i="1"/>
  <c r="C6" i="1"/>
  <c r="A6" i="1"/>
  <c r="Q5" i="1"/>
  <c r="P5" i="1"/>
  <c r="G5" i="1"/>
  <c r="F5" i="1"/>
  <c r="E5" i="1"/>
  <c r="D5" i="1"/>
  <c r="R4" i="1"/>
  <c r="P4" i="1"/>
  <c r="M4" i="1"/>
  <c r="F4" i="1"/>
  <c r="E4" i="1"/>
  <c r="D4" i="1"/>
  <c r="B4" i="1"/>
  <c r="A4" i="1"/>
  <c r="R3" i="1"/>
  <c r="L3" i="1"/>
  <c r="J3" i="1"/>
  <c r="G3" i="1"/>
  <c r="F3" i="1"/>
  <c r="D3" i="1"/>
  <c r="C3" i="1"/>
  <c r="B3" i="1"/>
  <c r="A3" i="1"/>
  <c r="N2" i="1"/>
  <c r="K2" i="1"/>
  <c r="J2" i="1"/>
  <c r="I2" i="1"/>
  <c r="H2" i="1"/>
  <c r="G2" i="1"/>
  <c r="E2" i="1"/>
  <c r="C2" i="1"/>
  <c r="A2" i="1"/>
</calcChain>
</file>

<file path=xl/sharedStrings.xml><?xml version="1.0" encoding="utf-8"?>
<sst xmlns="http://schemas.openxmlformats.org/spreadsheetml/2006/main" count="906" uniqueCount="53">
  <si>
    <t>1_Case Temp</t>
  </si>
  <si>
    <t>5_Case Temp</t>
  </si>
  <si>
    <t>1_Opr_Wavelength</t>
  </si>
  <si>
    <t>5_Opr_Wavelength</t>
  </si>
  <si>
    <t>Max_Case Temp</t>
  </si>
  <si>
    <t>1_Max_Wavelength</t>
  </si>
  <si>
    <t>5_Max_Wavelength</t>
  </si>
  <si>
    <t>[CH1_DDMI_Opr_Bias]</t>
  </si>
  <si>
    <t>[CH5_DDMI_Opr_Bias]</t>
  </si>
  <si>
    <t>[CH1_DDMI_Max_Bias]</t>
  </si>
  <si>
    <t>[CH1_Opr_TxP]</t>
  </si>
  <si>
    <t>[CH5_Opr_TxP]</t>
  </si>
  <si>
    <t>[CH1_Max_TxP]</t>
  </si>
  <si>
    <t>[CH5_Max_TxP]</t>
  </si>
  <si>
    <t>[1_Opr_dW/dT]</t>
  </si>
  <si>
    <t>[5_Opr_dW/dT]</t>
  </si>
  <si>
    <t>1_Max_dW/dT]</t>
  </si>
  <si>
    <t>[5_Max_dW/dT]</t>
  </si>
  <si>
    <t>Max</t>
  </si>
  <si>
    <t>Min</t>
  </si>
  <si>
    <t>[CHNumber]</t>
  </si>
  <si>
    <t>[Times]</t>
  </si>
  <si>
    <t>[Case_Temp]</t>
  </si>
  <si>
    <t>[Wavelength]</t>
  </si>
  <si>
    <t>[TXP]</t>
  </si>
  <si>
    <t>[CH1_DDMI_Bias]</t>
  </si>
  <si>
    <t>[CH2_DDMI_Bias]</t>
  </si>
  <si>
    <t>[CH3_DDMI_Bias]</t>
  </si>
  <si>
    <t>[CH4_DDMI_Bias]</t>
  </si>
  <si>
    <t>[CH5_DDMI_Bias]</t>
  </si>
  <si>
    <t>[CH6_DDMI_Bias]</t>
  </si>
  <si>
    <t>[CH7_DDMI_Bias]</t>
  </si>
  <si>
    <t>[CH8_DDMI_Bias]</t>
  </si>
  <si>
    <t>[dW/dT]</t>
  </si>
  <si>
    <t>[Peak_WL_Jump_Max]</t>
  </si>
  <si>
    <t>[Peak_WL_Jump_Min]</t>
  </si>
  <si>
    <t>[Peak_WL_Jump_Avg]</t>
  </si>
  <si>
    <t>[CH_Pass_Fail]</t>
  </si>
  <si>
    <t>[FailureCodeID]</t>
  </si>
  <si>
    <t>[ErrorMessage]</t>
  </si>
  <si>
    <t>1_Operational</t>
  </si>
  <si>
    <t>Pass</t>
  </si>
  <si>
    <t>5_Operational</t>
  </si>
  <si>
    <t>Fail</t>
  </si>
  <si>
    <t>800G331</t>
  </si>
  <si>
    <t>TxP Fail (TxP: -2.04)</t>
  </si>
  <si>
    <t>TxP Fail (TxP: -2.16)</t>
  </si>
  <si>
    <t>TxP Fail (TxP: -2.21)</t>
  </si>
  <si>
    <t>TxP Fail (TxP: -2.34)</t>
  </si>
  <si>
    <t>1_Maximum</t>
  </si>
  <si>
    <t>800G332</t>
  </si>
  <si>
    <t>TxP Fail (TxP: -2.15)</t>
  </si>
  <si>
    <t>5_Maximum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</si>
</sst>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charset val="136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 applyAlignment="1">
      <alignment vertical="center"/>
    </xf>
    <xf numFmtId="0" fontId="0" fillId="0" borderId="0" xfId="0" applyAlignment="1"/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0" fillId="7" borderId="0" xfId="0" applyFill="1" applyAlignment="1"/>
    <xf numFmtId="0" fontId="0" fillId="8" borderId="0" xfId="0" applyFill="1" applyAlignment="1">
      <alignment vertical="center"/>
    </xf>
    <xf numFmtId="0" fontId="0" fillId="8" borderId="0" xfId="0" applyFill="1" applyAlignment="1"/>
    <xf numFmtId="0" fontId="0" fillId="2" borderId="0" xfId="0" applyFill="1" applyAlignment="1"/>
    <xf numFmtId="0" fontId="0" fillId="6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Wavelength Channel 1</a:t>
            </a:r>
            <a:endParaRPr lang="zh-TW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Curve!$C$1</c:f>
              <c:strCache>
                <c:ptCount val="1"/>
                <c:pt idx="0">
                  <c:v>1_Opr_Wavelength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Curve!$A$2:$A$96</c:f>
              <c:numCache>
                <c:formatCode>General</c:formatCode>
                <c:ptCount val="95"/>
                <c:pt idx="0">
                  <c:v>0.2</c:v>
                </c:pt>
                <c:pt idx="1">
                  <c:v>0.96</c:v>
                </c:pt>
                <c:pt idx="2">
                  <c:v>1.7</c:v>
                </c:pt>
                <c:pt idx="3">
                  <c:v>2.4300000000000002</c:v>
                </c:pt>
                <c:pt idx="4">
                  <c:v>3.16</c:v>
                </c:pt>
                <c:pt idx="5">
                  <c:v>3.91</c:v>
                </c:pt>
                <c:pt idx="6">
                  <c:v>4.6399999999999997</c:v>
                </c:pt>
                <c:pt idx="7">
                  <c:v>5.39</c:v>
                </c:pt>
                <c:pt idx="8">
                  <c:v>6.13</c:v>
                </c:pt>
                <c:pt idx="9">
                  <c:v>6.87</c:v>
                </c:pt>
                <c:pt idx="10">
                  <c:v>7.63</c:v>
                </c:pt>
                <c:pt idx="11">
                  <c:v>8.36</c:v>
                </c:pt>
                <c:pt idx="12">
                  <c:v>9.1199999999999992</c:v>
                </c:pt>
                <c:pt idx="13">
                  <c:v>9.85</c:v>
                </c:pt>
                <c:pt idx="14">
                  <c:v>10.61</c:v>
                </c:pt>
                <c:pt idx="15">
                  <c:v>11.33</c:v>
                </c:pt>
                <c:pt idx="16">
                  <c:v>12.06</c:v>
                </c:pt>
                <c:pt idx="17">
                  <c:v>12.8</c:v>
                </c:pt>
                <c:pt idx="18">
                  <c:v>13.57</c:v>
                </c:pt>
                <c:pt idx="19">
                  <c:v>14.33</c:v>
                </c:pt>
                <c:pt idx="20">
                  <c:v>15.07</c:v>
                </c:pt>
                <c:pt idx="21">
                  <c:v>15.84</c:v>
                </c:pt>
                <c:pt idx="22">
                  <c:v>16.579999999999998</c:v>
                </c:pt>
                <c:pt idx="23">
                  <c:v>17.350000000000001</c:v>
                </c:pt>
                <c:pt idx="24">
                  <c:v>18.079999999999998</c:v>
                </c:pt>
                <c:pt idx="25">
                  <c:v>18.84</c:v>
                </c:pt>
                <c:pt idx="26">
                  <c:v>19.559999999999999</c:v>
                </c:pt>
                <c:pt idx="27">
                  <c:v>20.32</c:v>
                </c:pt>
                <c:pt idx="28">
                  <c:v>21.09</c:v>
                </c:pt>
                <c:pt idx="29">
                  <c:v>21.83</c:v>
                </c:pt>
                <c:pt idx="30">
                  <c:v>22.58</c:v>
                </c:pt>
                <c:pt idx="31">
                  <c:v>23.31</c:v>
                </c:pt>
                <c:pt idx="32">
                  <c:v>24.04</c:v>
                </c:pt>
                <c:pt idx="33">
                  <c:v>24.75</c:v>
                </c:pt>
                <c:pt idx="34">
                  <c:v>25.5</c:v>
                </c:pt>
                <c:pt idx="35">
                  <c:v>26.26</c:v>
                </c:pt>
                <c:pt idx="36">
                  <c:v>26.99</c:v>
                </c:pt>
                <c:pt idx="37">
                  <c:v>27.74</c:v>
                </c:pt>
                <c:pt idx="38">
                  <c:v>28.47</c:v>
                </c:pt>
                <c:pt idx="39">
                  <c:v>29.24</c:v>
                </c:pt>
                <c:pt idx="40">
                  <c:v>29.97</c:v>
                </c:pt>
                <c:pt idx="41">
                  <c:v>30.73</c:v>
                </c:pt>
                <c:pt idx="42">
                  <c:v>31.47</c:v>
                </c:pt>
                <c:pt idx="43">
                  <c:v>32.22</c:v>
                </c:pt>
                <c:pt idx="44">
                  <c:v>32.979999999999997</c:v>
                </c:pt>
                <c:pt idx="45">
                  <c:v>33.729999999999997</c:v>
                </c:pt>
                <c:pt idx="46">
                  <c:v>34.49</c:v>
                </c:pt>
                <c:pt idx="47">
                  <c:v>35.22</c:v>
                </c:pt>
                <c:pt idx="48">
                  <c:v>35.97</c:v>
                </c:pt>
                <c:pt idx="49">
                  <c:v>36.700000000000003</c:v>
                </c:pt>
                <c:pt idx="50">
                  <c:v>37.450000000000003</c:v>
                </c:pt>
                <c:pt idx="51">
                  <c:v>38.18</c:v>
                </c:pt>
                <c:pt idx="52">
                  <c:v>38.950000000000003</c:v>
                </c:pt>
                <c:pt idx="53">
                  <c:v>39.700000000000003</c:v>
                </c:pt>
                <c:pt idx="54">
                  <c:v>40.44</c:v>
                </c:pt>
                <c:pt idx="55">
                  <c:v>41.2</c:v>
                </c:pt>
                <c:pt idx="56">
                  <c:v>41.93</c:v>
                </c:pt>
                <c:pt idx="57">
                  <c:v>42.69</c:v>
                </c:pt>
                <c:pt idx="58">
                  <c:v>43.42</c:v>
                </c:pt>
                <c:pt idx="59">
                  <c:v>44.17</c:v>
                </c:pt>
                <c:pt idx="60">
                  <c:v>44.9</c:v>
                </c:pt>
                <c:pt idx="61">
                  <c:v>45.63</c:v>
                </c:pt>
                <c:pt idx="62">
                  <c:v>46.38</c:v>
                </c:pt>
                <c:pt idx="63">
                  <c:v>47.11</c:v>
                </c:pt>
                <c:pt idx="64">
                  <c:v>47.86</c:v>
                </c:pt>
                <c:pt idx="65">
                  <c:v>48.58</c:v>
                </c:pt>
                <c:pt idx="66">
                  <c:v>49.33</c:v>
                </c:pt>
                <c:pt idx="67">
                  <c:v>50.06</c:v>
                </c:pt>
                <c:pt idx="68">
                  <c:v>50.83</c:v>
                </c:pt>
                <c:pt idx="69">
                  <c:v>51.56</c:v>
                </c:pt>
                <c:pt idx="70">
                  <c:v>52.32</c:v>
                </c:pt>
                <c:pt idx="71">
                  <c:v>53.09</c:v>
                </c:pt>
                <c:pt idx="72">
                  <c:v>53.84</c:v>
                </c:pt>
                <c:pt idx="73">
                  <c:v>54.6</c:v>
                </c:pt>
                <c:pt idx="74">
                  <c:v>55.33</c:v>
                </c:pt>
                <c:pt idx="75">
                  <c:v>56.08</c:v>
                </c:pt>
                <c:pt idx="76">
                  <c:v>56.82</c:v>
                </c:pt>
                <c:pt idx="77">
                  <c:v>57.57</c:v>
                </c:pt>
                <c:pt idx="78">
                  <c:v>58.3</c:v>
                </c:pt>
                <c:pt idx="79">
                  <c:v>59.05</c:v>
                </c:pt>
                <c:pt idx="80">
                  <c:v>59.81</c:v>
                </c:pt>
                <c:pt idx="81">
                  <c:v>60.55</c:v>
                </c:pt>
                <c:pt idx="82">
                  <c:v>61.3</c:v>
                </c:pt>
                <c:pt idx="83">
                  <c:v>62.03</c:v>
                </c:pt>
                <c:pt idx="84">
                  <c:v>62.78</c:v>
                </c:pt>
                <c:pt idx="85">
                  <c:v>63.53</c:v>
                </c:pt>
                <c:pt idx="86">
                  <c:v>64.28</c:v>
                </c:pt>
                <c:pt idx="87">
                  <c:v>65.010000000000005</c:v>
                </c:pt>
                <c:pt idx="88">
                  <c:v>65.760000000000005</c:v>
                </c:pt>
                <c:pt idx="89">
                  <c:v>66.5</c:v>
                </c:pt>
                <c:pt idx="90">
                  <c:v>67.23</c:v>
                </c:pt>
                <c:pt idx="91">
                  <c:v>67.959999999999994</c:v>
                </c:pt>
                <c:pt idx="92">
                  <c:v>68.66</c:v>
                </c:pt>
                <c:pt idx="93">
                  <c:v>69.34</c:v>
                </c:pt>
                <c:pt idx="94">
                  <c:v>69.97</c:v>
                </c:pt>
              </c:numCache>
            </c:numRef>
          </c:xVal>
          <c:yVal>
            <c:numRef>
              <c:f>Curve!$C$2:$C$96</c:f>
              <c:numCache>
                <c:formatCode>General</c:formatCode>
                <c:ptCount val="95"/>
                <c:pt idx="0">
                  <c:v>1307.3050000000001</c:v>
                </c:pt>
                <c:pt idx="1">
                  <c:v>1307.3520000000001</c:v>
                </c:pt>
                <c:pt idx="2">
                  <c:v>1307.402</c:v>
                </c:pt>
                <c:pt idx="3">
                  <c:v>1307.4459999999999</c:v>
                </c:pt>
                <c:pt idx="4">
                  <c:v>1307.502</c:v>
                </c:pt>
                <c:pt idx="5">
                  <c:v>1307.5540000000001</c:v>
                </c:pt>
                <c:pt idx="6">
                  <c:v>1307.607</c:v>
                </c:pt>
                <c:pt idx="7">
                  <c:v>1307.6600000000001</c:v>
                </c:pt>
                <c:pt idx="8">
                  <c:v>1307.713</c:v>
                </c:pt>
                <c:pt idx="9">
                  <c:v>1307.768</c:v>
                </c:pt>
                <c:pt idx="10">
                  <c:v>1307.816</c:v>
                </c:pt>
                <c:pt idx="11">
                  <c:v>1307.873</c:v>
                </c:pt>
                <c:pt idx="12">
                  <c:v>1307.934</c:v>
                </c:pt>
                <c:pt idx="13">
                  <c:v>1307.991</c:v>
                </c:pt>
                <c:pt idx="14">
                  <c:v>1308.048</c:v>
                </c:pt>
                <c:pt idx="15">
                  <c:v>1308.107</c:v>
                </c:pt>
                <c:pt idx="16">
                  <c:v>1308.164</c:v>
                </c:pt>
                <c:pt idx="17">
                  <c:v>1308.221</c:v>
                </c:pt>
                <c:pt idx="18">
                  <c:v>1308.278</c:v>
                </c:pt>
                <c:pt idx="19">
                  <c:v>1308.337</c:v>
                </c:pt>
                <c:pt idx="20">
                  <c:v>1308.3979999999999</c:v>
                </c:pt>
                <c:pt idx="21">
                  <c:v>1308.4590000000001</c:v>
                </c:pt>
                <c:pt idx="22">
                  <c:v>1308.52</c:v>
                </c:pt>
                <c:pt idx="23">
                  <c:v>1308.576</c:v>
                </c:pt>
                <c:pt idx="24">
                  <c:v>1308.6369999999999</c:v>
                </c:pt>
                <c:pt idx="25">
                  <c:v>1308.704</c:v>
                </c:pt>
                <c:pt idx="26">
                  <c:v>1308.76</c:v>
                </c:pt>
                <c:pt idx="27">
                  <c:v>1308.8230000000001</c:v>
                </c:pt>
                <c:pt idx="28">
                  <c:v>1308.893</c:v>
                </c:pt>
                <c:pt idx="29">
                  <c:v>1308.95</c:v>
                </c:pt>
                <c:pt idx="30">
                  <c:v>1309.021</c:v>
                </c:pt>
                <c:pt idx="31">
                  <c:v>1309.086</c:v>
                </c:pt>
                <c:pt idx="32">
                  <c:v>1309.152</c:v>
                </c:pt>
                <c:pt idx="33">
                  <c:v>1309.2170000000001</c:v>
                </c:pt>
                <c:pt idx="34">
                  <c:v>1309.2819999999999</c:v>
                </c:pt>
                <c:pt idx="35">
                  <c:v>1309.347</c:v>
                </c:pt>
                <c:pt idx="36">
                  <c:v>1309.413</c:v>
                </c:pt>
                <c:pt idx="37">
                  <c:v>1309.472</c:v>
                </c:pt>
                <c:pt idx="38">
                  <c:v>1309.548</c:v>
                </c:pt>
                <c:pt idx="39">
                  <c:v>1309.6089999999999</c:v>
                </c:pt>
                <c:pt idx="40">
                  <c:v>1309.6780000000001</c:v>
                </c:pt>
                <c:pt idx="41">
                  <c:v>1309.7449999999999</c:v>
                </c:pt>
                <c:pt idx="42">
                  <c:v>1309.82</c:v>
                </c:pt>
                <c:pt idx="43">
                  <c:v>1309.8889999999999</c:v>
                </c:pt>
                <c:pt idx="44">
                  <c:v>1309.96</c:v>
                </c:pt>
                <c:pt idx="45">
                  <c:v>1310.0239999999999</c:v>
                </c:pt>
                <c:pt idx="46">
                  <c:v>1310.095</c:v>
                </c:pt>
                <c:pt idx="47">
                  <c:v>1310.172</c:v>
                </c:pt>
                <c:pt idx="48">
                  <c:v>1310.242</c:v>
                </c:pt>
                <c:pt idx="49">
                  <c:v>1310.3130000000001</c:v>
                </c:pt>
                <c:pt idx="50">
                  <c:v>1310.385</c:v>
                </c:pt>
                <c:pt idx="51">
                  <c:v>1310.4570000000001</c:v>
                </c:pt>
                <c:pt idx="52">
                  <c:v>1310.53</c:v>
                </c:pt>
                <c:pt idx="53">
                  <c:v>1310.597</c:v>
                </c:pt>
                <c:pt idx="54">
                  <c:v>1310.672</c:v>
                </c:pt>
                <c:pt idx="55">
                  <c:v>1310.7550000000001</c:v>
                </c:pt>
                <c:pt idx="56">
                  <c:v>1310.8330000000001</c:v>
                </c:pt>
                <c:pt idx="57">
                  <c:v>1310.91</c:v>
                </c:pt>
                <c:pt idx="58">
                  <c:v>1310.9870000000001</c:v>
                </c:pt>
                <c:pt idx="59">
                  <c:v>1311.0650000000001</c:v>
                </c:pt>
                <c:pt idx="60">
                  <c:v>1311.135</c:v>
                </c:pt>
                <c:pt idx="61">
                  <c:v>1311.221</c:v>
                </c:pt>
                <c:pt idx="62">
                  <c:v>1311.3009999999999</c:v>
                </c:pt>
                <c:pt idx="63">
                  <c:v>1311.3820000000001</c:v>
                </c:pt>
                <c:pt idx="64">
                  <c:v>1311.463</c:v>
                </c:pt>
                <c:pt idx="65">
                  <c:v>1311.5360000000001</c:v>
                </c:pt>
                <c:pt idx="66">
                  <c:v>1311.6179999999999</c:v>
                </c:pt>
                <c:pt idx="67">
                  <c:v>1311.7090000000001</c:v>
                </c:pt>
                <c:pt idx="68">
                  <c:v>1311.7950000000001</c:v>
                </c:pt>
                <c:pt idx="69">
                  <c:v>1311.8810000000001</c:v>
                </c:pt>
                <c:pt idx="70">
                  <c:v>1311.9649999999999</c:v>
                </c:pt>
                <c:pt idx="71">
                  <c:v>1312.0530000000001</c:v>
                </c:pt>
                <c:pt idx="72">
                  <c:v>1312.1420000000001</c:v>
                </c:pt>
                <c:pt idx="73">
                  <c:v>1312.229</c:v>
                </c:pt>
                <c:pt idx="74">
                  <c:v>1312.32</c:v>
                </c:pt>
                <c:pt idx="75">
                  <c:v>1312.4</c:v>
                </c:pt>
                <c:pt idx="76">
                  <c:v>1312.5029999999999</c:v>
                </c:pt>
                <c:pt idx="77">
                  <c:v>1312.598</c:v>
                </c:pt>
                <c:pt idx="78">
                  <c:v>1312.693</c:v>
                </c:pt>
                <c:pt idx="79">
                  <c:v>1312.7829999999999</c:v>
                </c:pt>
                <c:pt idx="80">
                  <c:v>1312.8910000000001</c:v>
                </c:pt>
                <c:pt idx="81">
                  <c:v>1312.9839999999999</c:v>
                </c:pt>
                <c:pt idx="82">
                  <c:v>1313.097</c:v>
                </c:pt>
                <c:pt idx="83">
                  <c:v>1313.2059999999999</c:v>
                </c:pt>
                <c:pt idx="84">
                  <c:v>1313.32</c:v>
                </c:pt>
                <c:pt idx="85">
                  <c:v>1313.434</c:v>
                </c:pt>
                <c:pt idx="86">
                  <c:v>1313.539</c:v>
                </c:pt>
                <c:pt idx="87">
                  <c:v>1313.6679999999999</c:v>
                </c:pt>
                <c:pt idx="88">
                  <c:v>1313.796</c:v>
                </c:pt>
                <c:pt idx="89">
                  <c:v>1313.931</c:v>
                </c:pt>
                <c:pt idx="90">
                  <c:v>1314.069</c:v>
                </c:pt>
                <c:pt idx="91">
                  <c:v>1314.146</c:v>
                </c:pt>
                <c:pt idx="92">
                  <c:v>1314.213</c:v>
                </c:pt>
                <c:pt idx="93">
                  <c:v>1314.287</c:v>
                </c:pt>
                <c:pt idx="94">
                  <c:v>1314.367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F6-45C1-8DBB-171176BE635A}"/>
            </c:ext>
          </c:extLst>
        </c:ser>
        <c:ser>
          <c:idx val="1"/>
          <c:order val="1"/>
          <c:tx>
            <c:strRef>
              <c:f>Curve!$F$1</c:f>
              <c:strCache>
                <c:ptCount val="1"/>
                <c:pt idx="0">
                  <c:v>1_Max_Wavelength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Curve!$E$2:$E$96</c:f>
              <c:numCache>
                <c:formatCode>General</c:formatCode>
                <c:ptCount val="95"/>
                <c:pt idx="0">
                  <c:v>69.760000000000005</c:v>
                </c:pt>
                <c:pt idx="1">
                  <c:v>69.010000000000005</c:v>
                </c:pt>
                <c:pt idx="2">
                  <c:v>68.260000000000005</c:v>
                </c:pt>
                <c:pt idx="3">
                  <c:v>67.510000000000005</c:v>
                </c:pt>
                <c:pt idx="4">
                  <c:v>66.78</c:v>
                </c:pt>
                <c:pt idx="5">
                  <c:v>66.040000000000006</c:v>
                </c:pt>
                <c:pt idx="6">
                  <c:v>65.31</c:v>
                </c:pt>
                <c:pt idx="7">
                  <c:v>64.569999999999993</c:v>
                </c:pt>
                <c:pt idx="8">
                  <c:v>63.84</c:v>
                </c:pt>
                <c:pt idx="9">
                  <c:v>63.09</c:v>
                </c:pt>
                <c:pt idx="10">
                  <c:v>62.37</c:v>
                </c:pt>
                <c:pt idx="11">
                  <c:v>61.62</c:v>
                </c:pt>
                <c:pt idx="12">
                  <c:v>60.89</c:v>
                </c:pt>
                <c:pt idx="13">
                  <c:v>60.12</c:v>
                </c:pt>
                <c:pt idx="14">
                  <c:v>59.35</c:v>
                </c:pt>
                <c:pt idx="15">
                  <c:v>58.59</c:v>
                </c:pt>
                <c:pt idx="16">
                  <c:v>57.84</c:v>
                </c:pt>
                <c:pt idx="17">
                  <c:v>57.11</c:v>
                </c:pt>
                <c:pt idx="18">
                  <c:v>56.35</c:v>
                </c:pt>
                <c:pt idx="19">
                  <c:v>55.61</c:v>
                </c:pt>
                <c:pt idx="20">
                  <c:v>54.86</c:v>
                </c:pt>
                <c:pt idx="21">
                  <c:v>54.1</c:v>
                </c:pt>
                <c:pt idx="22">
                  <c:v>53.36</c:v>
                </c:pt>
                <c:pt idx="23">
                  <c:v>52.6</c:v>
                </c:pt>
                <c:pt idx="24">
                  <c:v>51.88</c:v>
                </c:pt>
                <c:pt idx="25">
                  <c:v>51.12</c:v>
                </c:pt>
                <c:pt idx="26">
                  <c:v>50.38</c:v>
                </c:pt>
                <c:pt idx="27">
                  <c:v>49.64</c:v>
                </c:pt>
                <c:pt idx="28">
                  <c:v>48.91</c:v>
                </c:pt>
                <c:pt idx="29">
                  <c:v>48.15</c:v>
                </c:pt>
                <c:pt idx="30">
                  <c:v>47.4</c:v>
                </c:pt>
                <c:pt idx="31">
                  <c:v>46.65</c:v>
                </c:pt>
                <c:pt idx="32">
                  <c:v>45.9</c:v>
                </c:pt>
                <c:pt idx="33">
                  <c:v>45.17</c:v>
                </c:pt>
                <c:pt idx="34">
                  <c:v>44.44</c:v>
                </c:pt>
                <c:pt idx="35">
                  <c:v>43.72</c:v>
                </c:pt>
                <c:pt idx="36">
                  <c:v>42.98</c:v>
                </c:pt>
                <c:pt idx="37">
                  <c:v>42.25</c:v>
                </c:pt>
                <c:pt idx="38">
                  <c:v>41.5</c:v>
                </c:pt>
                <c:pt idx="39">
                  <c:v>40.74</c:v>
                </c:pt>
                <c:pt idx="40">
                  <c:v>40</c:v>
                </c:pt>
                <c:pt idx="41">
                  <c:v>39.24</c:v>
                </c:pt>
                <c:pt idx="42">
                  <c:v>38.51</c:v>
                </c:pt>
                <c:pt idx="43">
                  <c:v>37.74</c:v>
                </c:pt>
                <c:pt idx="44">
                  <c:v>37.01</c:v>
                </c:pt>
                <c:pt idx="45">
                  <c:v>36.26</c:v>
                </c:pt>
                <c:pt idx="46">
                  <c:v>35.53</c:v>
                </c:pt>
                <c:pt idx="47">
                  <c:v>34.78</c:v>
                </c:pt>
                <c:pt idx="48">
                  <c:v>34</c:v>
                </c:pt>
                <c:pt idx="49">
                  <c:v>33.26</c:v>
                </c:pt>
                <c:pt idx="50">
                  <c:v>32.51</c:v>
                </c:pt>
                <c:pt idx="51">
                  <c:v>31.78</c:v>
                </c:pt>
                <c:pt idx="52">
                  <c:v>31.03</c:v>
                </c:pt>
                <c:pt idx="53">
                  <c:v>30.3</c:v>
                </c:pt>
                <c:pt idx="54">
                  <c:v>29.54</c:v>
                </c:pt>
                <c:pt idx="55">
                  <c:v>28.81</c:v>
                </c:pt>
                <c:pt idx="56">
                  <c:v>28.06</c:v>
                </c:pt>
                <c:pt idx="57">
                  <c:v>27.3</c:v>
                </c:pt>
                <c:pt idx="58">
                  <c:v>26.57</c:v>
                </c:pt>
                <c:pt idx="59">
                  <c:v>25.81</c:v>
                </c:pt>
                <c:pt idx="60">
                  <c:v>25.09</c:v>
                </c:pt>
                <c:pt idx="61">
                  <c:v>24.32</c:v>
                </c:pt>
                <c:pt idx="62">
                  <c:v>23.61</c:v>
                </c:pt>
                <c:pt idx="63">
                  <c:v>22.89</c:v>
                </c:pt>
                <c:pt idx="64">
                  <c:v>22.15</c:v>
                </c:pt>
                <c:pt idx="65">
                  <c:v>21.39</c:v>
                </c:pt>
                <c:pt idx="66">
                  <c:v>20.63</c:v>
                </c:pt>
                <c:pt idx="67">
                  <c:v>19.899999999999999</c:v>
                </c:pt>
                <c:pt idx="68">
                  <c:v>19.149999999999999</c:v>
                </c:pt>
                <c:pt idx="69">
                  <c:v>18.420000000000002</c:v>
                </c:pt>
                <c:pt idx="70">
                  <c:v>17.66</c:v>
                </c:pt>
                <c:pt idx="71">
                  <c:v>16.920000000000002</c:v>
                </c:pt>
                <c:pt idx="72">
                  <c:v>16.149999999999999</c:v>
                </c:pt>
                <c:pt idx="73">
                  <c:v>15.42</c:v>
                </c:pt>
                <c:pt idx="74">
                  <c:v>14.67</c:v>
                </c:pt>
                <c:pt idx="75">
                  <c:v>13.9</c:v>
                </c:pt>
                <c:pt idx="76">
                  <c:v>13.17</c:v>
                </c:pt>
                <c:pt idx="77">
                  <c:v>12.41</c:v>
                </c:pt>
                <c:pt idx="78">
                  <c:v>11.69</c:v>
                </c:pt>
                <c:pt idx="79">
                  <c:v>10.94</c:v>
                </c:pt>
                <c:pt idx="80">
                  <c:v>10.210000000000001</c:v>
                </c:pt>
                <c:pt idx="81">
                  <c:v>9.4499999999999993</c:v>
                </c:pt>
                <c:pt idx="82">
                  <c:v>8.7200000000000006</c:v>
                </c:pt>
                <c:pt idx="83">
                  <c:v>7.97</c:v>
                </c:pt>
                <c:pt idx="84">
                  <c:v>7.21</c:v>
                </c:pt>
                <c:pt idx="85">
                  <c:v>6.48</c:v>
                </c:pt>
                <c:pt idx="86">
                  <c:v>5.73</c:v>
                </c:pt>
                <c:pt idx="87">
                  <c:v>4.99</c:v>
                </c:pt>
                <c:pt idx="88">
                  <c:v>4.24</c:v>
                </c:pt>
                <c:pt idx="89">
                  <c:v>3.51</c:v>
                </c:pt>
                <c:pt idx="90">
                  <c:v>2.76</c:v>
                </c:pt>
                <c:pt idx="91">
                  <c:v>2.0299999999999998</c:v>
                </c:pt>
                <c:pt idx="92">
                  <c:v>1.3</c:v>
                </c:pt>
                <c:pt idx="93">
                  <c:v>0.54</c:v>
                </c:pt>
              </c:numCache>
            </c:numRef>
          </c:xVal>
          <c:yVal>
            <c:numRef>
              <c:f>Curve!$F$2:$F$96</c:f>
              <c:numCache>
                <c:formatCode>General</c:formatCode>
                <c:ptCount val="95"/>
                <c:pt idx="0">
                  <c:v>1314.8579999999999</c:v>
                </c:pt>
                <c:pt idx="1">
                  <c:v>1314.7840000000001</c:v>
                </c:pt>
                <c:pt idx="2">
                  <c:v>1314.7180000000001</c:v>
                </c:pt>
                <c:pt idx="3">
                  <c:v>1314.6479999999999</c:v>
                </c:pt>
                <c:pt idx="4">
                  <c:v>1314.579</c:v>
                </c:pt>
                <c:pt idx="5">
                  <c:v>1314.5150000000001</c:v>
                </c:pt>
                <c:pt idx="6">
                  <c:v>1314.4359999999999</c:v>
                </c:pt>
                <c:pt idx="7">
                  <c:v>1314.364</c:v>
                </c:pt>
                <c:pt idx="8">
                  <c:v>1314.3</c:v>
                </c:pt>
                <c:pt idx="9">
                  <c:v>1314.221</c:v>
                </c:pt>
                <c:pt idx="10">
                  <c:v>1314.1510000000001</c:v>
                </c:pt>
                <c:pt idx="11">
                  <c:v>1314.077</c:v>
                </c:pt>
                <c:pt idx="12">
                  <c:v>1314.0060000000001</c:v>
                </c:pt>
                <c:pt idx="13">
                  <c:v>1313.9349999999999</c:v>
                </c:pt>
                <c:pt idx="14">
                  <c:v>1313.8620000000001</c:v>
                </c:pt>
                <c:pt idx="15">
                  <c:v>1313.789</c:v>
                </c:pt>
                <c:pt idx="16">
                  <c:v>1313.7149999999999</c:v>
                </c:pt>
                <c:pt idx="17">
                  <c:v>1313.6420000000001</c:v>
                </c:pt>
                <c:pt idx="18">
                  <c:v>1313.57</c:v>
                </c:pt>
                <c:pt idx="19">
                  <c:v>1313.5</c:v>
                </c:pt>
                <c:pt idx="20">
                  <c:v>1313.4259999999999</c:v>
                </c:pt>
                <c:pt idx="21">
                  <c:v>1313.3610000000001</c:v>
                </c:pt>
                <c:pt idx="22">
                  <c:v>1313.289</c:v>
                </c:pt>
                <c:pt idx="23">
                  <c:v>1313.2170000000001</c:v>
                </c:pt>
                <c:pt idx="24">
                  <c:v>1313.1369999999999</c:v>
                </c:pt>
                <c:pt idx="25">
                  <c:v>1313.0719999999999</c:v>
                </c:pt>
                <c:pt idx="26">
                  <c:v>1312.9949999999999</c:v>
                </c:pt>
                <c:pt idx="27">
                  <c:v>1312.921</c:v>
                </c:pt>
                <c:pt idx="28">
                  <c:v>1312.85</c:v>
                </c:pt>
                <c:pt idx="29">
                  <c:v>1312.777</c:v>
                </c:pt>
                <c:pt idx="30">
                  <c:v>1312.712</c:v>
                </c:pt>
                <c:pt idx="31">
                  <c:v>1312.6320000000001</c:v>
                </c:pt>
                <c:pt idx="32">
                  <c:v>1312.56</c:v>
                </c:pt>
                <c:pt idx="33">
                  <c:v>1312.4860000000001</c:v>
                </c:pt>
                <c:pt idx="34">
                  <c:v>1312.421</c:v>
                </c:pt>
                <c:pt idx="35">
                  <c:v>1312.3420000000001</c:v>
                </c:pt>
                <c:pt idx="36">
                  <c:v>1312.269</c:v>
                </c:pt>
                <c:pt idx="37">
                  <c:v>1312.202</c:v>
                </c:pt>
                <c:pt idx="38">
                  <c:v>1312.125</c:v>
                </c:pt>
                <c:pt idx="39">
                  <c:v>1312.0519999999999</c:v>
                </c:pt>
                <c:pt idx="40">
                  <c:v>1311.979</c:v>
                </c:pt>
                <c:pt idx="41">
                  <c:v>1311.9069999999999</c:v>
                </c:pt>
                <c:pt idx="42">
                  <c:v>1311.835</c:v>
                </c:pt>
                <c:pt idx="43">
                  <c:v>1311.77</c:v>
                </c:pt>
                <c:pt idx="44">
                  <c:v>1311.691</c:v>
                </c:pt>
                <c:pt idx="45">
                  <c:v>1311.6179999999999</c:v>
                </c:pt>
                <c:pt idx="46">
                  <c:v>1311.5540000000001</c:v>
                </c:pt>
                <c:pt idx="47">
                  <c:v>1311.4749999999999</c:v>
                </c:pt>
                <c:pt idx="48">
                  <c:v>1311.403</c:v>
                </c:pt>
                <c:pt idx="49">
                  <c:v>1311.3309999999999</c:v>
                </c:pt>
                <c:pt idx="50">
                  <c:v>1311.26</c:v>
                </c:pt>
                <c:pt idx="51">
                  <c:v>1311.1880000000001</c:v>
                </c:pt>
                <c:pt idx="52">
                  <c:v>1311.117</c:v>
                </c:pt>
                <c:pt idx="53">
                  <c:v>1311.0450000000001</c:v>
                </c:pt>
                <c:pt idx="54">
                  <c:v>1310.981</c:v>
                </c:pt>
                <c:pt idx="55">
                  <c:v>1310.902</c:v>
                </c:pt>
                <c:pt idx="56">
                  <c:v>1310.83</c:v>
                </c:pt>
                <c:pt idx="57">
                  <c:v>1310.759</c:v>
                </c:pt>
                <c:pt idx="58">
                  <c:v>1310.694</c:v>
                </c:pt>
                <c:pt idx="59">
                  <c:v>1310.614</c:v>
                </c:pt>
                <c:pt idx="60">
                  <c:v>1310.5419999999999</c:v>
                </c:pt>
                <c:pt idx="61">
                  <c:v>1310.472</c:v>
                </c:pt>
                <c:pt idx="62">
                  <c:v>1310.4010000000001</c:v>
                </c:pt>
                <c:pt idx="63">
                  <c:v>1310.337</c:v>
                </c:pt>
                <c:pt idx="64">
                  <c:v>1310.258</c:v>
                </c:pt>
                <c:pt idx="65">
                  <c:v>1310.19</c:v>
                </c:pt>
                <c:pt idx="66">
                  <c:v>1310.1189999999999</c:v>
                </c:pt>
                <c:pt idx="67">
                  <c:v>1310.047</c:v>
                </c:pt>
                <c:pt idx="68">
                  <c:v>1309.9749999999999</c:v>
                </c:pt>
                <c:pt idx="69">
                  <c:v>1309.903</c:v>
                </c:pt>
                <c:pt idx="70">
                  <c:v>1309.8389999999999</c:v>
                </c:pt>
                <c:pt idx="71">
                  <c:v>1309.761</c:v>
                </c:pt>
                <c:pt idx="72">
                  <c:v>1309.69</c:v>
                </c:pt>
                <c:pt idx="73">
                  <c:v>1309.6199999999999</c:v>
                </c:pt>
                <c:pt idx="74">
                  <c:v>1309.5550000000001</c:v>
                </c:pt>
                <c:pt idx="75">
                  <c:v>1309.4839999999999</c:v>
                </c:pt>
                <c:pt idx="76">
                  <c:v>1309.414</c:v>
                </c:pt>
                <c:pt idx="77">
                  <c:v>1309.337</c:v>
                </c:pt>
                <c:pt idx="78">
                  <c:v>1309.2670000000001</c:v>
                </c:pt>
                <c:pt idx="79">
                  <c:v>1309.1969999999999</c:v>
                </c:pt>
                <c:pt idx="80">
                  <c:v>1309.126</c:v>
                </c:pt>
                <c:pt idx="81">
                  <c:v>1309.056</c:v>
                </c:pt>
                <c:pt idx="82">
                  <c:v>1308.9849999999999</c:v>
                </c:pt>
                <c:pt idx="83">
                  <c:v>1308.914</c:v>
                </c:pt>
                <c:pt idx="84">
                  <c:v>1308.8440000000001</c:v>
                </c:pt>
                <c:pt idx="85">
                  <c:v>1308.7809999999999</c:v>
                </c:pt>
                <c:pt idx="86">
                  <c:v>1308.712</c:v>
                </c:pt>
                <c:pt idx="87">
                  <c:v>1308.635</c:v>
                </c:pt>
                <c:pt idx="88">
                  <c:v>1308.5730000000001</c:v>
                </c:pt>
                <c:pt idx="89">
                  <c:v>1308.4960000000001</c:v>
                </c:pt>
                <c:pt idx="90">
                  <c:v>1308.4259999999999</c:v>
                </c:pt>
                <c:pt idx="91">
                  <c:v>1308.355</c:v>
                </c:pt>
                <c:pt idx="92">
                  <c:v>1308.2919999999999</c:v>
                </c:pt>
                <c:pt idx="93">
                  <c:v>1308.2159999999999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F6-45C1-8DBB-171176BE6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664112"/>
        <c:axId val="319046272"/>
      </c:scatterChart>
      <c:scatterChart>
        <c:scatterStyle val="lineMarker"/>
        <c:varyColors val="0"/>
        <c:ser>
          <c:idx val="2"/>
          <c:order val="2"/>
          <c:tx>
            <c:strRef>
              <c:f>Curve!$H$1</c:f>
              <c:strCache>
                <c:ptCount val="1"/>
                <c:pt idx="0">
                  <c:v>[CH1_DDMI_Opr_Bias]</c:v>
                </c:pt>
              </c:strCache>
            </c:strRef>
          </c:tx>
          <c:spPr>
            <a:ln w="19050" cap="rnd">
              <a:solidFill>
                <a:schemeClr val="tx1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Curve!$A$2:$A$96</c:f>
              <c:numCache>
                <c:formatCode>General</c:formatCode>
                <c:ptCount val="95"/>
                <c:pt idx="0">
                  <c:v>0.2</c:v>
                </c:pt>
                <c:pt idx="1">
                  <c:v>0.96</c:v>
                </c:pt>
                <c:pt idx="2">
                  <c:v>1.7</c:v>
                </c:pt>
                <c:pt idx="3">
                  <c:v>2.4300000000000002</c:v>
                </c:pt>
                <c:pt idx="4">
                  <c:v>3.16</c:v>
                </c:pt>
                <c:pt idx="5">
                  <c:v>3.91</c:v>
                </c:pt>
                <c:pt idx="6">
                  <c:v>4.6399999999999997</c:v>
                </c:pt>
                <c:pt idx="7">
                  <c:v>5.39</c:v>
                </c:pt>
                <c:pt idx="8">
                  <c:v>6.13</c:v>
                </c:pt>
                <c:pt idx="9">
                  <c:v>6.87</c:v>
                </c:pt>
                <c:pt idx="10">
                  <c:v>7.63</c:v>
                </c:pt>
                <c:pt idx="11">
                  <c:v>8.36</c:v>
                </c:pt>
                <c:pt idx="12">
                  <c:v>9.1199999999999992</c:v>
                </c:pt>
                <c:pt idx="13">
                  <c:v>9.85</c:v>
                </c:pt>
                <c:pt idx="14">
                  <c:v>10.61</c:v>
                </c:pt>
                <c:pt idx="15">
                  <c:v>11.33</c:v>
                </c:pt>
                <c:pt idx="16">
                  <c:v>12.06</c:v>
                </c:pt>
                <c:pt idx="17">
                  <c:v>12.8</c:v>
                </c:pt>
                <c:pt idx="18">
                  <c:v>13.57</c:v>
                </c:pt>
                <c:pt idx="19">
                  <c:v>14.33</c:v>
                </c:pt>
                <c:pt idx="20">
                  <c:v>15.07</c:v>
                </c:pt>
                <c:pt idx="21">
                  <c:v>15.84</c:v>
                </c:pt>
                <c:pt idx="22">
                  <c:v>16.579999999999998</c:v>
                </c:pt>
                <c:pt idx="23">
                  <c:v>17.350000000000001</c:v>
                </c:pt>
                <c:pt idx="24">
                  <c:v>18.079999999999998</c:v>
                </c:pt>
                <c:pt idx="25">
                  <c:v>18.84</c:v>
                </c:pt>
                <c:pt idx="26">
                  <c:v>19.559999999999999</c:v>
                </c:pt>
                <c:pt idx="27">
                  <c:v>20.32</c:v>
                </c:pt>
                <c:pt idx="28">
                  <c:v>21.09</c:v>
                </c:pt>
                <c:pt idx="29">
                  <c:v>21.83</c:v>
                </c:pt>
                <c:pt idx="30">
                  <c:v>22.58</c:v>
                </c:pt>
                <c:pt idx="31">
                  <c:v>23.31</c:v>
                </c:pt>
                <c:pt idx="32">
                  <c:v>24.04</c:v>
                </c:pt>
                <c:pt idx="33">
                  <c:v>24.75</c:v>
                </c:pt>
                <c:pt idx="34">
                  <c:v>25.5</c:v>
                </c:pt>
                <c:pt idx="35">
                  <c:v>26.26</c:v>
                </c:pt>
                <c:pt idx="36">
                  <c:v>26.99</c:v>
                </c:pt>
                <c:pt idx="37">
                  <c:v>27.74</c:v>
                </c:pt>
                <c:pt idx="38">
                  <c:v>28.47</c:v>
                </c:pt>
                <c:pt idx="39">
                  <c:v>29.24</c:v>
                </c:pt>
                <c:pt idx="40">
                  <c:v>29.97</c:v>
                </c:pt>
                <c:pt idx="41">
                  <c:v>30.73</c:v>
                </c:pt>
                <c:pt idx="42">
                  <c:v>31.47</c:v>
                </c:pt>
                <c:pt idx="43">
                  <c:v>32.22</c:v>
                </c:pt>
                <c:pt idx="44">
                  <c:v>32.979999999999997</c:v>
                </c:pt>
                <c:pt idx="45">
                  <c:v>33.729999999999997</c:v>
                </c:pt>
                <c:pt idx="46">
                  <c:v>34.49</c:v>
                </c:pt>
                <c:pt idx="47">
                  <c:v>35.22</c:v>
                </c:pt>
                <c:pt idx="48">
                  <c:v>35.97</c:v>
                </c:pt>
                <c:pt idx="49">
                  <c:v>36.700000000000003</c:v>
                </c:pt>
                <c:pt idx="50">
                  <c:v>37.450000000000003</c:v>
                </c:pt>
                <c:pt idx="51">
                  <c:v>38.18</c:v>
                </c:pt>
                <c:pt idx="52">
                  <c:v>38.950000000000003</c:v>
                </c:pt>
                <c:pt idx="53">
                  <c:v>39.700000000000003</c:v>
                </c:pt>
                <c:pt idx="54">
                  <c:v>40.44</c:v>
                </c:pt>
                <c:pt idx="55">
                  <c:v>41.2</c:v>
                </c:pt>
                <c:pt idx="56">
                  <c:v>41.93</c:v>
                </c:pt>
                <c:pt idx="57">
                  <c:v>42.69</c:v>
                </c:pt>
                <c:pt idx="58">
                  <c:v>43.42</c:v>
                </c:pt>
                <c:pt idx="59">
                  <c:v>44.17</c:v>
                </c:pt>
                <c:pt idx="60">
                  <c:v>44.9</c:v>
                </c:pt>
                <c:pt idx="61">
                  <c:v>45.63</c:v>
                </c:pt>
                <c:pt idx="62">
                  <c:v>46.38</c:v>
                </c:pt>
                <c:pt idx="63">
                  <c:v>47.11</c:v>
                </c:pt>
                <c:pt idx="64">
                  <c:v>47.86</c:v>
                </c:pt>
                <c:pt idx="65">
                  <c:v>48.58</c:v>
                </c:pt>
                <c:pt idx="66">
                  <c:v>49.33</c:v>
                </c:pt>
                <c:pt idx="67">
                  <c:v>50.06</c:v>
                </c:pt>
                <c:pt idx="68">
                  <c:v>50.83</c:v>
                </c:pt>
                <c:pt idx="69">
                  <c:v>51.56</c:v>
                </c:pt>
                <c:pt idx="70">
                  <c:v>52.32</c:v>
                </c:pt>
                <c:pt idx="71">
                  <c:v>53.09</c:v>
                </c:pt>
                <c:pt idx="72">
                  <c:v>53.84</c:v>
                </c:pt>
                <c:pt idx="73">
                  <c:v>54.6</c:v>
                </c:pt>
                <c:pt idx="74">
                  <c:v>55.33</c:v>
                </c:pt>
                <c:pt idx="75">
                  <c:v>56.08</c:v>
                </c:pt>
                <c:pt idx="76">
                  <c:v>56.82</c:v>
                </c:pt>
                <c:pt idx="77">
                  <c:v>57.57</c:v>
                </c:pt>
                <c:pt idx="78">
                  <c:v>58.3</c:v>
                </c:pt>
                <c:pt idx="79">
                  <c:v>59.05</c:v>
                </c:pt>
                <c:pt idx="80">
                  <c:v>59.81</c:v>
                </c:pt>
                <c:pt idx="81">
                  <c:v>60.55</c:v>
                </c:pt>
                <c:pt idx="82">
                  <c:v>61.3</c:v>
                </c:pt>
                <c:pt idx="83">
                  <c:v>62.03</c:v>
                </c:pt>
                <c:pt idx="84">
                  <c:v>62.78</c:v>
                </c:pt>
                <c:pt idx="85">
                  <c:v>63.53</c:v>
                </c:pt>
                <c:pt idx="86">
                  <c:v>64.28</c:v>
                </c:pt>
                <c:pt idx="87">
                  <c:v>65.010000000000005</c:v>
                </c:pt>
                <c:pt idx="88">
                  <c:v>65.760000000000005</c:v>
                </c:pt>
                <c:pt idx="89">
                  <c:v>66.5</c:v>
                </c:pt>
                <c:pt idx="90">
                  <c:v>67.23</c:v>
                </c:pt>
                <c:pt idx="91">
                  <c:v>67.959999999999994</c:v>
                </c:pt>
                <c:pt idx="92">
                  <c:v>68.66</c:v>
                </c:pt>
                <c:pt idx="93">
                  <c:v>69.34</c:v>
                </c:pt>
                <c:pt idx="94">
                  <c:v>69.97</c:v>
                </c:pt>
              </c:numCache>
            </c:numRef>
          </c:xVal>
          <c:yVal>
            <c:numRef>
              <c:f>Curve!$H$2:$H$96</c:f>
              <c:numCache>
                <c:formatCode>General</c:formatCode>
                <c:ptCount val="95"/>
                <c:pt idx="0">
                  <c:v>271.12</c:v>
                </c:pt>
                <c:pt idx="1">
                  <c:v>269.60000000000002</c:v>
                </c:pt>
                <c:pt idx="2">
                  <c:v>267.83999999999997</c:v>
                </c:pt>
                <c:pt idx="3">
                  <c:v>265.8</c:v>
                </c:pt>
                <c:pt idx="4">
                  <c:v>264</c:v>
                </c:pt>
                <c:pt idx="5">
                  <c:v>261.8</c:v>
                </c:pt>
                <c:pt idx="6">
                  <c:v>259.72000000000003</c:v>
                </c:pt>
                <c:pt idx="7">
                  <c:v>257.64</c:v>
                </c:pt>
                <c:pt idx="8">
                  <c:v>255.4</c:v>
                </c:pt>
                <c:pt idx="9">
                  <c:v>253.48</c:v>
                </c:pt>
                <c:pt idx="10">
                  <c:v>251.36</c:v>
                </c:pt>
                <c:pt idx="11">
                  <c:v>249.72</c:v>
                </c:pt>
                <c:pt idx="12">
                  <c:v>247.68</c:v>
                </c:pt>
                <c:pt idx="13">
                  <c:v>246.04</c:v>
                </c:pt>
                <c:pt idx="14">
                  <c:v>244.28</c:v>
                </c:pt>
                <c:pt idx="15">
                  <c:v>242.4</c:v>
                </c:pt>
                <c:pt idx="16">
                  <c:v>240.96</c:v>
                </c:pt>
                <c:pt idx="17">
                  <c:v>239.2</c:v>
                </c:pt>
                <c:pt idx="18">
                  <c:v>237.68</c:v>
                </c:pt>
                <c:pt idx="19">
                  <c:v>236.08</c:v>
                </c:pt>
                <c:pt idx="20">
                  <c:v>234.68</c:v>
                </c:pt>
                <c:pt idx="21">
                  <c:v>233.32</c:v>
                </c:pt>
                <c:pt idx="22">
                  <c:v>232</c:v>
                </c:pt>
                <c:pt idx="23">
                  <c:v>230.88</c:v>
                </c:pt>
                <c:pt idx="24">
                  <c:v>229.76</c:v>
                </c:pt>
                <c:pt idx="25">
                  <c:v>228.8</c:v>
                </c:pt>
                <c:pt idx="26">
                  <c:v>227.8</c:v>
                </c:pt>
                <c:pt idx="27">
                  <c:v>227</c:v>
                </c:pt>
                <c:pt idx="28">
                  <c:v>226.16</c:v>
                </c:pt>
                <c:pt idx="29">
                  <c:v>225.48</c:v>
                </c:pt>
                <c:pt idx="30">
                  <c:v>224.8</c:v>
                </c:pt>
                <c:pt idx="31">
                  <c:v>224.2</c:v>
                </c:pt>
                <c:pt idx="32">
                  <c:v>223.64</c:v>
                </c:pt>
                <c:pt idx="33">
                  <c:v>223.2</c:v>
                </c:pt>
                <c:pt idx="34">
                  <c:v>222.88</c:v>
                </c:pt>
                <c:pt idx="35">
                  <c:v>222.72</c:v>
                </c:pt>
                <c:pt idx="36">
                  <c:v>222.72</c:v>
                </c:pt>
                <c:pt idx="37">
                  <c:v>222.76</c:v>
                </c:pt>
                <c:pt idx="38">
                  <c:v>222.88</c:v>
                </c:pt>
                <c:pt idx="39">
                  <c:v>223.08</c:v>
                </c:pt>
                <c:pt idx="40">
                  <c:v>223.4</c:v>
                </c:pt>
                <c:pt idx="41">
                  <c:v>223.88</c:v>
                </c:pt>
                <c:pt idx="42">
                  <c:v>224.28</c:v>
                </c:pt>
                <c:pt idx="43">
                  <c:v>224.84</c:v>
                </c:pt>
                <c:pt idx="44">
                  <c:v>225.32</c:v>
                </c:pt>
                <c:pt idx="45">
                  <c:v>225.92</c:v>
                </c:pt>
                <c:pt idx="46">
                  <c:v>226.48</c:v>
                </c:pt>
                <c:pt idx="47">
                  <c:v>227.32</c:v>
                </c:pt>
                <c:pt idx="48">
                  <c:v>228.12</c:v>
                </c:pt>
                <c:pt idx="49">
                  <c:v>229</c:v>
                </c:pt>
                <c:pt idx="50">
                  <c:v>230.12</c:v>
                </c:pt>
                <c:pt idx="51">
                  <c:v>231.48</c:v>
                </c:pt>
                <c:pt idx="52">
                  <c:v>232.84</c:v>
                </c:pt>
                <c:pt idx="53">
                  <c:v>234.6</c:v>
                </c:pt>
                <c:pt idx="54">
                  <c:v>236.24</c:v>
                </c:pt>
                <c:pt idx="55">
                  <c:v>238.2</c:v>
                </c:pt>
                <c:pt idx="56">
                  <c:v>240.04</c:v>
                </c:pt>
                <c:pt idx="57">
                  <c:v>242.2</c:v>
                </c:pt>
                <c:pt idx="58">
                  <c:v>244.36</c:v>
                </c:pt>
                <c:pt idx="59">
                  <c:v>246.28</c:v>
                </c:pt>
                <c:pt idx="60">
                  <c:v>248.72</c:v>
                </c:pt>
                <c:pt idx="61">
                  <c:v>251</c:v>
                </c:pt>
                <c:pt idx="62">
                  <c:v>253.52</c:v>
                </c:pt>
                <c:pt idx="63">
                  <c:v>255.72</c:v>
                </c:pt>
                <c:pt idx="64">
                  <c:v>258.44</c:v>
                </c:pt>
                <c:pt idx="65">
                  <c:v>261.27999999999997</c:v>
                </c:pt>
                <c:pt idx="66">
                  <c:v>264.39999999999998</c:v>
                </c:pt>
                <c:pt idx="67">
                  <c:v>267.76</c:v>
                </c:pt>
                <c:pt idx="68">
                  <c:v>270.95999999999998</c:v>
                </c:pt>
                <c:pt idx="69">
                  <c:v>274.60000000000002</c:v>
                </c:pt>
                <c:pt idx="70">
                  <c:v>278.24</c:v>
                </c:pt>
                <c:pt idx="71">
                  <c:v>282.04000000000002</c:v>
                </c:pt>
                <c:pt idx="72">
                  <c:v>285.95999999999998</c:v>
                </c:pt>
                <c:pt idx="73">
                  <c:v>290.16000000000003</c:v>
                </c:pt>
                <c:pt idx="74">
                  <c:v>294.64</c:v>
                </c:pt>
                <c:pt idx="75">
                  <c:v>299.12</c:v>
                </c:pt>
                <c:pt idx="76">
                  <c:v>304.27999999999997</c:v>
                </c:pt>
                <c:pt idx="77">
                  <c:v>309.36</c:v>
                </c:pt>
                <c:pt idx="78">
                  <c:v>314.88</c:v>
                </c:pt>
                <c:pt idx="79">
                  <c:v>320.88</c:v>
                </c:pt>
                <c:pt idx="80">
                  <c:v>326.83999999999997</c:v>
                </c:pt>
                <c:pt idx="81">
                  <c:v>333.64</c:v>
                </c:pt>
                <c:pt idx="82">
                  <c:v>340.76</c:v>
                </c:pt>
                <c:pt idx="83">
                  <c:v>348.56</c:v>
                </c:pt>
                <c:pt idx="84">
                  <c:v>356.36</c:v>
                </c:pt>
                <c:pt idx="85">
                  <c:v>364.56</c:v>
                </c:pt>
                <c:pt idx="86">
                  <c:v>374</c:v>
                </c:pt>
                <c:pt idx="87">
                  <c:v>383.64</c:v>
                </c:pt>
                <c:pt idx="88">
                  <c:v>395.04</c:v>
                </c:pt>
                <c:pt idx="89">
                  <c:v>399</c:v>
                </c:pt>
                <c:pt idx="90">
                  <c:v>399</c:v>
                </c:pt>
                <c:pt idx="91">
                  <c:v>399</c:v>
                </c:pt>
                <c:pt idx="92">
                  <c:v>399</c:v>
                </c:pt>
                <c:pt idx="93">
                  <c:v>399</c:v>
                </c:pt>
                <c:pt idx="94">
                  <c:v>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F6-45C1-8DBB-171176BE6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4893663"/>
        <c:axId val="1808033679"/>
      </c:scatterChart>
      <c:valAx>
        <c:axId val="130664112"/>
        <c:scaling>
          <c:orientation val="minMax"/>
          <c:max val="7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Case_Temp (℃)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046272"/>
        <c:crosses val="autoZero"/>
        <c:crossBetween val="midCat"/>
        <c:majorUnit val="5"/>
      </c:valAx>
      <c:valAx>
        <c:axId val="31904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64112"/>
        <c:crosses val="autoZero"/>
        <c:crossBetween val="midCat"/>
      </c:valAx>
      <c:valAx>
        <c:axId val="17048936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08033679"/>
        <c:crosses val="autoZero"/>
        <c:crossBetween val="midCat"/>
      </c:valAx>
      <c:valAx>
        <c:axId val="180803367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Bias(mA)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893663"/>
        <c:crosses val="max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Wavelength Channel 5</a:t>
            </a:r>
            <a:endParaRPr lang="zh-TW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Curve!$D$1</c:f>
              <c:strCache>
                <c:ptCount val="1"/>
                <c:pt idx="0">
                  <c:v>5_Opr_Wavelength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Curve!$A$2:$A$96</c:f>
              <c:numCache>
                <c:formatCode>General</c:formatCode>
                <c:ptCount val="95"/>
                <c:pt idx="0">
                  <c:v>0.2</c:v>
                </c:pt>
                <c:pt idx="1">
                  <c:v>0.96</c:v>
                </c:pt>
                <c:pt idx="2">
                  <c:v>1.7</c:v>
                </c:pt>
                <c:pt idx="3">
                  <c:v>2.4300000000000002</c:v>
                </c:pt>
                <c:pt idx="4">
                  <c:v>3.16</c:v>
                </c:pt>
                <c:pt idx="5">
                  <c:v>3.91</c:v>
                </c:pt>
                <c:pt idx="6">
                  <c:v>4.6399999999999997</c:v>
                </c:pt>
                <c:pt idx="7">
                  <c:v>5.39</c:v>
                </c:pt>
                <c:pt idx="8">
                  <c:v>6.13</c:v>
                </c:pt>
                <c:pt idx="9">
                  <c:v>6.87</c:v>
                </c:pt>
                <c:pt idx="10">
                  <c:v>7.63</c:v>
                </c:pt>
                <c:pt idx="11">
                  <c:v>8.36</c:v>
                </c:pt>
                <c:pt idx="12">
                  <c:v>9.1199999999999992</c:v>
                </c:pt>
                <c:pt idx="13">
                  <c:v>9.85</c:v>
                </c:pt>
                <c:pt idx="14">
                  <c:v>10.61</c:v>
                </c:pt>
                <c:pt idx="15">
                  <c:v>11.33</c:v>
                </c:pt>
                <c:pt idx="16">
                  <c:v>12.06</c:v>
                </c:pt>
                <c:pt idx="17">
                  <c:v>12.8</c:v>
                </c:pt>
                <c:pt idx="18">
                  <c:v>13.57</c:v>
                </c:pt>
                <c:pt idx="19">
                  <c:v>14.33</c:v>
                </c:pt>
                <c:pt idx="20">
                  <c:v>15.07</c:v>
                </c:pt>
                <c:pt idx="21">
                  <c:v>15.84</c:v>
                </c:pt>
                <c:pt idx="22">
                  <c:v>16.579999999999998</c:v>
                </c:pt>
                <c:pt idx="23">
                  <c:v>17.350000000000001</c:v>
                </c:pt>
                <c:pt idx="24">
                  <c:v>18.079999999999998</c:v>
                </c:pt>
                <c:pt idx="25">
                  <c:v>18.84</c:v>
                </c:pt>
                <c:pt idx="26">
                  <c:v>19.559999999999999</c:v>
                </c:pt>
                <c:pt idx="27">
                  <c:v>20.32</c:v>
                </c:pt>
                <c:pt idx="28">
                  <c:v>21.09</c:v>
                </c:pt>
                <c:pt idx="29">
                  <c:v>21.83</c:v>
                </c:pt>
                <c:pt idx="30">
                  <c:v>22.58</c:v>
                </c:pt>
                <c:pt idx="31">
                  <c:v>23.31</c:v>
                </c:pt>
                <c:pt idx="32">
                  <c:v>24.04</c:v>
                </c:pt>
                <c:pt idx="33">
                  <c:v>24.75</c:v>
                </c:pt>
                <c:pt idx="34">
                  <c:v>25.5</c:v>
                </c:pt>
                <c:pt idx="35">
                  <c:v>26.26</c:v>
                </c:pt>
                <c:pt idx="36">
                  <c:v>26.99</c:v>
                </c:pt>
                <c:pt idx="37">
                  <c:v>27.74</c:v>
                </c:pt>
                <c:pt idx="38">
                  <c:v>28.47</c:v>
                </c:pt>
                <c:pt idx="39">
                  <c:v>29.24</c:v>
                </c:pt>
                <c:pt idx="40">
                  <c:v>29.97</c:v>
                </c:pt>
                <c:pt idx="41">
                  <c:v>30.73</c:v>
                </c:pt>
                <c:pt idx="42">
                  <c:v>31.47</c:v>
                </c:pt>
                <c:pt idx="43">
                  <c:v>32.22</c:v>
                </c:pt>
                <c:pt idx="44">
                  <c:v>32.979999999999997</c:v>
                </c:pt>
                <c:pt idx="45">
                  <c:v>33.729999999999997</c:v>
                </c:pt>
                <c:pt idx="46">
                  <c:v>34.49</c:v>
                </c:pt>
                <c:pt idx="47">
                  <c:v>35.22</c:v>
                </c:pt>
                <c:pt idx="48">
                  <c:v>35.97</c:v>
                </c:pt>
                <c:pt idx="49">
                  <c:v>36.700000000000003</c:v>
                </c:pt>
                <c:pt idx="50">
                  <c:v>37.450000000000003</c:v>
                </c:pt>
                <c:pt idx="51">
                  <c:v>38.18</c:v>
                </c:pt>
                <c:pt idx="52">
                  <c:v>38.950000000000003</c:v>
                </c:pt>
                <c:pt idx="53">
                  <c:v>39.700000000000003</c:v>
                </c:pt>
                <c:pt idx="54">
                  <c:v>40.44</c:v>
                </c:pt>
                <c:pt idx="55">
                  <c:v>41.2</c:v>
                </c:pt>
                <c:pt idx="56">
                  <c:v>41.93</c:v>
                </c:pt>
                <c:pt idx="57">
                  <c:v>42.69</c:v>
                </c:pt>
                <c:pt idx="58">
                  <c:v>43.42</c:v>
                </c:pt>
                <c:pt idx="59">
                  <c:v>44.17</c:v>
                </c:pt>
                <c:pt idx="60">
                  <c:v>44.9</c:v>
                </c:pt>
                <c:pt idx="61">
                  <c:v>45.63</c:v>
                </c:pt>
                <c:pt idx="62">
                  <c:v>46.38</c:v>
                </c:pt>
                <c:pt idx="63">
                  <c:v>47.11</c:v>
                </c:pt>
                <c:pt idx="64">
                  <c:v>47.86</c:v>
                </c:pt>
                <c:pt idx="65">
                  <c:v>48.58</c:v>
                </c:pt>
                <c:pt idx="66">
                  <c:v>49.33</c:v>
                </c:pt>
                <c:pt idx="67">
                  <c:v>50.06</c:v>
                </c:pt>
                <c:pt idx="68">
                  <c:v>50.83</c:v>
                </c:pt>
                <c:pt idx="69">
                  <c:v>51.56</c:v>
                </c:pt>
                <c:pt idx="70">
                  <c:v>52.32</c:v>
                </c:pt>
                <c:pt idx="71">
                  <c:v>53.09</c:v>
                </c:pt>
                <c:pt idx="72">
                  <c:v>53.84</c:v>
                </c:pt>
                <c:pt idx="73">
                  <c:v>54.6</c:v>
                </c:pt>
                <c:pt idx="74">
                  <c:v>55.33</c:v>
                </c:pt>
                <c:pt idx="75">
                  <c:v>56.08</c:v>
                </c:pt>
                <c:pt idx="76">
                  <c:v>56.82</c:v>
                </c:pt>
                <c:pt idx="77">
                  <c:v>57.57</c:v>
                </c:pt>
                <c:pt idx="78">
                  <c:v>58.3</c:v>
                </c:pt>
                <c:pt idx="79">
                  <c:v>59.05</c:v>
                </c:pt>
                <c:pt idx="80">
                  <c:v>59.81</c:v>
                </c:pt>
                <c:pt idx="81">
                  <c:v>60.55</c:v>
                </c:pt>
                <c:pt idx="82">
                  <c:v>61.3</c:v>
                </c:pt>
                <c:pt idx="83">
                  <c:v>62.03</c:v>
                </c:pt>
                <c:pt idx="84">
                  <c:v>62.78</c:v>
                </c:pt>
                <c:pt idx="85">
                  <c:v>63.53</c:v>
                </c:pt>
                <c:pt idx="86">
                  <c:v>64.28</c:v>
                </c:pt>
                <c:pt idx="87">
                  <c:v>65.010000000000005</c:v>
                </c:pt>
                <c:pt idx="88">
                  <c:v>65.760000000000005</c:v>
                </c:pt>
                <c:pt idx="89">
                  <c:v>66.5</c:v>
                </c:pt>
                <c:pt idx="90">
                  <c:v>67.23</c:v>
                </c:pt>
                <c:pt idx="91">
                  <c:v>67.959999999999994</c:v>
                </c:pt>
                <c:pt idx="92">
                  <c:v>68.66</c:v>
                </c:pt>
                <c:pt idx="93">
                  <c:v>69.34</c:v>
                </c:pt>
                <c:pt idx="94">
                  <c:v>69.97</c:v>
                </c:pt>
              </c:numCache>
            </c:numRef>
          </c:xVal>
          <c:yVal>
            <c:numRef>
              <c:f>Curve!$D$2:$D$96</c:f>
              <c:numCache>
                <c:formatCode>General</c:formatCode>
                <c:ptCount val="95"/>
                <c:pt idx="0">
                  <c:v>1307.3889999999999</c:v>
                </c:pt>
                <c:pt idx="1">
                  <c:v>1307.443</c:v>
                </c:pt>
                <c:pt idx="2">
                  <c:v>1307.4970000000001</c:v>
                </c:pt>
                <c:pt idx="3">
                  <c:v>1307.557</c:v>
                </c:pt>
                <c:pt idx="4">
                  <c:v>1307.607</c:v>
                </c:pt>
                <c:pt idx="5">
                  <c:v>1307.663</c:v>
                </c:pt>
                <c:pt idx="6">
                  <c:v>1307.7190000000001</c:v>
                </c:pt>
                <c:pt idx="7">
                  <c:v>1307.7750000000001</c:v>
                </c:pt>
                <c:pt idx="8">
                  <c:v>1307.8320000000001</c:v>
                </c:pt>
                <c:pt idx="9">
                  <c:v>1307.8910000000001</c:v>
                </c:pt>
                <c:pt idx="10">
                  <c:v>1307.954</c:v>
                </c:pt>
                <c:pt idx="11">
                  <c:v>1308.0129999999999</c:v>
                </c:pt>
                <c:pt idx="12">
                  <c:v>1308.0640000000001</c:v>
                </c:pt>
                <c:pt idx="13">
                  <c:v>1308.1220000000001</c:v>
                </c:pt>
                <c:pt idx="14">
                  <c:v>1308.181</c:v>
                </c:pt>
                <c:pt idx="15">
                  <c:v>1308.239</c:v>
                </c:pt>
                <c:pt idx="16">
                  <c:v>1308.298</c:v>
                </c:pt>
                <c:pt idx="17">
                  <c:v>1308.3579999999999</c:v>
                </c:pt>
                <c:pt idx="18">
                  <c:v>1308.4169999999999</c:v>
                </c:pt>
                <c:pt idx="19">
                  <c:v>1308.4770000000001</c:v>
                </c:pt>
                <c:pt idx="20">
                  <c:v>1308.538</c:v>
                </c:pt>
                <c:pt idx="21">
                  <c:v>1308.5989999999999</c:v>
                </c:pt>
                <c:pt idx="22">
                  <c:v>1308.6610000000001</c:v>
                </c:pt>
                <c:pt idx="23">
                  <c:v>1308.729</c:v>
                </c:pt>
                <c:pt idx="24">
                  <c:v>1308.7929999999999</c:v>
                </c:pt>
                <c:pt idx="25">
                  <c:v>1308.8510000000001</c:v>
                </c:pt>
                <c:pt idx="26">
                  <c:v>1308.921</c:v>
                </c:pt>
                <c:pt idx="27">
                  <c:v>1308.9860000000001</c:v>
                </c:pt>
                <c:pt idx="28">
                  <c:v>1309.0440000000001</c:v>
                </c:pt>
                <c:pt idx="29">
                  <c:v>1309.116</c:v>
                </c:pt>
                <c:pt idx="30">
                  <c:v>1309.175</c:v>
                </c:pt>
                <c:pt idx="31">
                  <c:v>1309.242</c:v>
                </c:pt>
                <c:pt idx="32">
                  <c:v>1309.31</c:v>
                </c:pt>
                <c:pt idx="33">
                  <c:v>1309.377</c:v>
                </c:pt>
                <c:pt idx="34">
                  <c:v>1309.444</c:v>
                </c:pt>
                <c:pt idx="35">
                  <c:v>1309.5119999999999</c:v>
                </c:pt>
                <c:pt idx="36">
                  <c:v>1309.5809999999999</c:v>
                </c:pt>
                <c:pt idx="37">
                  <c:v>1309.6579999999999</c:v>
                </c:pt>
                <c:pt idx="38">
                  <c:v>1309.722</c:v>
                </c:pt>
                <c:pt idx="39">
                  <c:v>1309.799</c:v>
                </c:pt>
                <c:pt idx="40">
                  <c:v>1309.8699999999999</c:v>
                </c:pt>
                <c:pt idx="41">
                  <c:v>1309.943</c:v>
                </c:pt>
                <c:pt idx="42">
                  <c:v>1310.008</c:v>
                </c:pt>
                <c:pt idx="43">
                  <c:v>1310.079</c:v>
                </c:pt>
                <c:pt idx="44">
                  <c:v>1310.152</c:v>
                </c:pt>
                <c:pt idx="45">
                  <c:v>1310.2329999999999</c:v>
                </c:pt>
                <c:pt idx="46">
                  <c:v>1310.308</c:v>
                </c:pt>
                <c:pt idx="47">
                  <c:v>1310.376</c:v>
                </c:pt>
                <c:pt idx="48">
                  <c:v>1310.452</c:v>
                </c:pt>
                <c:pt idx="49">
                  <c:v>1310.528</c:v>
                </c:pt>
                <c:pt idx="50">
                  <c:v>1310.605</c:v>
                </c:pt>
                <c:pt idx="51">
                  <c:v>1310.683</c:v>
                </c:pt>
                <c:pt idx="52">
                  <c:v>1310.7619999999999</c:v>
                </c:pt>
                <c:pt idx="53">
                  <c:v>1310.8530000000001</c:v>
                </c:pt>
                <c:pt idx="54">
                  <c:v>1310.933</c:v>
                </c:pt>
                <c:pt idx="55">
                  <c:v>1311.008</c:v>
                </c:pt>
                <c:pt idx="56">
                  <c:v>1311.0909999999999</c:v>
                </c:pt>
                <c:pt idx="57">
                  <c:v>1311.1769999999999</c:v>
                </c:pt>
                <c:pt idx="58">
                  <c:v>1311.2629999999999</c:v>
                </c:pt>
                <c:pt idx="59">
                  <c:v>1311.348</c:v>
                </c:pt>
                <c:pt idx="60">
                  <c:v>1311.444</c:v>
                </c:pt>
                <c:pt idx="61">
                  <c:v>1311.5219999999999</c:v>
                </c:pt>
                <c:pt idx="62">
                  <c:v>1311.614</c:v>
                </c:pt>
                <c:pt idx="63">
                  <c:v>1311.703</c:v>
                </c:pt>
                <c:pt idx="64">
                  <c:v>1311.797</c:v>
                </c:pt>
                <c:pt idx="65">
                  <c:v>1311.902</c:v>
                </c:pt>
                <c:pt idx="66">
                  <c:v>1311.998</c:v>
                </c:pt>
                <c:pt idx="67">
                  <c:v>1312.09</c:v>
                </c:pt>
                <c:pt idx="68">
                  <c:v>1312.193</c:v>
                </c:pt>
                <c:pt idx="69">
                  <c:v>1312.296</c:v>
                </c:pt>
                <c:pt idx="70">
                  <c:v>1312.376</c:v>
                </c:pt>
                <c:pt idx="71">
                  <c:v>1312.4490000000001</c:v>
                </c:pt>
                <c:pt idx="72">
                  <c:v>1312.5239999999999</c:v>
                </c:pt>
                <c:pt idx="73">
                  <c:v>1312.597</c:v>
                </c:pt>
                <c:pt idx="74">
                  <c:v>1312.671</c:v>
                </c:pt>
                <c:pt idx="75">
                  <c:v>1312.752</c:v>
                </c:pt>
                <c:pt idx="76">
                  <c:v>1312.819</c:v>
                </c:pt>
                <c:pt idx="77">
                  <c:v>1312.893</c:v>
                </c:pt>
                <c:pt idx="78">
                  <c:v>1312.9659999999999</c:v>
                </c:pt>
                <c:pt idx="79">
                  <c:v>1313.047</c:v>
                </c:pt>
                <c:pt idx="80">
                  <c:v>1313.114</c:v>
                </c:pt>
                <c:pt idx="81">
                  <c:v>1313.1949999999999</c:v>
                </c:pt>
                <c:pt idx="82">
                  <c:v>1313.2629999999999</c:v>
                </c:pt>
                <c:pt idx="83">
                  <c:v>1313.337</c:v>
                </c:pt>
                <c:pt idx="84">
                  <c:v>1313.413</c:v>
                </c:pt>
                <c:pt idx="85">
                  <c:v>1313.4880000000001</c:v>
                </c:pt>
                <c:pt idx="86">
                  <c:v>1313.5719999999999</c:v>
                </c:pt>
                <c:pt idx="87">
                  <c:v>1313.64</c:v>
                </c:pt>
                <c:pt idx="88">
                  <c:v>1313.7159999999999</c:v>
                </c:pt>
                <c:pt idx="89">
                  <c:v>1313.7929999999999</c:v>
                </c:pt>
                <c:pt idx="90">
                  <c:v>1313.87</c:v>
                </c:pt>
                <c:pt idx="91">
                  <c:v>1313.944</c:v>
                </c:pt>
                <c:pt idx="92">
                  <c:v>1314.0250000000001</c:v>
                </c:pt>
                <c:pt idx="93">
                  <c:v>1314.0989999999999</c:v>
                </c:pt>
                <c:pt idx="94">
                  <c:v>1314.163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A5-481B-BCFF-7CB7A791AFCD}"/>
            </c:ext>
          </c:extLst>
        </c:ser>
        <c:ser>
          <c:idx val="1"/>
          <c:order val="1"/>
          <c:tx>
            <c:strRef>
              <c:f>Curve!$G$1</c:f>
              <c:strCache>
                <c:ptCount val="1"/>
                <c:pt idx="0">
                  <c:v>5_Max_Wavelength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Curve!$E$2:$E$95</c:f>
              <c:numCache>
                <c:formatCode>General</c:formatCode>
                <c:ptCount val="94"/>
                <c:pt idx="0">
                  <c:v>69.760000000000005</c:v>
                </c:pt>
                <c:pt idx="1">
                  <c:v>69.010000000000005</c:v>
                </c:pt>
                <c:pt idx="2">
                  <c:v>68.260000000000005</c:v>
                </c:pt>
                <c:pt idx="3">
                  <c:v>67.510000000000005</c:v>
                </c:pt>
                <c:pt idx="4">
                  <c:v>66.78</c:v>
                </c:pt>
                <c:pt idx="5">
                  <c:v>66.040000000000006</c:v>
                </c:pt>
                <c:pt idx="6">
                  <c:v>65.31</c:v>
                </c:pt>
                <c:pt idx="7">
                  <c:v>64.569999999999993</c:v>
                </c:pt>
                <c:pt idx="8">
                  <c:v>63.84</c:v>
                </c:pt>
                <c:pt idx="9">
                  <c:v>63.09</c:v>
                </c:pt>
                <c:pt idx="10">
                  <c:v>62.37</c:v>
                </c:pt>
                <c:pt idx="11">
                  <c:v>61.62</c:v>
                </c:pt>
                <c:pt idx="12">
                  <c:v>60.89</c:v>
                </c:pt>
                <c:pt idx="13">
                  <c:v>60.12</c:v>
                </c:pt>
                <c:pt idx="14">
                  <c:v>59.35</c:v>
                </c:pt>
                <c:pt idx="15">
                  <c:v>58.59</c:v>
                </c:pt>
                <c:pt idx="16">
                  <c:v>57.84</c:v>
                </c:pt>
                <c:pt idx="17">
                  <c:v>57.11</c:v>
                </c:pt>
                <c:pt idx="18">
                  <c:v>56.35</c:v>
                </c:pt>
                <c:pt idx="19">
                  <c:v>55.61</c:v>
                </c:pt>
                <c:pt idx="20">
                  <c:v>54.86</c:v>
                </c:pt>
                <c:pt idx="21">
                  <c:v>54.1</c:v>
                </c:pt>
                <c:pt idx="22">
                  <c:v>53.36</c:v>
                </c:pt>
                <c:pt idx="23">
                  <c:v>52.6</c:v>
                </c:pt>
                <c:pt idx="24">
                  <c:v>51.88</c:v>
                </c:pt>
                <c:pt idx="25">
                  <c:v>51.12</c:v>
                </c:pt>
                <c:pt idx="26">
                  <c:v>50.38</c:v>
                </c:pt>
                <c:pt idx="27">
                  <c:v>49.64</c:v>
                </c:pt>
                <c:pt idx="28">
                  <c:v>48.91</c:v>
                </c:pt>
                <c:pt idx="29">
                  <c:v>48.15</c:v>
                </c:pt>
                <c:pt idx="30">
                  <c:v>47.4</c:v>
                </c:pt>
                <c:pt idx="31">
                  <c:v>46.65</c:v>
                </c:pt>
                <c:pt idx="32">
                  <c:v>45.9</c:v>
                </c:pt>
                <c:pt idx="33">
                  <c:v>45.17</c:v>
                </c:pt>
                <c:pt idx="34">
                  <c:v>44.44</c:v>
                </c:pt>
                <c:pt idx="35">
                  <c:v>43.72</c:v>
                </c:pt>
                <c:pt idx="36">
                  <c:v>42.98</c:v>
                </c:pt>
                <c:pt idx="37">
                  <c:v>42.25</c:v>
                </c:pt>
                <c:pt idx="38">
                  <c:v>41.5</c:v>
                </c:pt>
                <c:pt idx="39">
                  <c:v>40.74</c:v>
                </c:pt>
                <c:pt idx="40">
                  <c:v>40</c:v>
                </c:pt>
                <c:pt idx="41">
                  <c:v>39.24</c:v>
                </c:pt>
                <c:pt idx="42">
                  <c:v>38.51</c:v>
                </c:pt>
                <c:pt idx="43">
                  <c:v>37.74</c:v>
                </c:pt>
                <c:pt idx="44">
                  <c:v>37.01</c:v>
                </c:pt>
                <c:pt idx="45">
                  <c:v>36.26</c:v>
                </c:pt>
                <c:pt idx="46">
                  <c:v>35.53</c:v>
                </c:pt>
                <c:pt idx="47">
                  <c:v>34.78</c:v>
                </c:pt>
                <c:pt idx="48">
                  <c:v>34</c:v>
                </c:pt>
                <c:pt idx="49">
                  <c:v>33.26</c:v>
                </c:pt>
                <c:pt idx="50">
                  <c:v>32.51</c:v>
                </c:pt>
                <c:pt idx="51">
                  <c:v>31.78</c:v>
                </c:pt>
                <c:pt idx="52">
                  <c:v>31.03</c:v>
                </c:pt>
                <c:pt idx="53">
                  <c:v>30.3</c:v>
                </c:pt>
                <c:pt idx="54">
                  <c:v>29.54</c:v>
                </c:pt>
                <c:pt idx="55">
                  <c:v>28.81</c:v>
                </c:pt>
                <c:pt idx="56">
                  <c:v>28.06</c:v>
                </c:pt>
                <c:pt idx="57">
                  <c:v>27.3</c:v>
                </c:pt>
                <c:pt idx="58">
                  <c:v>26.57</c:v>
                </c:pt>
                <c:pt idx="59">
                  <c:v>25.81</c:v>
                </c:pt>
                <c:pt idx="60">
                  <c:v>25.09</c:v>
                </c:pt>
                <c:pt idx="61">
                  <c:v>24.32</c:v>
                </c:pt>
                <c:pt idx="62">
                  <c:v>23.61</c:v>
                </c:pt>
                <c:pt idx="63">
                  <c:v>22.89</c:v>
                </c:pt>
                <c:pt idx="64">
                  <c:v>22.15</c:v>
                </c:pt>
                <c:pt idx="65">
                  <c:v>21.39</c:v>
                </c:pt>
                <c:pt idx="66">
                  <c:v>20.63</c:v>
                </c:pt>
                <c:pt idx="67">
                  <c:v>19.899999999999999</c:v>
                </c:pt>
                <c:pt idx="68">
                  <c:v>19.149999999999999</c:v>
                </c:pt>
                <c:pt idx="69">
                  <c:v>18.420000000000002</c:v>
                </c:pt>
                <c:pt idx="70">
                  <c:v>17.66</c:v>
                </c:pt>
                <c:pt idx="71">
                  <c:v>16.920000000000002</c:v>
                </c:pt>
                <c:pt idx="72">
                  <c:v>16.149999999999999</c:v>
                </c:pt>
                <c:pt idx="73">
                  <c:v>15.42</c:v>
                </c:pt>
                <c:pt idx="74">
                  <c:v>14.67</c:v>
                </c:pt>
                <c:pt idx="75">
                  <c:v>13.9</c:v>
                </c:pt>
                <c:pt idx="76">
                  <c:v>13.17</c:v>
                </c:pt>
                <c:pt idx="77">
                  <c:v>12.41</c:v>
                </c:pt>
                <c:pt idx="78">
                  <c:v>11.69</c:v>
                </c:pt>
                <c:pt idx="79">
                  <c:v>10.94</c:v>
                </c:pt>
                <c:pt idx="80">
                  <c:v>10.210000000000001</c:v>
                </c:pt>
                <c:pt idx="81">
                  <c:v>9.4499999999999993</c:v>
                </c:pt>
                <c:pt idx="82">
                  <c:v>8.7200000000000006</c:v>
                </c:pt>
                <c:pt idx="83">
                  <c:v>7.97</c:v>
                </c:pt>
                <c:pt idx="84">
                  <c:v>7.21</c:v>
                </c:pt>
                <c:pt idx="85">
                  <c:v>6.48</c:v>
                </c:pt>
                <c:pt idx="86">
                  <c:v>5.73</c:v>
                </c:pt>
                <c:pt idx="87">
                  <c:v>4.99</c:v>
                </c:pt>
                <c:pt idx="88">
                  <c:v>4.24</c:v>
                </c:pt>
                <c:pt idx="89">
                  <c:v>3.51</c:v>
                </c:pt>
                <c:pt idx="90">
                  <c:v>2.76</c:v>
                </c:pt>
                <c:pt idx="91">
                  <c:v>2.0299999999999998</c:v>
                </c:pt>
                <c:pt idx="92">
                  <c:v>1.3</c:v>
                </c:pt>
                <c:pt idx="93">
                  <c:v>0.54</c:v>
                </c:pt>
              </c:numCache>
            </c:numRef>
          </c:xVal>
          <c:yVal>
            <c:numRef>
              <c:f>Curve!$G$2:$G$95</c:f>
              <c:numCache>
                <c:formatCode>General</c:formatCode>
                <c:ptCount val="94"/>
                <c:pt idx="0">
                  <c:v>1314.6469999999999</c:v>
                </c:pt>
                <c:pt idx="1">
                  <c:v>1314.586</c:v>
                </c:pt>
                <c:pt idx="2">
                  <c:v>1314.5160000000001</c:v>
                </c:pt>
                <c:pt idx="3">
                  <c:v>1314.4480000000001</c:v>
                </c:pt>
                <c:pt idx="4">
                  <c:v>1314.3779999999999</c:v>
                </c:pt>
                <c:pt idx="5">
                  <c:v>1314.3009999999999</c:v>
                </c:pt>
                <c:pt idx="6">
                  <c:v>1314.2380000000001</c:v>
                </c:pt>
                <c:pt idx="7">
                  <c:v>1314.1659999999999</c:v>
                </c:pt>
                <c:pt idx="8">
                  <c:v>1314.088</c:v>
                </c:pt>
                <c:pt idx="9">
                  <c:v>1314.0229999999999</c:v>
                </c:pt>
                <c:pt idx="10">
                  <c:v>1313.953</c:v>
                </c:pt>
                <c:pt idx="11">
                  <c:v>1313.8810000000001</c:v>
                </c:pt>
                <c:pt idx="12">
                  <c:v>1313.809</c:v>
                </c:pt>
                <c:pt idx="13">
                  <c:v>1313.7370000000001</c:v>
                </c:pt>
                <c:pt idx="14">
                  <c:v>1313.663</c:v>
                </c:pt>
                <c:pt idx="15">
                  <c:v>1313.5909999999999</c:v>
                </c:pt>
                <c:pt idx="16">
                  <c:v>1313.519</c:v>
                </c:pt>
                <c:pt idx="17">
                  <c:v>1313.4449999999999</c:v>
                </c:pt>
                <c:pt idx="18">
                  <c:v>1313.373</c:v>
                </c:pt>
                <c:pt idx="19">
                  <c:v>1313.3009999999999</c:v>
                </c:pt>
                <c:pt idx="20">
                  <c:v>1313.2270000000001</c:v>
                </c:pt>
                <c:pt idx="21">
                  <c:v>1313.1489999999999</c:v>
                </c:pt>
                <c:pt idx="22">
                  <c:v>1313.077</c:v>
                </c:pt>
                <c:pt idx="23">
                  <c:v>1313.0050000000001</c:v>
                </c:pt>
                <c:pt idx="24">
                  <c:v>1312.942</c:v>
                </c:pt>
                <c:pt idx="25">
                  <c:v>1312.8620000000001</c:v>
                </c:pt>
                <c:pt idx="26">
                  <c:v>1312.798</c:v>
                </c:pt>
                <c:pt idx="27">
                  <c:v>1312.7260000000001</c:v>
                </c:pt>
                <c:pt idx="28">
                  <c:v>1312.653</c:v>
                </c:pt>
                <c:pt idx="29">
                  <c:v>1312.5820000000001</c:v>
                </c:pt>
                <c:pt idx="30">
                  <c:v>1312.501</c:v>
                </c:pt>
                <c:pt idx="31">
                  <c:v>1312.4359999999999</c:v>
                </c:pt>
                <c:pt idx="32">
                  <c:v>1312.3630000000001</c:v>
                </c:pt>
                <c:pt idx="33">
                  <c:v>1312.2909999999999</c:v>
                </c:pt>
                <c:pt idx="34">
                  <c:v>1312.211</c:v>
                </c:pt>
                <c:pt idx="35">
                  <c:v>1312.145</c:v>
                </c:pt>
                <c:pt idx="36">
                  <c:v>1312.0719999999999</c:v>
                </c:pt>
                <c:pt idx="37">
                  <c:v>1311.992</c:v>
                </c:pt>
                <c:pt idx="38">
                  <c:v>1311.9269999999999</c:v>
                </c:pt>
                <c:pt idx="39">
                  <c:v>1311.854</c:v>
                </c:pt>
                <c:pt idx="40">
                  <c:v>1311.7809999999999</c:v>
                </c:pt>
                <c:pt idx="41">
                  <c:v>1311.71</c:v>
                </c:pt>
                <c:pt idx="42">
                  <c:v>1311.636</c:v>
                </c:pt>
                <c:pt idx="43">
                  <c:v>1311.558</c:v>
                </c:pt>
                <c:pt idx="44">
                  <c:v>1311.4939999999999</c:v>
                </c:pt>
                <c:pt idx="45">
                  <c:v>1311.421</c:v>
                </c:pt>
                <c:pt idx="46">
                  <c:v>1311.34</c:v>
                </c:pt>
                <c:pt idx="47">
                  <c:v>1311.2760000000001</c:v>
                </c:pt>
                <c:pt idx="48">
                  <c:v>1311.204</c:v>
                </c:pt>
                <c:pt idx="49">
                  <c:v>1311.133</c:v>
                </c:pt>
                <c:pt idx="50">
                  <c:v>1311.0609999999999</c:v>
                </c:pt>
                <c:pt idx="51">
                  <c:v>1310.99</c:v>
                </c:pt>
                <c:pt idx="52">
                  <c:v>1310.9179999999999</c:v>
                </c:pt>
                <c:pt idx="53">
                  <c:v>1310.847</c:v>
                </c:pt>
                <c:pt idx="54">
                  <c:v>1310.7660000000001</c:v>
                </c:pt>
                <c:pt idx="55">
                  <c:v>1310.701</c:v>
                </c:pt>
                <c:pt idx="56">
                  <c:v>1310.6300000000001</c:v>
                </c:pt>
                <c:pt idx="57">
                  <c:v>1310.56</c:v>
                </c:pt>
                <c:pt idx="58">
                  <c:v>1310.482</c:v>
                </c:pt>
                <c:pt idx="59">
                  <c:v>1310.4179999999999</c:v>
                </c:pt>
                <c:pt idx="60">
                  <c:v>1310.346</c:v>
                </c:pt>
                <c:pt idx="61">
                  <c:v>1310.2750000000001</c:v>
                </c:pt>
                <c:pt idx="62">
                  <c:v>1310.203</c:v>
                </c:pt>
                <c:pt idx="63">
                  <c:v>1310.126</c:v>
                </c:pt>
                <c:pt idx="64">
                  <c:v>1310.0619999999999</c:v>
                </c:pt>
                <c:pt idx="65">
                  <c:v>1309.992</c:v>
                </c:pt>
                <c:pt idx="66">
                  <c:v>1309.921</c:v>
                </c:pt>
                <c:pt idx="67">
                  <c:v>1309.8489999999999</c:v>
                </c:pt>
                <c:pt idx="68">
                  <c:v>1309.778</c:v>
                </c:pt>
                <c:pt idx="69">
                  <c:v>1309.7070000000001</c:v>
                </c:pt>
                <c:pt idx="70">
                  <c:v>1309.6289999999999</c:v>
                </c:pt>
                <c:pt idx="71">
                  <c:v>1309.5630000000001</c:v>
                </c:pt>
                <c:pt idx="72">
                  <c:v>1309.492</c:v>
                </c:pt>
                <c:pt idx="73">
                  <c:v>1309.421</c:v>
                </c:pt>
                <c:pt idx="74">
                  <c:v>1309.3430000000001</c:v>
                </c:pt>
                <c:pt idx="75">
                  <c:v>1309.271</c:v>
                </c:pt>
                <c:pt idx="76">
                  <c:v>1309.1990000000001</c:v>
                </c:pt>
                <c:pt idx="77">
                  <c:v>1309.135</c:v>
                </c:pt>
                <c:pt idx="78">
                  <c:v>1309.0650000000001</c:v>
                </c:pt>
                <c:pt idx="79">
                  <c:v>1308.9949999999999</c:v>
                </c:pt>
                <c:pt idx="80">
                  <c:v>1308.924</c:v>
                </c:pt>
                <c:pt idx="81">
                  <c:v>1308.854</c:v>
                </c:pt>
                <c:pt idx="82">
                  <c:v>1308.7829999999999</c:v>
                </c:pt>
                <c:pt idx="83">
                  <c:v>1308.713</c:v>
                </c:pt>
                <c:pt idx="84">
                  <c:v>1308.6420000000001</c:v>
                </c:pt>
                <c:pt idx="85">
                  <c:v>1308.567</c:v>
                </c:pt>
                <c:pt idx="86">
                  <c:v>1308.4970000000001</c:v>
                </c:pt>
                <c:pt idx="87">
                  <c:v>1308.434</c:v>
                </c:pt>
                <c:pt idx="88">
                  <c:v>1308.357</c:v>
                </c:pt>
                <c:pt idx="89">
                  <c:v>1308.2940000000001</c:v>
                </c:pt>
                <c:pt idx="90">
                  <c:v>1308.223</c:v>
                </c:pt>
                <c:pt idx="91">
                  <c:v>1308.153</c:v>
                </c:pt>
                <c:pt idx="92">
                  <c:v>1308.076</c:v>
                </c:pt>
                <c:pt idx="93">
                  <c:v>1308.0129999999999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A5-481B-BCFF-7CB7A791A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664112"/>
        <c:axId val="319046272"/>
      </c:scatterChart>
      <c:scatterChart>
        <c:scatterStyle val="lineMarker"/>
        <c:varyColors val="0"/>
        <c:ser>
          <c:idx val="2"/>
          <c:order val="2"/>
          <c:tx>
            <c:strRef>
              <c:f>Curve!$I$1</c:f>
              <c:strCache>
                <c:ptCount val="1"/>
                <c:pt idx="0">
                  <c:v>[CH5_DDMI_Opr_Bias]</c:v>
                </c:pt>
              </c:strCache>
            </c:strRef>
          </c:tx>
          <c:spPr>
            <a:ln w="19050" cap="rnd">
              <a:solidFill>
                <a:schemeClr val="tx1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Curve!$A$2:$A$96</c:f>
              <c:numCache>
                <c:formatCode>General</c:formatCode>
                <c:ptCount val="95"/>
                <c:pt idx="0">
                  <c:v>0.2</c:v>
                </c:pt>
                <c:pt idx="1">
                  <c:v>0.96</c:v>
                </c:pt>
                <c:pt idx="2">
                  <c:v>1.7</c:v>
                </c:pt>
                <c:pt idx="3">
                  <c:v>2.4300000000000002</c:v>
                </c:pt>
                <c:pt idx="4">
                  <c:v>3.16</c:v>
                </c:pt>
                <c:pt idx="5">
                  <c:v>3.91</c:v>
                </c:pt>
                <c:pt idx="6">
                  <c:v>4.6399999999999997</c:v>
                </c:pt>
                <c:pt idx="7">
                  <c:v>5.39</c:v>
                </c:pt>
                <c:pt idx="8">
                  <c:v>6.13</c:v>
                </c:pt>
                <c:pt idx="9">
                  <c:v>6.87</c:v>
                </c:pt>
                <c:pt idx="10">
                  <c:v>7.63</c:v>
                </c:pt>
                <c:pt idx="11">
                  <c:v>8.36</c:v>
                </c:pt>
                <c:pt idx="12">
                  <c:v>9.1199999999999992</c:v>
                </c:pt>
                <c:pt idx="13">
                  <c:v>9.85</c:v>
                </c:pt>
                <c:pt idx="14">
                  <c:v>10.61</c:v>
                </c:pt>
                <c:pt idx="15">
                  <c:v>11.33</c:v>
                </c:pt>
                <c:pt idx="16">
                  <c:v>12.06</c:v>
                </c:pt>
                <c:pt idx="17">
                  <c:v>12.8</c:v>
                </c:pt>
                <c:pt idx="18">
                  <c:v>13.57</c:v>
                </c:pt>
                <c:pt idx="19">
                  <c:v>14.33</c:v>
                </c:pt>
                <c:pt idx="20">
                  <c:v>15.07</c:v>
                </c:pt>
                <c:pt idx="21">
                  <c:v>15.84</c:v>
                </c:pt>
                <c:pt idx="22">
                  <c:v>16.579999999999998</c:v>
                </c:pt>
                <c:pt idx="23">
                  <c:v>17.350000000000001</c:v>
                </c:pt>
                <c:pt idx="24">
                  <c:v>18.079999999999998</c:v>
                </c:pt>
                <c:pt idx="25">
                  <c:v>18.84</c:v>
                </c:pt>
                <c:pt idx="26">
                  <c:v>19.559999999999999</c:v>
                </c:pt>
                <c:pt idx="27">
                  <c:v>20.32</c:v>
                </c:pt>
                <c:pt idx="28">
                  <c:v>21.09</c:v>
                </c:pt>
                <c:pt idx="29">
                  <c:v>21.83</c:v>
                </c:pt>
                <c:pt idx="30">
                  <c:v>22.58</c:v>
                </c:pt>
                <c:pt idx="31">
                  <c:v>23.31</c:v>
                </c:pt>
                <c:pt idx="32">
                  <c:v>24.04</c:v>
                </c:pt>
                <c:pt idx="33">
                  <c:v>24.75</c:v>
                </c:pt>
                <c:pt idx="34">
                  <c:v>25.5</c:v>
                </c:pt>
                <c:pt idx="35">
                  <c:v>26.26</c:v>
                </c:pt>
                <c:pt idx="36">
                  <c:v>26.99</c:v>
                </c:pt>
                <c:pt idx="37">
                  <c:v>27.74</c:v>
                </c:pt>
                <c:pt idx="38">
                  <c:v>28.47</c:v>
                </c:pt>
                <c:pt idx="39">
                  <c:v>29.24</c:v>
                </c:pt>
                <c:pt idx="40">
                  <c:v>29.97</c:v>
                </c:pt>
                <c:pt idx="41">
                  <c:v>30.73</c:v>
                </c:pt>
                <c:pt idx="42">
                  <c:v>31.47</c:v>
                </c:pt>
                <c:pt idx="43">
                  <c:v>32.22</c:v>
                </c:pt>
                <c:pt idx="44">
                  <c:v>32.979999999999997</c:v>
                </c:pt>
                <c:pt idx="45">
                  <c:v>33.729999999999997</c:v>
                </c:pt>
                <c:pt idx="46">
                  <c:v>34.49</c:v>
                </c:pt>
                <c:pt idx="47">
                  <c:v>35.22</c:v>
                </c:pt>
                <c:pt idx="48">
                  <c:v>35.97</c:v>
                </c:pt>
                <c:pt idx="49">
                  <c:v>36.700000000000003</c:v>
                </c:pt>
                <c:pt idx="50">
                  <c:v>37.450000000000003</c:v>
                </c:pt>
                <c:pt idx="51">
                  <c:v>38.18</c:v>
                </c:pt>
                <c:pt idx="52">
                  <c:v>38.950000000000003</c:v>
                </c:pt>
                <c:pt idx="53">
                  <c:v>39.700000000000003</c:v>
                </c:pt>
                <c:pt idx="54">
                  <c:v>40.44</c:v>
                </c:pt>
                <c:pt idx="55">
                  <c:v>41.2</c:v>
                </c:pt>
                <c:pt idx="56">
                  <c:v>41.93</c:v>
                </c:pt>
                <c:pt idx="57">
                  <c:v>42.69</c:v>
                </c:pt>
                <c:pt idx="58">
                  <c:v>43.42</c:v>
                </c:pt>
                <c:pt idx="59">
                  <c:v>44.17</c:v>
                </c:pt>
                <c:pt idx="60">
                  <c:v>44.9</c:v>
                </c:pt>
                <c:pt idx="61">
                  <c:v>45.63</c:v>
                </c:pt>
                <c:pt idx="62">
                  <c:v>46.38</c:v>
                </c:pt>
                <c:pt idx="63">
                  <c:v>47.11</c:v>
                </c:pt>
                <c:pt idx="64">
                  <c:v>47.86</c:v>
                </c:pt>
                <c:pt idx="65">
                  <c:v>48.58</c:v>
                </c:pt>
                <c:pt idx="66">
                  <c:v>49.33</c:v>
                </c:pt>
                <c:pt idx="67">
                  <c:v>50.06</c:v>
                </c:pt>
                <c:pt idx="68">
                  <c:v>50.83</c:v>
                </c:pt>
                <c:pt idx="69">
                  <c:v>51.56</c:v>
                </c:pt>
                <c:pt idx="70">
                  <c:v>52.32</c:v>
                </c:pt>
                <c:pt idx="71">
                  <c:v>53.09</c:v>
                </c:pt>
                <c:pt idx="72">
                  <c:v>53.84</c:v>
                </c:pt>
                <c:pt idx="73">
                  <c:v>54.6</c:v>
                </c:pt>
                <c:pt idx="74">
                  <c:v>55.33</c:v>
                </c:pt>
                <c:pt idx="75">
                  <c:v>56.08</c:v>
                </c:pt>
                <c:pt idx="76">
                  <c:v>56.82</c:v>
                </c:pt>
                <c:pt idx="77">
                  <c:v>57.57</c:v>
                </c:pt>
                <c:pt idx="78">
                  <c:v>58.3</c:v>
                </c:pt>
                <c:pt idx="79">
                  <c:v>59.05</c:v>
                </c:pt>
                <c:pt idx="80">
                  <c:v>59.81</c:v>
                </c:pt>
                <c:pt idx="81">
                  <c:v>60.55</c:v>
                </c:pt>
                <c:pt idx="82">
                  <c:v>61.3</c:v>
                </c:pt>
                <c:pt idx="83">
                  <c:v>62.03</c:v>
                </c:pt>
                <c:pt idx="84">
                  <c:v>62.78</c:v>
                </c:pt>
                <c:pt idx="85">
                  <c:v>63.53</c:v>
                </c:pt>
                <c:pt idx="86">
                  <c:v>64.28</c:v>
                </c:pt>
                <c:pt idx="87">
                  <c:v>65.010000000000005</c:v>
                </c:pt>
                <c:pt idx="88">
                  <c:v>65.760000000000005</c:v>
                </c:pt>
                <c:pt idx="89">
                  <c:v>66.5</c:v>
                </c:pt>
                <c:pt idx="90">
                  <c:v>67.23</c:v>
                </c:pt>
                <c:pt idx="91">
                  <c:v>67.959999999999994</c:v>
                </c:pt>
                <c:pt idx="92">
                  <c:v>68.66</c:v>
                </c:pt>
                <c:pt idx="93">
                  <c:v>69.34</c:v>
                </c:pt>
                <c:pt idx="94">
                  <c:v>69.97</c:v>
                </c:pt>
              </c:numCache>
            </c:numRef>
          </c:xVal>
          <c:yVal>
            <c:numRef>
              <c:f>Curve!$I$2:$I$96</c:f>
              <c:numCache>
                <c:formatCode>General</c:formatCode>
                <c:ptCount val="95"/>
                <c:pt idx="0">
                  <c:v>352.24</c:v>
                </c:pt>
                <c:pt idx="1">
                  <c:v>351.84</c:v>
                </c:pt>
                <c:pt idx="2">
                  <c:v>351.28</c:v>
                </c:pt>
                <c:pt idx="3">
                  <c:v>350.48</c:v>
                </c:pt>
                <c:pt idx="4">
                  <c:v>349.64</c:v>
                </c:pt>
                <c:pt idx="5">
                  <c:v>348.64</c:v>
                </c:pt>
                <c:pt idx="6">
                  <c:v>347.64</c:v>
                </c:pt>
                <c:pt idx="7">
                  <c:v>346.6</c:v>
                </c:pt>
                <c:pt idx="8">
                  <c:v>345.36</c:v>
                </c:pt>
                <c:pt idx="9">
                  <c:v>344.08</c:v>
                </c:pt>
                <c:pt idx="10">
                  <c:v>342.72</c:v>
                </c:pt>
                <c:pt idx="11">
                  <c:v>341.36</c:v>
                </c:pt>
                <c:pt idx="12">
                  <c:v>339.88</c:v>
                </c:pt>
                <c:pt idx="13">
                  <c:v>338.36</c:v>
                </c:pt>
                <c:pt idx="14">
                  <c:v>336.8</c:v>
                </c:pt>
                <c:pt idx="15">
                  <c:v>335.44</c:v>
                </c:pt>
                <c:pt idx="16">
                  <c:v>334.04</c:v>
                </c:pt>
                <c:pt idx="17">
                  <c:v>332.68</c:v>
                </c:pt>
                <c:pt idx="18">
                  <c:v>331.4</c:v>
                </c:pt>
                <c:pt idx="19">
                  <c:v>330.16</c:v>
                </c:pt>
                <c:pt idx="20">
                  <c:v>328.96</c:v>
                </c:pt>
                <c:pt idx="21">
                  <c:v>327.8</c:v>
                </c:pt>
                <c:pt idx="22">
                  <c:v>326.72000000000003</c:v>
                </c:pt>
                <c:pt idx="23">
                  <c:v>325.68</c:v>
                </c:pt>
                <c:pt idx="24">
                  <c:v>324.76</c:v>
                </c:pt>
                <c:pt idx="25">
                  <c:v>323.88</c:v>
                </c:pt>
                <c:pt idx="26">
                  <c:v>323.12</c:v>
                </c:pt>
                <c:pt idx="27">
                  <c:v>322.32</c:v>
                </c:pt>
                <c:pt idx="28">
                  <c:v>321.8</c:v>
                </c:pt>
                <c:pt idx="29">
                  <c:v>321.32</c:v>
                </c:pt>
                <c:pt idx="30">
                  <c:v>320.95999999999998</c:v>
                </c:pt>
                <c:pt idx="31">
                  <c:v>320.64</c:v>
                </c:pt>
                <c:pt idx="32">
                  <c:v>320.48</c:v>
                </c:pt>
                <c:pt idx="33">
                  <c:v>320.44</c:v>
                </c:pt>
                <c:pt idx="34">
                  <c:v>320.48</c:v>
                </c:pt>
                <c:pt idx="35">
                  <c:v>320.68</c:v>
                </c:pt>
                <c:pt idx="36">
                  <c:v>321</c:v>
                </c:pt>
                <c:pt idx="37">
                  <c:v>321.39999999999998</c:v>
                </c:pt>
                <c:pt idx="38">
                  <c:v>321.88</c:v>
                </c:pt>
                <c:pt idx="39">
                  <c:v>322.52</c:v>
                </c:pt>
                <c:pt idx="40">
                  <c:v>323.16000000000003</c:v>
                </c:pt>
                <c:pt idx="41">
                  <c:v>324</c:v>
                </c:pt>
                <c:pt idx="42">
                  <c:v>324.8</c:v>
                </c:pt>
                <c:pt idx="43">
                  <c:v>325.72000000000003</c:v>
                </c:pt>
                <c:pt idx="44">
                  <c:v>326.76</c:v>
                </c:pt>
                <c:pt idx="45">
                  <c:v>327.84</c:v>
                </c:pt>
                <c:pt idx="46">
                  <c:v>329.2</c:v>
                </c:pt>
                <c:pt idx="47">
                  <c:v>330.6</c:v>
                </c:pt>
                <c:pt idx="48">
                  <c:v>332.24</c:v>
                </c:pt>
                <c:pt idx="49">
                  <c:v>333.8</c:v>
                </c:pt>
                <c:pt idx="50">
                  <c:v>335.92</c:v>
                </c:pt>
                <c:pt idx="51">
                  <c:v>338.16</c:v>
                </c:pt>
                <c:pt idx="52">
                  <c:v>340.36</c:v>
                </c:pt>
                <c:pt idx="53">
                  <c:v>343</c:v>
                </c:pt>
                <c:pt idx="54">
                  <c:v>345.6</c:v>
                </c:pt>
                <c:pt idx="55">
                  <c:v>348.52</c:v>
                </c:pt>
                <c:pt idx="56">
                  <c:v>351.32</c:v>
                </c:pt>
                <c:pt idx="57">
                  <c:v>354.4</c:v>
                </c:pt>
                <c:pt idx="58">
                  <c:v>357.32</c:v>
                </c:pt>
                <c:pt idx="59">
                  <c:v>360.36</c:v>
                </c:pt>
                <c:pt idx="60">
                  <c:v>364.04</c:v>
                </c:pt>
                <c:pt idx="61">
                  <c:v>367.64</c:v>
                </c:pt>
                <c:pt idx="62">
                  <c:v>371.6</c:v>
                </c:pt>
                <c:pt idx="63">
                  <c:v>375.68</c:v>
                </c:pt>
                <c:pt idx="64">
                  <c:v>380.32</c:v>
                </c:pt>
                <c:pt idx="65">
                  <c:v>385.36</c:v>
                </c:pt>
                <c:pt idx="66">
                  <c:v>390.88</c:v>
                </c:pt>
                <c:pt idx="67">
                  <c:v>396.44</c:v>
                </c:pt>
                <c:pt idx="68">
                  <c:v>399</c:v>
                </c:pt>
                <c:pt idx="69">
                  <c:v>399</c:v>
                </c:pt>
                <c:pt idx="70">
                  <c:v>399</c:v>
                </c:pt>
                <c:pt idx="71">
                  <c:v>399</c:v>
                </c:pt>
                <c:pt idx="72">
                  <c:v>399</c:v>
                </c:pt>
                <c:pt idx="73">
                  <c:v>399</c:v>
                </c:pt>
                <c:pt idx="74">
                  <c:v>399</c:v>
                </c:pt>
                <c:pt idx="75">
                  <c:v>399</c:v>
                </c:pt>
                <c:pt idx="76">
                  <c:v>399</c:v>
                </c:pt>
                <c:pt idx="77">
                  <c:v>399</c:v>
                </c:pt>
                <c:pt idx="78">
                  <c:v>399</c:v>
                </c:pt>
                <c:pt idx="79">
                  <c:v>399</c:v>
                </c:pt>
                <c:pt idx="80">
                  <c:v>399</c:v>
                </c:pt>
                <c:pt idx="81">
                  <c:v>399</c:v>
                </c:pt>
                <c:pt idx="82">
                  <c:v>399</c:v>
                </c:pt>
                <c:pt idx="83">
                  <c:v>399</c:v>
                </c:pt>
                <c:pt idx="84">
                  <c:v>399</c:v>
                </c:pt>
                <c:pt idx="85">
                  <c:v>399</c:v>
                </c:pt>
                <c:pt idx="86">
                  <c:v>399</c:v>
                </c:pt>
                <c:pt idx="87">
                  <c:v>399</c:v>
                </c:pt>
                <c:pt idx="88">
                  <c:v>399</c:v>
                </c:pt>
                <c:pt idx="89">
                  <c:v>399</c:v>
                </c:pt>
                <c:pt idx="90">
                  <c:v>399</c:v>
                </c:pt>
                <c:pt idx="91">
                  <c:v>399</c:v>
                </c:pt>
                <c:pt idx="92">
                  <c:v>399</c:v>
                </c:pt>
                <c:pt idx="93">
                  <c:v>399</c:v>
                </c:pt>
                <c:pt idx="94">
                  <c:v>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4A5-481B-BCFF-7CB7A791A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4893663"/>
        <c:axId val="1808033679"/>
      </c:scatterChart>
      <c:valAx>
        <c:axId val="130664112"/>
        <c:scaling>
          <c:orientation val="minMax"/>
          <c:max val="7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Case_Temp (℃)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046272"/>
        <c:crosses val="autoZero"/>
        <c:crossBetween val="midCat"/>
        <c:majorUnit val="5"/>
      </c:valAx>
      <c:valAx>
        <c:axId val="31904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64112"/>
        <c:crosses val="autoZero"/>
        <c:crossBetween val="midCat"/>
      </c:valAx>
      <c:valAx>
        <c:axId val="17048936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08033679"/>
        <c:crosses val="autoZero"/>
        <c:crossBetween val="midCat"/>
      </c:valAx>
      <c:valAx>
        <c:axId val="180803367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Bias(mA)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893663"/>
        <c:crosses val="max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TXP_Operational Bias</a:t>
            </a:r>
            <a:endParaRPr lang="zh-TW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3"/>
          <c:order val="0"/>
          <c:tx>
            <c:strRef>
              <c:f>Curve!$K$1</c:f>
              <c:strCache>
                <c:ptCount val="1"/>
                <c:pt idx="0">
                  <c:v>[CH1_Opr_TxP]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Curve!$A$2:$A$96</c:f>
              <c:numCache>
                <c:formatCode>General</c:formatCode>
                <c:ptCount val="95"/>
                <c:pt idx="0">
                  <c:v>0.2</c:v>
                </c:pt>
                <c:pt idx="1">
                  <c:v>0.96</c:v>
                </c:pt>
                <c:pt idx="2">
                  <c:v>1.7</c:v>
                </c:pt>
                <c:pt idx="3">
                  <c:v>2.4300000000000002</c:v>
                </c:pt>
                <c:pt idx="4">
                  <c:v>3.16</c:v>
                </c:pt>
                <c:pt idx="5">
                  <c:v>3.91</c:v>
                </c:pt>
                <c:pt idx="6">
                  <c:v>4.6399999999999997</c:v>
                </c:pt>
                <c:pt idx="7">
                  <c:v>5.39</c:v>
                </c:pt>
                <c:pt idx="8">
                  <c:v>6.13</c:v>
                </c:pt>
                <c:pt idx="9">
                  <c:v>6.87</c:v>
                </c:pt>
                <c:pt idx="10">
                  <c:v>7.63</c:v>
                </c:pt>
                <c:pt idx="11">
                  <c:v>8.36</c:v>
                </c:pt>
                <c:pt idx="12">
                  <c:v>9.1199999999999992</c:v>
                </c:pt>
                <c:pt idx="13">
                  <c:v>9.85</c:v>
                </c:pt>
                <c:pt idx="14">
                  <c:v>10.61</c:v>
                </c:pt>
                <c:pt idx="15">
                  <c:v>11.33</c:v>
                </c:pt>
                <c:pt idx="16">
                  <c:v>12.06</c:v>
                </c:pt>
                <c:pt idx="17">
                  <c:v>12.8</c:v>
                </c:pt>
                <c:pt idx="18">
                  <c:v>13.57</c:v>
                </c:pt>
                <c:pt idx="19">
                  <c:v>14.33</c:v>
                </c:pt>
                <c:pt idx="20">
                  <c:v>15.07</c:v>
                </c:pt>
                <c:pt idx="21">
                  <c:v>15.84</c:v>
                </c:pt>
                <c:pt idx="22">
                  <c:v>16.579999999999998</c:v>
                </c:pt>
                <c:pt idx="23">
                  <c:v>17.350000000000001</c:v>
                </c:pt>
                <c:pt idx="24">
                  <c:v>18.079999999999998</c:v>
                </c:pt>
                <c:pt idx="25">
                  <c:v>18.84</c:v>
                </c:pt>
                <c:pt idx="26">
                  <c:v>19.559999999999999</c:v>
                </c:pt>
                <c:pt idx="27">
                  <c:v>20.32</c:v>
                </c:pt>
                <c:pt idx="28">
                  <c:v>21.09</c:v>
                </c:pt>
                <c:pt idx="29">
                  <c:v>21.83</c:v>
                </c:pt>
                <c:pt idx="30">
                  <c:v>22.58</c:v>
                </c:pt>
                <c:pt idx="31">
                  <c:v>23.31</c:v>
                </c:pt>
                <c:pt idx="32">
                  <c:v>24.04</c:v>
                </c:pt>
                <c:pt idx="33">
                  <c:v>24.75</c:v>
                </c:pt>
                <c:pt idx="34">
                  <c:v>25.5</c:v>
                </c:pt>
                <c:pt idx="35">
                  <c:v>26.26</c:v>
                </c:pt>
                <c:pt idx="36">
                  <c:v>26.99</c:v>
                </c:pt>
                <c:pt idx="37">
                  <c:v>27.74</c:v>
                </c:pt>
                <c:pt idx="38">
                  <c:v>28.47</c:v>
                </c:pt>
                <c:pt idx="39">
                  <c:v>29.24</c:v>
                </c:pt>
                <c:pt idx="40">
                  <c:v>29.97</c:v>
                </c:pt>
                <c:pt idx="41">
                  <c:v>30.73</c:v>
                </c:pt>
                <c:pt idx="42">
                  <c:v>31.47</c:v>
                </c:pt>
                <c:pt idx="43">
                  <c:v>32.22</c:v>
                </c:pt>
                <c:pt idx="44">
                  <c:v>32.979999999999997</c:v>
                </c:pt>
                <c:pt idx="45">
                  <c:v>33.729999999999997</c:v>
                </c:pt>
                <c:pt idx="46">
                  <c:v>34.49</c:v>
                </c:pt>
                <c:pt idx="47">
                  <c:v>35.22</c:v>
                </c:pt>
                <c:pt idx="48">
                  <c:v>35.97</c:v>
                </c:pt>
                <c:pt idx="49">
                  <c:v>36.700000000000003</c:v>
                </c:pt>
                <c:pt idx="50">
                  <c:v>37.450000000000003</c:v>
                </c:pt>
                <c:pt idx="51">
                  <c:v>38.18</c:v>
                </c:pt>
                <c:pt idx="52">
                  <c:v>38.950000000000003</c:v>
                </c:pt>
                <c:pt idx="53">
                  <c:v>39.700000000000003</c:v>
                </c:pt>
                <c:pt idx="54">
                  <c:v>40.44</c:v>
                </c:pt>
                <c:pt idx="55">
                  <c:v>41.2</c:v>
                </c:pt>
                <c:pt idx="56">
                  <c:v>41.93</c:v>
                </c:pt>
                <c:pt idx="57">
                  <c:v>42.69</c:v>
                </c:pt>
                <c:pt idx="58">
                  <c:v>43.42</c:v>
                </c:pt>
                <c:pt idx="59">
                  <c:v>44.17</c:v>
                </c:pt>
                <c:pt idx="60">
                  <c:v>44.9</c:v>
                </c:pt>
                <c:pt idx="61">
                  <c:v>45.63</c:v>
                </c:pt>
                <c:pt idx="62">
                  <c:v>46.38</c:v>
                </c:pt>
                <c:pt idx="63">
                  <c:v>47.11</c:v>
                </c:pt>
                <c:pt idx="64">
                  <c:v>47.86</c:v>
                </c:pt>
                <c:pt idx="65">
                  <c:v>48.58</c:v>
                </c:pt>
                <c:pt idx="66">
                  <c:v>49.33</c:v>
                </c:pt>
                <c:pt idx="67">
                  <c:v>50.06</c:v>
                </c:pt>
                <c:pt idx="68">
                  <c:v>50.83</c:v>
                </c:pt>
                <c:pt idx="69">
                  <c:v>51.56</c:v>
                </c:pt>
                <c:pt idx="70">
                  <c:v>52.32</c:v>
                </c:pt>
                <c:pt idx="71">
                  <c:v>53.09</c:v>
                </c:pt>
                <c:pt idx="72">
                  <c:v>53.84</c:v>
                </c:pt>
                <c:pt idx="73">
                  <c:v>54.6</c:v>
                </c:pt>
                <c:pt idx="74">
                  <c:v>55.33</c:v>
                </c:pt>
                <c:pt idx="75">
                  <c:v>56.08</c:v>
                </c:pt>
                <c:pt idx="76">
                  <c:v>56.82</c:v>
                </c:pt>
                <c:pt idx="77">
                  <c:v>57.57</c:v>
                </c:pt>
                <c:pt idx="78">
                  <c:v>58.3</c:v>
                </c:pt>
                <c:pt idx="79">
                  <c:v>59.05</c:v>
                </c:pt>
                <c:pt idx="80">
                  <c:v>59.81</c:v>
                </c:pt>
                <c:pt idx="81">
                  <c:v>60.55</c:v>
                </c:pt>
                <c:pt idx="82">
                  <c:v>61.3</c:v>
                </c:pt>
                <c:pt idx="83">
                  <c:v>62.03</c:v>
                </c:pt>
                <c:pt idx="84">
                  <c:v>62.78</c:v>
                </c:pt>
                <c:pt idx="85">
                  <c:v>63.53</c:v>
                </c:pt>
                <c:pt idx="86">
                  <c:v>64.28</c:v>
                </c:pt>
                <c:pt idx="87">
                  <c:v>65.010000000000005</c:v>
                </c:pt>
                <c:pt idx="88">
                  <c:v>65.760000000000005</c:v>
                </c:pt>
                <c:pt idx="89">
                  <c:v>66.5</c:v>
                </c:pt>
                <c:pt idx="90">
                  <c:v>67.23</c:v>
                </c:pt>
                <c:pt idx="91">
                  <c:v>67.959999999999994</c:v>
                </c:pt>
                <c:pt idx="92">
                  <c:v>68.66</c:v>
                </c:pt>
                <c:pt idx="93">
                  <c:v>69.34</c:v>
                </c:pt>
                <c:pt idx="94">
                  <c:v>69.97</c:v>
                </c:pt>
              </c:numCache>
            </c:numRef>
          </c:xVal>
          <c:yVal>
            <c:numRef>
              <c:f>Curve!$K$2:$K$96</c:f>
              <c:numCache>
                <c:formatCode>General</c:formatCode>
                <c:ptCount val="95"/>
                <c:pt idx="0">
                  <c:v>3.46</c:v>
                </c:pt>
                <c:pt idx="1">
                  <c:v>3.51</c:v>
                </c:pt>
                <c:pt idx="2">
                  <c:v>3.55</c:v>
                </c:pt>
                <c:pt idx="3">
                  <c:v>3.52</c:v>
                </c:pt>
                <c:pt idx="4">
                  <c:v>3.51</c:v>
                </c:pt>
                <c:pt idx="5">
                  <c:v>3.56</c:v>
                </c:pt>
                <c:pt idx="6">
                  <c:v>3.57</c:v>
                </c:pt>
                <c:pt idx="7">
                  <c:v>3.57</c:v>
                </c:pt>
                <c:pt idx="8">
                  <c:v>3.58</c:v>
                </c:pt>
                <c:pt idx="9">
                  <c:v>3.58</c:v>
                </c:pt>
                <c:pt idx="10">
                  <c:v>3.65</c:v>
                </c:pt>
                <c:pt idx="11">
                  <c:v>3.64</c:v>
                </c:pt>
                <c:pt idx="12">
                  <c:v>3.61</c:v>
                </c:pt>
                <c:pt idx="13">
                  <c:v>3.59</c:v>
                </c:pt>
                <c:pt idx="14">
                  <c:v>3.6</c:v>
                </c:pt>
                <c:pt idx="15">
                  <c:v>3.56</c:v>
                </c:pt>
                <c:pt idx="16">
                  <c:v>3.48</c:v>
                </c:pt>
                <c:pt idx="17">
                  <c:v>3.5</c:v>
                </c:pt>
                <c:pt idx="18">
                  <c:v>3.56</c:v>
                </c:pt>
                <c:pt idx="19">
                  <c:v>3.63</c:v>
                </c:pt>
                <c:pt idx="20">
                  <c:v>3.64</c:v>
                </c:pt>
                <c:pt idx="21">
                  <c:v>3.63</c:v>
                </c:pt>
                <c:pt idx="22">
                  <c:v>3.63</c:v>
                </c:pt>
                <c:pt idx="23">
                  <c:v>3.57</c:v>
                </c:pt>
                <c:pt idx="24">
                  <c:v>3.46</c:v>
                </c:pt>
                <c:pt idx="25">
                  <c:v>3.45</c:v>
                </c:pt>
                <c:pt idx="26">
                  <c:v>3.51</c:v>
                </c:pt>
                <c:pt idx="27">
                  <c:v>3.54</c:v>
                </c:pt>
                <c:pt idx="28">
                  <c:v>3.53</c:v>
                </c:pt>
                <c:pt idx="29">
                  <c:v>3.48</c:v>
                </c:pt>
                <c:pt idx="30">
                  <c:v>3.57</c:v>
                </c:pt>
                <c:pt idx="31">
                  <c:v>3.52</c:v>
                </c:pt>
                <c:pt idx="32">
                  <c:v>3.48</c:v>
                </c:pt>
                <c:pt idx="33">
                  <c:v>3.39</c:v>
                </c:pt>
                <c:pt idx="34">
                  <c:v>3.41</c:v>
                </c:pt>
                <c:pt idx="35">
                  <c:v>3.41</c:v>
                </c:pt>
                <c:pt idx="36">
                  <c:v>3.38</c:v>
                </c:pt>
                <c:pt idx="37">
                  <c:v>3.38</c:v>
                </c:pt>
                <c:pt idx="38">
                  <c:v>3.38</c:v>
                </c:pt>
                <c:pt idx="39">
                  <c:v>3.33</c:v>
                </c:pt>
                <c:pt idx="40">
                  <c:v>3.23</c:v>
                </c:pt>
                <c:pt idx="41">
                  <c:v>3.16</c:v>
                </c:pt>
                <c:pt idx="42">
                  <c:v>3.25</c:v>
                </c:pt>
                <c:pt idx="43">
                  <c:v>3.22</c:v>
                </c:pt>
                <c:pt idx="44">
                  <c:v>3.24</c:v>
                </c:pt>
                <c:pt idx="45">
                  <c:v>3.16</c:v>
                </c:pt>
                <c:pt idx="46">
                  <c:v>3.06</c:v>
                </c:pt>
                <c:pt idx="47">
                  <c:v>3.03</c:v>
                </c:pt>
                <c:pt idx="48">
                  <c:v>3</c:v>
                </c:pt>
                <c:pt idx="49">
                  <c:v>3.01</c:v>
                </c:pt>
                <c:pt idx="50">
                  <c:v>3.02</c:v>
                </c:pt>
                <c:pt idx="51">
                  <c:v>2.87</c:v>
                </c:pt>
                <c:pt idx="52">
                  <c:v>2.87</c:v>
                </c:pt>
                <c:pt idx="53">
                  <c:v>2.86</c:v>
                </c:pt>
                <c:pt idx="54">
                  <c:v>2.85</c:v>
                </c:pt>
                <c:pt idx="55">
                  <c:v>2.86</c:v>
                </c:pt>
                <c:pt idx="56">
                  <c:v>2.77</c:v>
                </c:pt>
                <c:pt idx="57">
                  <c:v>2.64</c:v>
                </c:pt>
                <c:pt idx="58">
                  <c:v>2.57</c:v>
                </c:pt>
                <c:pt idx="59">
                  <c:v>2.56</c:v>
                </c:pt>
                <c:pt idx="60">
                  <c:v>2.5099999999999998</c:v>
                </c:pt>
                <c:pt idx="61">
                  <c:v>2.5499999999999998</c:v>
                </c:pt>
                <c:pt idx="62">
                  <c:v>2.42</c:v>
                </c:pt>
                <c:pt idx="63">
                  <c:v>2.39</c:v>
                </c:pt>
                <c:pt idx="64">
                  <c:v>2.31</c:v>
                </c:pt>
                <c:pt idx="65">
                  <c:v>2.2200000000000002</c:v>
                </c:pt>
                <c:pt idx="66">
                  <c:v>2.2000000000000002</c:v>
                </c:pt>
                <c:pt idx="67">
                  <c:v>2.11</c:v>
                </c:pt>
                <c:pt idx="68">
                  <c:v>2.02</c:v>
                </c:pt>
                <c:pt idx="69">
                  <c:v>2.02</c:v>
                </c:pt>
                <c:pt idx="70">
                  <c:v>1.94</c:v>
                </c:pt>
                <c:pt idx="71">
                  <c:v>1.91</c:v>
                </c:pt>
                <c:pt idx="72">
                  <c:v>1.8</c:v>
                </c:pt>
                <c:pt idx="73">
                  <c:v>1.7</c:v>
                </c:pt>
                <c:pt idx="74">
                  <c:v>1.67</c:v>
                </c:pt>
                <c:pt idx="75">
                  <c:v>1.52</c:v>
                </c:pt>
                <c:pt idx="76">
                  <c:v>1.45</c:v>
                </c:pt>
                <c:pt idx="77">
                  <c:v>1.4</c:v>
                </c:pt>
                <c:pt idx="78">
                  <c:v>1.33</c:v>
                </c:pt>
                <c:pt idx="79">
                  <c:v>1.28</c:v>
                </c:pt>
                <c:pt idx="80">
                  <c:v>1.0900000000000001</c:v>
                </c:pt>
                <c:pt idx="81">
                  <c:v>1.06</c:v>
                </c:pt>
                <c:pt idx="82">
                  <c:v>0.98</c:v>
                </c:pt>
                <c:pt idx="83">
                  <c:v>0.94</c:v>
                </c:pt>
                <c:pt idx="84">
                  <c:v>0.81</c:v>
                </c:pt>
                <c:pt idx="85">
                  <c:v>0.79</c:v>
                </c:pt>
                <c:pt idx="86">
                  <c:v>0.59</c:v>
                </c:pt>
                <c:pt idx="87">
                  <c:v>0.55000000000000004</c:v>
                </c:pt>
                <c:pt idx="88">
                  <c:v>0.43</c:v>
                </c:pt>
                <c:pt idx="89">
                  <c:v>0.33</c:v>
                </c:pt>
                <c:pt idx="90">
                  <c:v>0.14000000000000001</c:v>
                </c:pt>
                <c:pt idx="91">
                  <c:v>0.04</c:v>
                </c:pt>
                <c:pt idx="92">
                  <c:v>-0.12</c:v>
                </c:pt>
                <c:pt idx="93">
                  <c:v>-0.36</c:v>
                </c:pt>
                <c:pt idx="94">
                  <c:v>-0.53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8C-4EDF-A25C-492072EB35EB}"/>
            </c:ext>
          </c:extLst>
        </c:ser>
        <c:ser>
          <c:idx val="4"/>
          <c:order val="1"/>
          <c:tx>
            <c:strRef>
              <c:f>Curve!$L$1</c:f>
              <c:strCache>
                <c:ptCount val="1"/>
                <c:pt idx="0">
                  <c:v>[CH5_Opr_TxP]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xVal>
            <c:numRef>
              <c:f>Curve!$A$2:$A$96</c:f>
              <c:numCache>
                <c:formatCode>General</c:formatCode>
                <c:ptCount val="95"/>
                <c:pt idx="0">
                  <c:v>0.2</c:v>
                </c:pt>
                <c:pt idx="1">
                  <c:v>0.96</c:v>
                </c:pt>
                <c:pt idx="2">
                  <c:v>1.7</c:v>
                </c:pt>
                <c:pt idx="3">
                  <c:v>2.4300000000000002</c:v>
                </c:pt>
                <c:pt idx="4">
                  <c:v>3.16</c:v>
                </c:pt>
                <c:pt idx="5">
                  <c:v>3.91</c:v>
                </c:pt>
                <c:pt idx="6">
                  <c:v>4.6399999999999997</c:v>
                </c:pt>
                <c:pt idx="7">
                  <c:v>5.39</c:v>
                </c:pt>
                <c:pt idx="8">
                  <c:v>6.13</c:v>
                </c:pt>
                <c:pt idx="9">
                  <c:v>6.87</c:v>
                </c:pt>
                <c:pt idx="10">
                  <c:v>7.63</c:v>
                </c:pt>
                <c:pt idx="11">
                  <c:v>8.36</c:v>
                </c:pt>
                <c:pt idx="12">
                  <c:v>9.1199999999999992</c:v>
                </c:pt>
                <c:pt idx="13">
                  <c:v>9.85</c:v>
                </c:pt>
                <c:pt idx="14">
                  <c:v>10.61</c:v>
                </c:pt>
                <c:pt idx="15">
                  <c:v>11.33</c:v>
                </c:pt>
                <c:pt idx="16">
                  <c:v>12.06</c:v>
                </c:pt>
                <c:pt idx="17">
                  <c:v>12.8</c:v>
                </c:pt>
                <c:pt idx="18">
                  <c:v>13.57</c:v>
                </c:pt>
                <c:pt idx="19">
                  <c:v>14.33</c:v>
                </c:pt>
                <c:pt idx="20">
                  <c:v>15.07</c:v>
                </c:pt>
                <c:pt idx="21">
                  <c:v>15.84</c:v>
                </c:pt>
                <c:pt idx="22">
                  <c:v>16.579999999999998</c:v>
                </c:pt>
                <c:pt idx="23">
                  <c:v>17.350000000000001</c:v>
                </c:pt>
                <c:pt idx="24">
                  <c:v>18.079999999999998</c:v>
                </c:pt>
                <c:pt idx="25">
                  <c:v>18.84</c:v>
                </c:pt>
                <c:pt idx="26">
                  <c:v>19.559999999999999</c:v>
                </c:pt>
                <c:pt idx="27">
                  <c:v>20.32</c:v>
                </c:pt>
                <c:pt idx="28">
                  <c:v>21.09</c:v>
                </c:pt>
                <c:pt idx="29">
                  <c:v>21.83</c:v>
                </c:pt>
                <c:pt idx="30">
                  <c:v>22.58</c:v>
                </c:pt>
                <c:pt idx="31">
                  <c:v>23.31</c:v>
                </c:pt>
                <c:pt idx="32">
                  <c:v>24.04</c:v>
                </c:pt>
                <c:pt idx="33">
                  <c:v>24.75</c:v>
                </c:pt>
                <c:pt idx="34">
                  <c:v>25.5</c:v>
                </c:pt>
                <c:pt idx="35">
                  <c:v>26.26</c:v>
                </c:pt>
                <c:pt idx="36">
                  <c:v>26.99</c:v>
                </c:pt>
                <c:pt idx="37">
                  <c:v>27.74</c:v>
                </c:pt>
                <c:pt idx="38">
                  <c:v>28.47</c:v>
                </c:pt>
                <c:pt idx="39">
                  <c:v>29.24</c:v>
                </c:pt>
                <c:pt idx="40">
                  <c:v>29.97</c:v>
                </c:pt>
                <c:pt idx="41">
                  <c:v>30.73</c:v>
                </c:pt>
                <c:pt idx="42">
                  <c:v>31.47</c:v>
                </c:pt>
                <c:pt idx="43">
                  <c:v>32.22</c:v>
                </c:pt>
                <c:pt idx="44">
                  <c:v>32.979999999999997</c:v>
                </c:pt>
                <c:pt idx="45">
                  <c:v>33.729999999999997</c:v>
                </c:pt>
                <c:pt idx="46">
                  <c:v>34.49</c:v>
                </c:pt>
                <c:pt idx="47">
                  <c:v>35.22</c:v>
                </c:pt>
                <c:pt idx="48">
                  <c:v>35.97</c:v>
                </c:pt>
                <c:pt idx="49">
                  <c:v>36.700000000000003</c:v>
                </c:pt>
                <c:pt idx="50">
                  <c:v>37.450000000000003</c:v>
                </c:pt>
                <c:pt idx="51">
                  <c:v>38.18</c:v>
                </c:pt>
                <c:pt idx="52">
                  <c:v>38.950000000000003</c:v>
                </c:pt>
                <c:pt idx="53">
                  <c:v>39.700000000000003</c:v>
                </c:pt>
                <c:pt idx="54">
                  <c:v>40.44</c:v>
                </c:pt>
                <c:pt idx="55">
                  <c:v>41.2</c:v>
                </c:pt>
                <c:pt idx="56">
                  <c:v>41.93</c:v>
                </c:pt>
                <c:pt idx="57">
                  <c:v>42.69</c:v>
                </c:pt>
                <c:pt idx="58">
                  <c:v>43.42</c:v>
                </c:pt>
                <c:pt idx="59">
                  <c:v>44.17</c:v>
                </c:pt>
                <c:pt idx="60">
                  <c:v>44.9</c:v>
                </c:pt>
                <c:pt idx="61">
                  <c:v>45.63</c:v>
                </c:pt>
                <c:pt idx="62">
                  <c:v>46.38</c:v>
                </c:pt>
                <c:pt idx="63">
                  <c:v>47.11</c:v>
                </c:pt>
                <c:pt idx="64">
                  <c:v>47.86</c:v>
                </c:pt>
                <c:pt idx="65">
                  <c:v>48.58</c:v>
                </c:pt>
                <c:pt idx="66">
                  <c:v>49.33</c:v>
                </c:pt>
                <c:pt idx="67">
                  <c:v>50.06</c:v>
                </c:pt>
                <c:pt idx="68">
                  <c:v>50.83</c:v>
                </c:pt>
                <c:pt idx="69">
                  <c:v>51.56</c:v>
                </c:pt>
                <c:pt idx="70">
                  <c:v>52.32</c:v>
                </c:pt>
                <c:pt idx="71">
                  <c:v>53.09</c:v>
                </c:pt>
                <c:pt idx="72">
                  <c:v>53.84</c:v>
                </c:pt>
                <c:pt idx="73">
                  <c:v>54.6</c:v>
                </c:pt>
                <c:pt idx="74">
                  <c:v>55.33</c:v>
                </c:pt>
                <c:pt idx="75">
                  <c:v>56.08</c:v>
                </c:pt>
                <c:pt idx="76">
                  <c:v>56.82</c:v>
                </c:pt>
                <c:pt idx="77">
                  <c:v>57.57</c:v>
                </c:pt>
                <c:pt idx="78">
                  <c:v>58.3</c:v>
                </c:pt>
                <c:pt idx="79">
                  <c:v>59.05</c:v>
                </c:pt>
                <c:pt idx="80">
                  <c:v>59.81</c:v>
                </c:pt>
                <c:pt idx="81">
                  <c:v>60.55</c:v>
                </c:pt>
                <c:pt idx="82">
                  <c:v>61.3</c:v>
                </c:pt>
                <c:pt idx="83">
                  <c:v>62.03</c:v>
                </c:pt>
                <c:pt idx="84">
                  <c:v>62.78</c:v>
                </c:pt>
                <c:pt idx="85">
                  <c:v>63.53</c:v>
                </c:pt>
                <c:pt idx="86">
                  <c:v>64.28</c:v>
                </c:pt>
                <c:pt idx="87">
                  <c:v>65.010000000000005</c:v>
                </c:pt>
                <c:pt idx="88">
                  <c:v>65.760000000000005</c:v>
                </c:pt>
                <c:pt idx="89">
                  <c:v>66.5</c:v>
                </c:pt>
                <c:pt idx="90">
                  <c:v>67.23</c:v>
                </c:pt>
                <c:pt idx="91">
                  <c:v>67.959999999999994</c:v>
                </c:pt>
                <c:pt idx="92">
                  <c:v>68.66</c:v>
                </c:pt>
                <c:pt idx="93">
                  <c:v>69.34</c:v>
                </c:pt>
                <c:pt idx="94">
                  <c:v>69.97</c:v>
                </c:pt>
              </c:numCache>
            </c:numRef>
          </c:xVal>
          <c:yVal>
            <c:numRef>
              <c:f>Curve!$L$2:$L$96</c:f>
              <c:numCache>
                <c:formatCode>General</c:formatCode>
                <c:ptCount val="95"/>
                <c:pt idx="0">
                  <c:v>-0.51</c:v>
                </c:pt>
                <c:pt idx="1">
                  <c:v>-0.52</c:v>
                </c:pt>
                <c:pt idx="2">
                  <c:v>-0.6</c:v>
                </c:pt>
                <c:pt idx="3">
                  <c:v>-0.54</c:v>
                </c:pt>
                <c:pt idx="4">
                  <c:v>-0.54</c:v>
                </c:pt>
                <c:pt idx="5">
                  <c:v>-0.46</c:v>
                </c:pt>
                <c:pt idx="6">
                  <c:v>-0.52</c:v>
                </c:pt>
                <c:pt idx="7">
                  <c:v>-0.43</c:v>
                </c:pt>
                <c:pt idx="8">
                  <c:v>-0.34</c:v>
                </c:pt>
                <c:pt idx="9">
                  <c:v>-0.27</c:v>
                </c:pt>
                <c:pt idx="10">
                  <c:v>-0.31</c:v>
                </c:pt>
                <c:pt idx="11">
                  <c:v>-0.33</c:v>
                </c:pt>
                <c:pt idx="12">
                  <c:v>-0.28000000000000003</c:v>
                </c:pt>
                <c:pt idx="13">
                  <c:v>-0.21</c:v>
                </c:pt>
                <c:pt idx="14">
                  <c:v>-0.15</c:v>
                </c:pt>
                <c:pt idx="15">
                  <c:v>-0.12</c:v>
                </c:pt>
                <c:pt idx="16">
                  <c:v>-0.1</c:v>
                </c:pt>
                <c:pt idx="17">
                  <c:v>-0.05</c:v>
                </c:pt>
                <c:pt idx="18">
                  <c:v>-0.04</c:v>
                </c:pt>
                <c:pt idx="19">
                  <c:v>-0.03</c:v>
                </c:pt>
                <c:pt idx="20">
                  <c:v>-7.0000000000000007E-2</c:v>
                </c:pt>
                <c:pt idx="21">
                  <c:v>-0.09</c:v>
                </c:pt>
                <c:pt idx="22">
                  <c:v>-0.04</c:v>
                </c:pt>
                <c:pt idx="23">
                  <c:v>0.06</c:v>
                </c:pt>
                <c:pt idx="24">
                  <c:v>0.09</c:v>
                </c:pt>
                <c:pt idx="25">
                  <c:v>0.13</c:v>
                </c:pt>
                <c:pt idx="26">
                  <c:v>0.15</c:v>
                </c:pt>
                <c:pt idx="27">
                  <c:v>0.13</c:v>
                </c:pt>
                <c:pt idx="28">
                  <c:v>0.14000000000000001</c:v>
                </c:pt>
                <c:pt idx="29">
                  <c:v>0.18</c:v>
                </c:pt>
                <c:pt idx="30">
                  <c:v>0.26</c:v>
                </c:pt>
                <c:pt idx="31">
                  <c:v>0.37</c:v>
                </c:pt>
                <c:pt idx="32">
                  <c:v>0.28999999999999998</c:v>
                </c:pt>
                <c:pt idx="33">
                  <c:v>0.26</c:v>
                </c:pt>
                <c:pt idx="34">
                  <c:v>0.15</c:v>
                </c:pt>
                <c:pt idx="35">
                  <c:v>0.22</c:v>
                </c:pt>
                <c:pt idx="36">
                  <c:v>0.32</c:v>
                </c:pt>
                <c:pt idx="37">
                  <c:v>0.32</c:v>
                </c:pt>
                <c:pt idx="38">
                  <c:v>0.28999999999999998</c:v>
                </c:pt>
                <c:pt idx="39">
                  <c:v>0.33</c:v>
                </c:pt>
                <c:pt idx="40">
                  <c:v>0.37</c:v>
                </c:pt>
                <c:pt idx="41">
                  <c:v>0.36</c:v>
                </c:pt>
                <c:pt idx="42">
                  <c:v>0.33</c:v>
                </c:pt>
                <c:pt idx="43">
                  <c:v>0.35</c:v>
                </c:pt>
                <c:pt idx="44">
                  <c:v>0.33</c:v>
                </c:pt>
                <c:pt idx="45">
                  <c:v>0.35</c:v>
                </c:pt>
                <c:pt idx="46">
                  <c:v>0.41</c:v>
                </c:pt>
                <c:pt idx="47">
                  <c:v>0.46</c:v>
                </c:pt>
                <c:pt idx="48">
                  <c:v>0.41</c:v>
                </c:pt>
                <c:pt idx="49">
                  <c:v>0.35</c:v>
                </c:pt>
                <c:pt idx="50">
                  <c:v>0.26</c:v>
                </c:pt>
                <c:pt idx="51">
                  <c:v>0.34</c:v>
                </c:pt>
                <c:pt idx="52">
                  <c:v>0.45</c:v>
                </c:pt>
                <c:pt idx="53">
                  <c:v>0.46</c:v>
                </c:pt>
                <c:pt idx="54">
                  <c:v>0.39</c:v>
                </c:pt>
                <c:pt idx="55">
                  <c:v>0.39</c:v>
                </c:pt>
                <c:pt idx="56">
                  <c:v>0.35</c:v>
                </c:pt>
                <c:pt idx="57">
                  <c:v>0.27</c:v>
                </c:pt>
                <c:pt idx="58">
                  <c:v>0.3</c:v>
                </c:pt>
                <c:pt idx="59">
                  <c:v>0.28000000000000003</c:v>
                </c:pt>
                <c:pt idx="60">
                  <c:v>0.34</c:v>
                </c:pt>
                <c:pt idx="61">
                  <c:v>0.26</c:v>
                </c:pt>
                <c:pt idx="62">
                  <c:v>0.32</c:v>
                </c:pt>
                <c:pt idx="63">
                  <c:v>0.36</c:v>
                </c:pt>
                <c:pt idx="64">
                  <c:v>0.28000000000000003</c:v>
                </c:pt>
                <c:pt idx="65">
                  <c:v>0.25</c:v>
                </c:pt>
                <c:pt idx="66">
                  <c:v>0.17</c:v>
                </c:pt>
                <c:pt idx="67">
                  <c:v>0.2</c:v>
                </c:pt>
                <c:pt idx="68">
                  <c:v>0.17</c:v>
                </c:pt>
                <c:pt idx="69">
                  <c:v>0.19</c:v>
                </c:pt>
                <c:pt idx="70">
                  <c:v>0.23</c:v>
                </c:pt>
                <c:pt idx="71">
                  <c:v>0.16</c:v>
                </c:pt>
                <c:pt idx="72">
                  <c:v>0.14000000000000001</c:v>
                </c:pt>
                <c:pt idx="73">
                  <c:v>-0.04</c:v>
                </c:pt>
                <c:pt idx="74">
                  <c:v>-0.13</c:v>
                </c:pt>
                <c:pt idx="75">
                  <c:v>-0.15</c:v>
                </c:pt>
                <c:pt idx="76">
                  <c:v>-0.23</c:v>
                </c:pt>
                <c:pt idx="77">
                  <c:v>-0.46</c:v>
                </c:pt>
                <c:pt idx="78">
                  <c:v>-0.5</c:v>
                </c:pt>
                <c:pt idx="79">
                  <c:v>-0.54</c:v>
                </c:pt>
                <c:pt idx="80">
                  <c:v>-0.56999999999999995</c:v>
                </c:pt>
                <c:pt idx="81">
                  <c:v>-0.68</c:v>
                </c:pt>
                <c:pt idx="82">
                  <c:v>-0.7</c:v>
                </c:pt>
                <c:pt idx="83">
                  <c:v>-0.73</c:v>
                </c:pt>
                <c:pt idx="84">
                  <c:v>-0.96</c:v>
                </c:pt>
                <c:pt idx="85">
                  <c:v>-1.0900000000000001</c:v>
                </c:pt>
                <c:pt idx="86">
                  <c:v>-1.18</c:v>
                </c:pt>
                <c:pt idx="87">
                  <c:v>-1.34</c:v>
                </c:pt>
                <c:pt idx="88">
                  <c:v>-1.51</c:v>
                </c:pt>
                <c:pt idx="89">
                  <c:v>-1.8</c:v>
                </c:pt>
                <c:pt idx="90">
                  <c:v>-1.87</c:v>
                </c:pt>
                <c:pt idx="91">
                  <c:v>-2.04</c:v>
                </c:pt>
                <c:pt idx="92">
                  <c:v>-2.16</c:v>
                </c:pt>
                <c:pt idx="93">
                  <c:v>-2.21</c:v>
                </c:pt>
                <c:pt idx="94">
                  <c:v>-2.34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8C-4EDF-A25C-492072EB3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937488"/>
        <c:axId val="356947840"/>
      </c:scatterChart>
      <c:scatterChart>
        <c:scatterStyle val="lineMarker"/>
        <c:varyColors val="0"/>
        <c:ser>
          <c:idx val="5"/>
          <c:order val="2"/>
          <c:tx>
            <c:strRef>
              <c:f>Curve!$H$1</c:f>
              <c:strCache>
                <c:ptCount val="1"/>
                <c:pt idx="0">
                  <c:v>[CH1_DDMI_Opr_Bias]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Curve!$A$2:$A$96</c:f>
              <c:numCache>
                <c:formatCode>General</c:formatCode>
                <c:ptCount val="95"/>
                <c:pt idx="0">
                  <c:v>0.2</c:v>
                </c:pt>
                <c:pt idx="1">
                  <c:v>0.96</c:v>
                </c:pt>
                <c:pt idx="2">
                  <c:v>1.7</c:v>
                </c:pt>
                <c:pt idx="3">
                  <c:v>2.4300000000000002</c:v>
                </c:pt>
                <c:pt idx="4">
                  <c:v>3.16</c:v>
                </c:pt>
                <c:pt idx="5">
                  <c:v>3.91</c:v>
                </c:pt>
                <c:pt idx="6">
                  <c:v>4.6399999999999997</c:v>
                </c:pt>
                <c:pt idx="7">
                  <c:v>5.39</c:v>
                </c:pt>
                <c:pt idx="8">
                  <c:v>6.13</c:v>
                </c:pt>
                <c:pt idx="9">
                  <c:v>6.87</c:v>
                </c:pt>
                <c:pt idx="10">
                  <c:v>7.63</c:v>
                </c:pt>
                <c:pt idx="11">
                  <c:v>8.36</c:v>
                </c:pt>
                <c:pt idx="12">
                  <c:v>9.1199999999999992</c:v>
                </c:pt>
                <c:pt idx="13">
                  <c:v>9.85</c:v>
                </c:pt>
                <c:pt idx="14">
                  <c:v>10.61</c:v>
                </c:pt>
                <c:pt idx="15">
                  <c:v>11.33</c:v>
                </c:pt>
                <c:pt idx="16">
                  <c:v>12.06</c:v>
                </c:pt>
                <c:pt idx="17">
                  <c:v>12.8</c:v>
                </c:pt>
                <c:pt idx="18">
                  <c:v>13.57</c:v>
                </c:pt>
                <c:pt idx="19">
                  <c:v>14.33</c:v>
                </c:pt>
                <c:pt idx="20">
                  <c:v>15.07</c:v>
                </c:pt>
                <c:pt idx="21">
                  <c:v>15.84</c:v>
                </c:pt>
                <c:pt idx="22">
                  <c:v>16.579999999999998</c:v>
                </c:pt>
                <c:pt idx="23">
                  <c:v>17.350000000000001</c:v>
                </c:pt>
                <c:pt idx="24">
                  <c:v>18.079999999999998</c:v>
                </c:pt>
                <c:pt idx="25">
                  <c:v>18.84</c:v>
                </c:pt>
                <c:pt idx="26">
                  <c:v>19.559999999999999</c:v>
                </c:pt>
                <c:pt idx="27">
                  <c:v>20.32</c:v>
                </c:pt>
                <c:pt idx="28">
                  <c:v>21.09</c:v>
                </c:pt>
                <c:pt idx="29">
                  <c:v>21.83</c:v>
                </c:pt>
                <c:pt idx="30">
                  <c:v>22.58</c:v>
                </c:pt>
                <c:pt idx="31">
                  <c:v>23.31</c:v>
                </c:pt>
                <c:pt idx="32">
                  <c:v>24.04</c:v>
                </c:pt>
                <c:pt idx="33">
                  <c:v>24.75</c:v>
                </c:pt>
                <c:pt idx="34">
                  <c:v>25.5</c:v>
                </c:pt>
                <c:pt idx="35">
                  <c:v>26.26</c:v>
                </c:pt>
                <c:pt idx="36">
                  <c:v>26.99</c:v>
                </c:pt>
                <c:pt idx="37">
                  <c:v>27.74</c:v>
                </c:pt>
                <c:pt idx="38">
                  <c:v>28.47</c:v>
                </c:pt>
                <c:pt idx="39">
                  <c:v>29.24</c:v>
                </c:pt>
                <c:pt idx="40">
                  <c:v>29.97</c:v>
                </c:pt>
                <c:pt idx="41">
                  <c:v>30.73</c:v>
                </c:pt>
                <c:pt idx="42">
                  <c:v>31.47</c:v>
                </c:pt>
                <c:pt idx="43">
                  <c:v>32.22</c:v>
                </c:pt>
                <c:pt idx="44">
                  <c:v>32.979999999999997</c:v>
                </c:pt>
                <c:pt idx="45">
                  <c:v>33.729999999999997</c:v>
                </c:pt>
                <c:pt idx="46">
                  <c:v>34.49</c:v>
                </c:pt>
                <c:pt idx="47">
                  <c:v>35.22</c:v>
                </c:pt>
                <c:pt idx="48">
                  <c:v>35.97</c:v>
                </c:pt>
                <c:pt idx="49">
                  <c:v>36.700000000000003</c:v>
                </c:pt>
                <c:pt idx="50">
                  <c:v>37.450000000000003</c:v>
                </c:pt>
                <c:pt idx="51">
                  <c:v>38.18</c:v>
                </c:pt>
                <c:pt idx="52">
                  <c:v>38.950000000000003</c:v>
                </c:pt>
                <c:pt idx="53">
                  <c:v>39.700000000000003</c:v>
                </c:pt>
                <c:pt idx="54">
                  <c:v>40.44</c:v>
                </c:pt>
                <c:pt idx="55">
                  <c:v>41.2</c:v>
                </c:pt>
                <c:pt idx="56">
                  <c:v>41.93</c:v>
                </c:pt>
                <c:pt idx="57">
                  <c:v>42.69</c:v>
                </c:pt>
                <c:pt idx="58">
                  <c:v>43.42</c:v>
                </c:pt>
                <c:pt idx="59">
                  <c:v>44.17</c:v>
                </c:pt>
                <c:pt idx="60">
                  <c:v>44.9</c:v>
                </c:pt>
                <c:pt idx="61">
                  <c:v>45.63</c:v>
                </c:pt>
                <c:pt idx="62">
                  <c:v>46.38</c:v>
                </c:pt>
                <c:pt idx="63">
                  <c:v>47.11</c:v>
                </c:pt>
                <c:pt idx="64">
                  <c:v>47.86</c:v>
                </c:pt>
                <c:pt idx="65">
                  <c:v>48.58</c:v>
                </c:pt>
                <c:pt idx="66">
                  <c:v>49.33</c:v>
                </c:pt>
                <c:pt idx="67">
                  <c:v>50.06</c:v>
                </c:pt>
                <c:pt idx="68">
                  <c:v>50.83</c:v>
                </c:pt>
                <c:pt idx="69">
                  <c:v>51.56</c:v>
                </c:pt>
                <c:pt idx="70">
                  <c:v>52.32</c:v>
                </c:pt>
                <c:pt idx="71">
                  <c:v>53.09</c:v>
                </c:pt>
                <c:pt idx="72">
                  <c:v>53.84</c:v>
                </c:pt>
                <c:pt idx="73">
                  <c:v>54.6</c:v>
                </c:pt>
                <c:pt idx="74">
                  <c:v>55.33</c:v>
                </c:pt>
                <c:pt idx="75">
                  <c:v>56.08</c:v>
                </c:pt>
                <c:pt idx="76">
                  <c:v>56.82</c:v>
                </c:pt>
                <c:pt idx="77">
                  <c:v>57.57</c:v>
                </c:pt>
                <c:pt idx="78">
                  <c:v>58.3</c:v>
                </c:pt>
                <c:pt idx="79">
                  <c:v>59.05</c:v>
                </c:pt>
                <c:pt idx="80">
                  <c:v>59.81</c:v>
                </c:pt>
                <c:pt idx="81">
                  <c:v>60.55</c:v>
                </c:pt>
                <c:pt idx="82">
                  <c:v>61.3</c:v>
                </c:pt>
                <c:pt idx="83">
                  <c:v>62.03</c:v>
                </c:pt>
                <c:pt idx="84">
                  <c:v>62.78</c:v>
                </c:pt>
                <c:pt idx="85">
                  <c:v>63.53</c:v>
                </c:pt>
                <c:pt idx="86">
                  <c:v>64.28</c:v>
                </c:pt>
                <c:pt idx="87">
                  <c:v>65.010000000000005</c:v>
                </c:pt>
                <c:pt idx="88">
                  <c:v>65.760000000000005</c:v>
                </c:pt>
                <c:pt idx="89">
                  <c:v>66.5</c:v>
                </c:pt>
                <c:pt idx="90">
                  <c:v>67.23</c:v>
                </c:pt>
                <c:pt idx="91">
                  <c:v>67.959999999999994</c:v>
                </c:pt>
                <c:pt idx="92">
                  <c:v>68.66</c:v>
                </c:pt>
                <c:pt idx="93">
                  <c:v>69.34</c:v>
                </c:pt>
                <c:pt idx="94">
                  <c:v>69.97</c:v>
                </c:pt>
              </c:numCache>
            </c:numRef>
          </c:xVal>
          <c:yVal>
            <c:numRef>
              <c:f>Curve!$H$2:$H$96</c:f>
              <c:numCache>
                <c:formatCode>General</c:formatCode>
                <c:ptCount val="95"/>
                <c:pt idx="0">
                  <c:v>271.12</c:v>
                </c:pt>
                <c:pt idx="1">
                  <c:v>269.60000000000002</c:v>
                </c:pt>
                <c:pt idx="2">
                  <c:v>267.83999999999997</c:v>
                </c:pt>
                <c:pt idx="3">
                  <c:v>265.8</c:v>
                </c:pt>
                <c:pt idx="4">
                  <c:v>264</c:v>
                </c:pt>
                <c:pt idx="5">
                  <c:v>261.8</c:v>
                </c:pt>
                <c:pt idx="6">
                  <c:v>259.72000000000003</c:v>
                </c:pt>
                <c:pt idx="7">
                  <c:v>257.64</c:v>
                </c:pt>
                <c:pt idx="8">
                  <c:v>255.4</c:v>
                </c:pt>
                <c:pt idx="9">
                  <c:v>253.48</c:v>
                </c:pt>
                <c:pt idx="10">
                  <c:v>251.36</c:v>
                </c:pt>
                <c:pt idx="11">
                  <c:v>249.72</c:v>
                </c:pt>
                <c:pt idx="12">
                  <c:v>247.68</c:v>
                </c:pt>
                <c:pt idx="13">
                  <c:v>246.04</c:v>
                </c:pt>
                <c:pt idx="14">
                  <c:v>244.28</c:v>
                </c:pt>
                <c:pt idx="15">
                  <c:v>242.4</c:v>
                </c:pt>
                <c:pt idx="16">
                  <c:v>240.96</c:v>
                </c:pt>
                <c:pt idx="17">
                  <c:v>239.2</c:v>
                </c:pt>
                <c:pt idx="18">
                  <c:v>237.68</c:v>
                </c:pt>
                <c:pt idx="19">
                  <c:v>236.08</c:v>
                </c:pt>
                <c:pt idx="20">
                  <c:v>234.68</c:v>
                </c:pt>
                <c:pt idx="21">
                  <c:v>233.32</c:v>
                </c:pt>
                <c:pt idx="22">
                  <c:v>232</c:v>
                </c:pt>
                <c:pt idx="23">
                  <c:v>230.88</c:v>
                </c:pt>
                <c:pt idx="24">
                  <c:v>229.76</c:v>
                </c:pt>
                <c:pt idx="25">
                  <c:v>228.8</c:v>
                </c:pt>
                <c:pt idx="26">
                  <c:v>227.8</c:v>
                </c:pt>
                <c:pt idx="27">
                  <c:v>227</c:v>
                </c:pt>
                <c:pt idx="28">
                  <c:v>226.16</c:v>
                </c:pt>
                <c:pt idx="29">
                  <c:v>225.48</c:v>
                </c:pt>
                <c:pt idx="30">
                  <c:v>224.8</c:v>
                </c:pt>
                <c:pt idx="31">
                  <c:v>224.2</c:v>
                </c:pt>
                <c:pt idx="32">
                  <c:v>223.64</c:v>
                </c:pt>
                <c:pt idx="33">
                  <c:v>223.2</c:v>
                </c:pt>
                <c:pt idx="34">
                  <c:v>222.88</c:v>
                </c:pt>
                <c:pt idx="35">
                  <c:v>222.72</c:v>
                </c:pt>
                <c:pt idx="36">
                  <c:v>222.72</c:v>
                </c:pt>
                <c:pt idx="37">
                  <c:v>222.76</c:v>
                </c:pt>
                <c:pt idx="38">
                  <c:v>222.88</c:v>
                </c:pt>
                <c:pt idx="39">
                  <c:v>223.08</c:v>
                </c:pt>
                <c:pt idx="40">
                  <c:v>223.4</c:v>
                </c:pt>
                <c:pt idx="41">
                  <c:v>223.88</c:v>
                </c:pt>
                <c:pt idx="42">
                  <c:v>224.28</c:v>
                </c:pt>
                <c:pt idx="43">
                  <c:v>224.84</c:v>
                </c:pt>
                <c:pt idx="44">
                  <c:v>225.32</c:v>
                </c:pt>
                <c:pt idx="45">
                  <c:v>225.92</c:v>
                </c:pt>
                <c:pt idx="46">
                  <c:v>226.48</c:v>
                </c:pt>
                <c:pt idx="47">
                  <c:v>227.32</c:v>
                </c:pt>
                <c:pt idx="48">
                  <c:v>228.12</c:v>
                </c:pt>
                <c:pt idx="49">
                  <c:v>229</c:v>
                </c:pt>
                <c:pt idx="50">
                  <c:v>230.12</c:v>
                </c:pt>
                <c:pt idx="51">
                  <c:v>231.48</c:v>
                </c:pt>
                <c:pt idx="52">
                  <c:v>232.84</c:v>
                </c:pt>
                <c:pt idx="53">
                  <c:v>234.6</c:v>
                </c:pt>
                <c:pt idx="54">
                  <c:v>236.24</c:v>
                </c:pt>
                <c:pt idx="55">
                  <c:v>238.2</c:v>
                </c:pt>
                <c:pt idx="56">
                  <c:v>240.04</c:v>
                </c:pt>
                <c:pt idx="57">
                  <c:v>242.2</c:v>
                </c:pt>
                <c:pt idx="58">
                  <c:v>244.36</c:v>
                </c:pt>
                <c:pt idx="59">
                  <c:v>246.28</c:v>
                </c:pt>
                <c:pt idx="60">
                  <c:v>248.72</c:v>
                </c:pt>
                <c:pt idx="61">
                  <c:v>251</c:v>
                </c:pt>
                <c:pt idx="62">
                  <c:v>253.52</c:v>
                </c:pt>
                <c:pt idx="63">
                  <c:v>255.72</c:v>
                </c:pt>
                <c:pt idx="64">
                  <c:v>258.44</c:v>
                </c:pt>
                <c:pt idx="65">
                  <c:v>261.27999999999997</c:v>
                </c:pt>
                <c:pt idx="66">
                  <c:v>264.39999999999998</c:v>
                </c:pt>
                <c:pt idx="67">
                  <c:v>267.76</c:v>
                </c:pt>
                <c:pt idx="68">
                  <c:v>270.95999999999998</c:v>
                </c:pt>
                <c:pt idx="69">
                  <c:v>274.60000000000002</c:v>
                </c:pt>
                <c:pt idx="70">
                  <c:v>278.24</c:v>
                </c:pt>
                <c:pt idx="71">
                  <c:v>282.04000000000002</c:v>
                </c:pt>
                <c:pt idx="72">
                  <c:v>285.95999999999998</c:v>
                </c:pt>
                <c:pt idx="73">
                  <c:v>290.16000000000003</c:v>
                </c:pt>
                <c:pt idx="74">
                  <c:v>294.64</c:v>
                </c:pt>
                <c:pt idx="75">
                  <c:v>299.12</c:v>
                </c:pt>
                <c:pt idx="76">
                  <c:v>304.27999999999997</c:v>
                </c:pt>
                <c:pt idx="77">
                  <c:v>309.36</c:v>
                </c:pt>
                <c:pt idx="78">
                  <c:v>314.88</c:v>
                </c:pt>
                <c:pt idx="79">
                  <c:v>320.88</c:v>
                </c:pt>
                <c:pt idx="80">
                  <c:v>326.83999999999997</c:v>
                </c:pt>
                <c:pt idx="81">
                  <c:v>333.64</c:v>
                </c:pt>
                <c:pt idx="82">
                  <c:v>340.76</c:v>
                </c:pt>
                <c:pt idx="83">
                  <c:v>348.56</c:v>
                </c:pt>
                <c:pt idx="84">
                  <c:v>356.36</c:v>
                </c:pt>
                <c:pt idx="85">
                  <c:v>364.56</c:v>
                </c:pt>
                <c:pt idx="86">
                  <c:v>374</c:v>
                </c:pt>
                <c:pt idx="87">
                  <c:v>383.64</c:v>
                </c:pt>
                <c:pt idx="88">
                  <c:v>395.04</c:v>
                </c:pt>
                <c:pt idx="89">
                  <c:v>399</c:v>
                </c:pt>
                <c:pt idx="90">
                  <c:v>399</c:v>
                </c:pt>
                <c:pt idx="91">
                  <c:v>399</c:v>
                </c:pt>
                <c:pt idx="92">
                  <c:v>399</c:v>
                </c:pt>
                <c:pt idx="93">
                  <c:v>399</c:v>
                </c:pt>
                <c:pt idx="94">
                  <c:v>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78C-4EDF-A25C-492072EB35EB}"/>
            </c:ext>
          </c:extLst>
        </c:ser>
        <c:ser>
          <c:idx val="6"/>
          <c:order val="3"/>
          <c:tx>
            <c:strRef>
              <c:f>Curve!$I$1</c:f>
              <c:strCache>
                <c:ptCount val="1"/>
                <c:pt idx="0">
                  <c:v>[CH5_DDMI_Opr_Bias]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Curve!$A$2:$A$96</c:f>
              <c:numCache>
                <c:formatCode>General</c:formatCode>
                <c:ptCount val="95"/>
                <c:pt idx="0">
                  <c:v>0.2</c:v>
                </c:pt>
                <c:pt idx="1">
                  <c:v>0.96</c:v>
                </c:pt>
                <c:pt idx="2">
                  <c:v>1.7</c:v>
                </c:pt>
                <c:pt idx="3">
                  <c:v>2.4300000000000002</c:v>
                </c:pt>
                <c:pt idx="4">
                  <c:v>3.16</c:v>
                </c:pt>
                <c:pt idx="5">
                  <c:v>3.91</c:v>
                </c:pt>
                <c:pt idx="6">
                  <c:v>4.6399999999999997</c:v>
                </c:pt>
                <c:pt idx="7">
                  <c:v>5.39</c:v>
                </c:pt>
                <c:pt idx="8">
                  <c:v>6.13</c:v>
                </c:pt>
                <c:pt idx="9">
                  <c:v>6.87</c:v>
                </c:pt>
                <c:pt idx="10">
                  <c:v>7.63</c:v>
                </c:pt>
                <c:pt idx="11">
                  <c:v>8.36</c:v>
                </c:pt>
                <c:pt idx="12">
                  <c:v>9.1199999999999992</c:v>
                </c:pt>
                <c:pt idx="13">
                  <c:v>9.85</c:v>
                </c:pt>
                <c:pt idx="14">
                  <c:v>10.61</c:v>
                </c:pt>
                <c:pt idx="15">
                  <c:v>11.33</c:v>
                </c:pt>
                <c:pt idx="16">
                  <c:v>12.06</c:v>
                </c:pt>
                <c:pt idx="17">
                  <c:v>12.8</c:v>
                </c:pt>
                <c:pt idx="18">
                  <c:v>13.57</c:v>
                </c:pt>
                <c:pt idx="19">
                  <c:v>14.33</c:v>
                </c:pt>
                <c:pt idx="20">
                  <c:v>15.07</c:v>
                </c:pt>
                <c:pt idx="21">
                  <c:v>15.84</c:v>
                </c:pt>
                <c:pt idx="22">
                  <c:v>16.579999999999998</c:v>
                </c:pt>
                <c:pt idx="23">
                  <c:v>17.350000000000001</c:v>
                </c:pt>
                <c:pt idx="24">
                  <c:v>18.079999999999998</c:v>
                </c:pt>
                <c:pt idx="25">
                  <c:v>18.84</c:v>
                </c:pt>
                <c:pt idx="26">
                  <c:v>19.559999999999999</c:v>
                </c:pt>
                <c:pt idx="27">
                  <c:v>20.32</c:v>
                </c:pt>
                <c:pt idx="28">
                  <c:v>21.09</c:v>
                </c:pt>
                <c:pt idx="29">
                  <c:v>21.83</c:v>
                </c:pt>
                <c:pt idx="30">
                  <c:v>22.58</c:v>
                </c:pt>
                <c:pt idx="31">
                  <c:v>23.31</c:v>
                </c:pt>
                <c:pt idx="32">
                  <c:v>24.04</c:v>
                </c:pt>
                <c:pt idx="33">
                  <c:v>24.75</c:v>
                </c:pt>
                <c:pt idx="34">
                  <c:v>25.5</c:v>
                </c:pt>
                <c:pt idx="35">
                  <c:v>26.26</c:v>
                </c:pt>
                <c:pt idx="36">
                  <c:v>26.99</c:v>
                </c:pt>
                <c:pt idx="37">
                  <c:v>27.74</c:v>
                </c:pt>
                <c:pt idx="38">
                  <c:v>28.47</c:v>
                </c:pt>
                <c:pt idx="39">
                  <c:v>29.24</c:v>
                </c:pt>
                <c:pt idx="40">
                  <c:v>29.97</c:v>
                </c:pt>
                <c:pt idx="41">
                  <c:v>30.73</c:v>
                </c:pt>
                <c:pt idx="42">
                  <c:v>31.47</c:v>
                </c:pt>
                <c:pt idx="43">
                  <c:v>32.22</c:v>
                </c:pt>
                <c:pt idx="44">
                  <c:v>32.979999999999997</c:v>
                </c:pt>
                <c:pt idx="45">
                  <c:v>33.729999999999997</c:v>
                </c:pt>
                <c:pt idx="46">
                  <c:v>34.49</c:v>
                </c:pt>
                <c:pt idx="47">
                  <c:v>35.22</c:v>
                </c:pt>
                <c:pt idx="48">
                  <c:v>35.97</c:v>
                </c:pt>
                <c:pt idx="49">
                  <c:v>36.700000000000003</c:v>
                </c:pt>
                <c:pt idx="50">
                  <c:v>37.450000000000003</c:v>
                </c:pt>
                <c:pt idx="51">
                  <c:v>38.18</c:v>
                </c:pt>
                <c:pt idx="52">
                  <c:v>38.950000000000003</c:v>
                </c:pt>
                <c:pt idx="53">
                  <c:v>39.700000000000003</c:v>
                </c:pt>
                <c:pt idx="54">
                  <c:v>40.44</c:v>
                </c:pt>
                <c:pt idx="55">
                  <c:v>41.2</c:v>
                </c:pt>
                <c:pt idx="56">
                  <c:v>41.93</c:v>
                </c:pt>
                <c:pt idx="57">
                  <c:v>42.69</c:v>
                </c:pt>
                <c:pt idx="58">
                  <c:v>43.42</c:v>
                </c:pt>
                <c:pt idx="59">
                  <c:v>44.17</c:v>
                </c:pt>
                <c:pt idx="60">
                  <c:v>44.9</c:v>
                </c:pt>
                <c:pt idx="61">
                  <c:v>45.63</c:v>
                </c:pt>
                <c:pt idx="62">
                  <c:v>46.38</c:v>
                </c:pt>
                <c:pt idx="63">
                  <c:v>47.11</c:v>
                </c:pt>
                <c:pt idx="64">
                  <c:v>47.86</c:v>
                </c:pt>
                <c:pt idx="65">
                  <c:v>48.58</c:v>
                </c:pt>
                <c:pt idx="66">
                  <c:v>49.33</c:v>
                </c:pt>
                <c:pt idx="67">
                  <c:v>50.06</c:v>
                </c:pt>
                <c:pt idx="68">
                  <c:v>50.83</c:v>
                </c:pt>
                <c:pt idx="69">
                  <c:v>51.56</c:v>
                </c:pt>
                <c:pt idx="70">
                  <c:v>52.32</c:v>
                </c:pt>
                <c:pt idx="71">
                  <c:v>53.09</c:v>
                </c:pt>
                <c:pt idx="72">
                  <c:v>53.84</c:v>
                </c:pt>
                <c:pt idx="73">
                  <c:v>54.6</c:v>
                </c:pt>
                <c:pt idx="74">
                  <c:v>55.33</c:v>
                </c:pt>
                <c:pt idx="75">
                  <c:v>56.08</c:v>
                </c:pt>
                <c:pt idx="76">
                  <c:v>56.82</c:v>
                </c:pt>
                <c:pt idx="77">
                  <c:v>57.57</c:v>
                </c:pt>
                <c:pt idx="78">
                  <c:v>58.3</c:v>
                </c:pt>
                <c:pt idx="79">
                  <c:v>59.05</c:v>
                </c:pt>
                <c:pt idx="80">
                  <c:v>59.81</c:v>
                </c:pt>
                <c:pt idx="81">
                  <c:v>60.55</c:v>
                </c:pt>
                <c:pt idx="82">
                  <c:v>61.3</c:v>
                </c:pt>
                <c:pt idx="83">
                  <c:v>62.03</c:v>
                </c:pt>
                <c:pt idx="84">
                  <c:v>62.78</c:v>
                </c:pt>
                <c:pt idx="85">
                  <c:v>63.53</c:v>
                </c:pt>
                <c:pt idx="86">
                  <c:v>64.28</c:v>
                </c:pt>
                <c:pt idx="87">
                  <c:v>65.010000000000005</c:v>
                </c:pt>
                <c:pt idx="88">
                  <c:v>65.760000000000005</c:v>
                </c:pt>
                <c:pt idx="89">
                  <c:v>66.5</c:v>
                </c:pt>
                <c:pt idx="90">
                  <c:v>67.23</c:v>
                </c:pt>
                <c:pt idx="91">
                  <c:v>67.959999999999994</c:v>
                </c:pt>
                <c:pt idx="92">
                  <c:v>68.66</c:v>
                </c:pt>
                <c:pt idx="93">
                  <c:v>69.34</c:v>
                </c:pt>
                <c:pt idx="94">
                  <c:v>69.97</c:v>
                </c:pt>
              </c:numCache>
            </c:numRef>
          </c:xVal>
          <c:yVal>
            <c:numRef>
              <c:f>Curve!$I$2:$I$96</c:f>
              <c:numCache>
                <c:formatCode>General</c:formatCode>
                <c:ptCount val="95"/>
                <c:pt idx="0">
                  <c:v>352.24</c:v>
                </c:pt>
                <c:pt idx="1">
                  <c:v>351.84</c:v>
                </c:pt>
                <c:pt idx="2">
                  <c:v>351.28</c:v>
                </c:pt>
                <c:pt idx="3">
                  <c:v>350.48</c:v>
                </c:pt>
                <c:pt idx="4">
                  <c:v>349.64</c:v>
                </c:pt>
                <c:pt idx="5">
                  <c:v>348.64</c:v>
                </c:pt>
                <c:pt idx="6">
                  <c:v>347.64</c:v>
                </c:pt>
                <c:pt idx="7">
                  <c:v>346.6</c:v>
                </c:pt>
                <c:pt idx="8">
                  <c:v>345.36</c:v>
                </c:pt>
                <c:pt idx="9">
                  <c:v>344.08</c:v>
                </c:pt>
                <c:pt idx="10">
                  <c:v>342.72</c:v>
                </c:pt>
                <c:pt idx="11">
                  <c:v>341.36</c:v>
                </c:pt>
                <c:pt idx="12">
                  <c:v>339.88</c:v>
                </c:pt>
                <c:pt idx="13">
                  <c:v>338.36</c:v>
                </c:pt>
                <c:pt idx="14">
                  <c:v>336.8</c:v>
                </c:pt>
                <c:pt idx="15">
                  <c:v>335.44</c:v>
                </c:pt>
                <c:pt idx="16">
                  <c:v>334.04</c:v>
                </c:pt>
                <c:pt idx="17">
                  <c:v>332.68</c:v>
                </c:pt>
                <c:pt idx="18">
                  <c:v>331.4</c:v>
                </c:pt>
                <c:pt idx="19">
                  <c:v>330.16</c:v>
                </c:pt>
                <c:pt idx="20">
                  <c:v>328.96</c:v>
                </c:pt>
                <c:pt idx="21">
                  <c:v>327.8</c:v>
                </c:pt>
                <c:pt idx="22">
                  <c:v>326.72000000000003</c:v>
                </c:pt>
                <c:pt idx="23">
                  <c:v>325.68</c:v>
                </c:pt>
                <c:pt idx="24">
                  <c:v>324.76</c:v>
                </c:pt>
                <c:pt idx="25">
                  <c:v>323.88</c:v>
                </c:pt>
                <c:pt idx="26">
                  <c:v>323.12</c:v>
                </c:pt>
                <c:pt idx="27">
                  <c:v>322.32</c:v>
                </c:pt>
                <c:pt idx="28">
                  <c:v>321.8</c:v>
                </c:pt>
                <c:pt idx="29">
                  <c:v>321.32</c:v>
                </c:pt>
                <c:pt idx="30">
                  <c:v>320.95999999999998</c:v>
                </c:pt>
                <c:pt idx="31">
                  <c:v>320.64</c:v>
                </c:pt>
                <c:pt idx="32">
                  <c:v>320.48</c:v>
                </c:pt>
                <c:pt idx="33">
                  <c:v>320.44</c:v>
                </c:pt>
                <c:pt idx="34">
                  <c:v>320.48</c:v>
                </c:pt>
                <c:pt idx="35">
                  <c:v>320.68</c:v>
                </c:pt>
                <c:pt idx="36">
                  <c:v>321</c:v>
                </c:pt>
                <c:pt idx="37">
                  <c:v>321.39999999999998</c:v>
                </c:pt>
                <c:pt idx="38">
                  <c:v>321.88</c:v>
                </c:pt>
                <c:pt idx="39">
                  <c:v>322.52</c:v>
                </c:pt>
                <c:pt idx="40">
                  <c:v>323.16000000000003</c:v>
                </c:pt>
                <c:pt idx="41">
                  <c:v>324</c:v>
                </c:pt>
                <c:pt idx="42">
                  <c:v>324.8</c:v>
                </c:pt>
                <c:pt idx="43">
                  <c:v>325.72000000000003</c:v>
                </c:pt>
                <c:pt idx="44">
                  <c:v>326.76</c:v>
                </c:pt>
                <c:pt idx="45">
                  <c:v>327.84</c:v>
                </c:pt>
                <c:pt idx="46">
                  <c:v>329.2</c:v>
                </c:pt>
                <c:pt idx="47">
                  <c:v>330.6</c:v>
                </c:pt>
                <c:pt idx="48">
                  <c:v>332.24</c:v>
                </c:pt>
                <c:pt idx="49">
                  <c:v>333.8</c:v>
                </c:pt>
                <c:pt idx="50">
                  <c:v>335.92</c:v>
                </c:pt>
                <c:pt idx="51">
                  <c:v>338.16</c:v>
                </c:pt>
                <c:pt idx="52">
                  <c:v>340.36</c:v>
                </c:pt>
                <c:pt idx="53">
                  <c:v>343</c:v>
                </c:pt>
                <c:pt idx="54">
                  <c:v>345.6</c:v>
                </c:pt>
                <c:pt idx="55">
                  <c:v>348.52</c:v>
                </c:pt>
                <c:pt idx="56">
                  <c:v>351.32</c:v>
                </c:pt>
                <c:pt idx="57">
                  <c:v>354.4</c:v>
                </c:pt>
                <c:pt idx="58">
                  <c:v>357.32</c:v>
                </c:pt>
                <c:pt idx="59">
                  <c:v>360.36</c:v>
                </c:pt>
                <c:pt idx="60">
                  <c:v>364.04</c:v>
                </c:pt>
                <c:pt idx="61">
                  <c:v>367.64</c:v>
                </c:pt>
                <c:pt idx="62">
                  <c:v>371.6</c:v>
                </c:pt>
                <c:pt idx="63">
                  <c:v>375.68</c:v>
                </c:pt>
                <c:pt idx="64">
                  <c:v>380.32</c:v>
                </c:pt>
                <c:pt idx="65">
                  <c:v>385.36</c:v>
                </c:pt>
                <c:pt idx="66">
                  <c:v>390.88</c:v>
                </c:pt>
                <c:pt idx="67">
                  <c:v>396.44</c:v>
                </c:pt>
                <c:pt idx="68">
                  <c:v>399</c:v>
                </c:pt>
                <c:pt idx="69">
                  <c:v>399</c:v>
                </c:pt>
                <c:pt idx="70">
                  <c:v>399</c:v>
                </c:pt>
                <c:pt idx="71">
                  <c:v>399</c:v>
                </c:pt>
                <c:pt idx="72">
                  <c:v>399</c:v>
                </c:pt>
                <c:pt idx="73">
                  <c:v>399</c:v>
                </c:pt>
                <c:pt idx="74">
                  <c:v>399</c:v>
                </c:pt>
                <c:pt idx="75">
                  <c:v>399</c:v>
                </c:pt>
                <c:pt idx="76">
                  <c:v>399</c:v>
                </c:pt>
                <c:pt idx="77">
                  <c:v>399</c:v>
                </c:pt>
                <c:pt idx="78">
                  <c:v>399</c:v>
                </c:pt>
                <c:pt idx="79">
                  <c:v>399</c:v>
                </c:pt>
                <c:pt idx="80">
                  <c:v>399</c:v>
                </c:pt>
                <c:pt idx="81">
                  <c:v>399</c:v>
                </c:pt>
                <c:pt idx="82">
                  <c:v>399</c:v>
                </c:pt>
                <c:pt idx="83">
                  <c:v>399</c:v>
                </c:pt>
                <c:pt idx="84">
                  <c:v>399</c:v>
                </c:pt>
                <c:pt idx="85">
                  <c:v>399</c:v>
                </c:pt>
                <c:pt idx="86">
                  <c:v>399</c:v>
                </c:pt>
                <c:pt idx="87">
                  <c:v>399</c:v>
                </c:pt>
                <c:pt idx="88">
                  <c:v>399</c:v>
                </c:pt>
                <c:pt idx="89">
                  <c:v>399</c:v>
                </c:pt>
                <c:pt idx="90">
                  <c:v>399</c:v>
                </c:pt>
                <c:pt idx="91">
                  <c:v>399</c:v>
                </c:pt>
                <c:pt idx="92">
                  <c:v>399</c:v>
                </c:pt>
                <c:pt idx="93">
                  <c:v>399</c:v>
                </c:pt>
                <c:pt idx="94">
                  <c:v>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78C-4EDF-A25C-492072EB3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1626335"/>
        <c:axId val="1691627999"/>
      </c:scatterChart>
      <c:valAx>
        <c:axId val="350937488"/>
        <c:scaling>
          <c:orientation val="minMax"/>
          <c:max val="7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Case_Temp (℃)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947840"/>
        <c:crosses val="autoZero"/>
        <c:crossBetween val="midCat"/>
        <c:majorUnit val="5"/>
      </c:valAx>
      <c:valAx>
        <c:axId val="356947840"/>
        <c:scaling>
          <c:orientation val="minMax"/>
          <c:max val="8"/>
          <c:min val="-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dBm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937488"/>
        <c:crosses val="autoZero"/>
        <c:crossBetween val="midCat"/>
        <c:majorUnit val="1"/>
      </c:valAx>
      <c:valAx>
        <c:axId val="16916263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91627999"/>
        <c:crosses val="autoZero"/>
        <c:crossBetween val="midCat"/>
      </c:valAx>
      <c:valAx>
        <c:axId val="1691627999"/>
        <c:scaling>
          <c:orientation val="minMax"/>
          <c:min val="8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Bias(mA)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626335"/>
        <c:crosses val="max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TXP_Max Bias</a:t>
            </a:r>
            <a:endParaRPr lang="zh-TW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3"/>
          <c:order val="0"/>
          <c:tx>
            <c:strRef>
              <c:f>Curve!$M$1</c:f>
              <c:strCache>
                <c:ptCount val="1"/>
                <c:pt idx="0">
                  <c:v>[CH1_Max_TxP]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Curve!$E$2:$E$95</c:f>
              <c:numCache>
                <c:formatCode>General</c:formatCode>
                <c:ptCount val="94"/>
                <c:pt idx="0">
                  <c:v>69.760000000000005</c:v>
                </c:pt>
                <c:pt idx="1">
                  <c:v>69.010000000000005</c:v>
                </c:pt>
                <c:pt idx="2">
                  <c:v>68.260000000000005</c:v>
                </c:pt>
                <c:pt idx="3">
                  <c:v>67.510000000000005</c:v>
                </c:pt>
                <c:pt idx="4">
                  <c:v>66.78</c:v>
                </c:pt>
                <c:pt idx="5">
                  <c:v>66.040000000000006</c:v>
                </c:pt>
                <c:pt idx="6">
                  <c:v>65.31</c:v>
                </c:pt>
                <c:pt idx="7">
                  <c:v>64.569999999999993</c:v>
                </c:pt>
                <c:pt idx="8">
                  <c:v>63.84</c:v>
                </c:pt>
                <c:pt idx="9">
                  <c:v>63.09</c:v>
                </c:pt>
                <c:pt idx="10">
                  <c:v>62.37</c:v>
                </c:pt>
                <c:pt idx="11">
                  <c:v>61.62</c:v>
                </c:pt>
                <c:pt idx="12">
                  <c:v>60.89</c:v>
                </c:pt>
                <c:pt idx="13">
                  <c:v>60.12</c:v>
                </c:pt>
                <c:pt idx="14">
                  <c:v>59.35</c:v>
                </c:pt>
                <c:pt idx="15">
                  <c:v>58.59</c:v>
                </c:pt>
                <c:pt idx="16">
                  <c:v>57.84</c:v>
                </c:pt>
                <c:pt idx="17">
                  <c:v>57.11</c:v>
                </c:pt>
                <c:pt idx="18">
                  <c:v>56.35</c:v>
                </c:pt>
                <c:pt idx="19">
                  <c:v>55.61</c:v>
                </c:pt>
                <c:pt idx="20">
                  <c:v>54.86</c:v>
                </c:pt>
                <c:pt idx="21">
                  <c:v>54.1</c:v>
                </c:pt>
                <c:pt idx="22">
                  <c:v>53.36</c:v>
                </c:pt>
                <c:pt idx="23">
                  <c:v>52.6</c:v>
                </c:pt>
                <c:pt idx="24">
                  <c:v>51.88</c:v>
                </c:pt>
                <c:pt idx="25">
                  <c:v>51.12</c:v>
                </c:pt>
                <c:pt idx="26">
                  <c:v>50.38</c:v>
                </c:pt>
                <c:pt idx="27">
                  <c:v>49.64</c:v>
                </c:pt>
                <c:pt idx="28">
                  <c:v>48.91</c:v>
                </c:pt>
                <c:pt idx="29">
                  <c:v>48.15</c:v>
                </c:pt>
                <c:pt idx="30">
                  <c:v>47.4</c:v>
                </c:pt>
                <c:pt idx="31">
                  <c:v>46.65</c:v>
                </c:pt>
                <c:pt idx="32">
                  <c:v>45.9</c:v>
                </c:pt>
                <c:pt idx="33">
                  <c:v>45.17</c:v>
                </c:pt>
                <c:pt idx="34">
                  <c:v>44.44</c:v>
                </c:pt>
                <c:pt idx="35">
                  <c:v>43.72</c:v>
                </c:pt>
                <c:pt idx="36">
                  <c:v>42.98</c:v>
                </c:pt>
                <c:pt idx="37">
                  <c:v>42.25</c:v>
                </c:pt>
                <c:pt idx="38">
                  <c:v>41.5</c:v>
                </c:pt>
                <c:pt idx="39">
                  <c:v>40.74</c:v>
                </c:pt>
                <c:pt idx="40">
                  <c:v>40</c:v>
                </c:pt>
                <c:pt idx="41">
                  <c:v>39.24</c:v>
                </c:pt>
                <c:pt idx="42">
                  <c:v>38.51</c:v>
                </c:pt>
                <c:pt idx="43">
                  <c:v>37.74</c:v>
                </c:pt>
                <c:pt idx="44">
                  <c:v>37.01</c:v>
                </c:pt>
                <c:pt idx="45">
                  <c:v>36.26</c:v>
                </c:pt>
                <c:pt idx="46">
                  <c:v>35.53</c:v>
                </c:pt>
                <c:pt idx="47">
                  <c:v>34.78</c:v>
                </c:pt>
                <c:pt idx="48">
                  <c:v>34</c:v>
                </c:pt>
                <c:pt idx="49">
                  <c:v>33.26</c:v>
                </c:pt>
                <c:pt idx="50">
                  <c:v>32.51</c:v>
                </c:pt>
                <c:pt idx="51">
                  <c:v>31.78</c:v>
                </c:pt>
                <c:pt idx="52">
                  <c:v>31.03</c:v>
                </c:pt>
                <c:pt idx="53">
                  <c:v>30.3</c:v>
                </c:pt>
                <c:pt idx="54">
                  <c:v>29.54</c:v>
                </c:pt>
                <c:pt idx="55">
                  <c:v>28.81</c:v>
                </c:pt>
                <c:pt idx="56">
                  <c:v>28.06</c:v>
                </c:pt>
                <c:pt idx="57">
                  <c:v>27.3</c:v>
                </c:pt>
                <c:pt idx="58">
                  <c:v>26.57</c:v>
                </c:pt>
                <c:pt idx="59">
                  <c:v>25.81</c:v>
                </c:pt>
                <c:pt idx="60">
                  <c:v>25.09</c:v>
                </c:pt>
                <c:pt idx="61">
                  <c:v>24.32</c:v>
                </c:pt>
                <c:pt idx="62">
                  <c:v>23.61</c:v>
                </c:pt>
                <c:pt idx="63">
                  <c:v>22.89</c:v>
                </c:pt>
                <c:pt idx="64">
                  <c:v>22.15</c:v>
                </c:pt>
                <c:pt idx="65">
                  <c:v>21.39</c:v>
                </c:pt>
                <c:pt idx="66">
                  <c:v>20.63</c:v>
                </c:pt>
                <c:pt idx="67">
                  <c:v>19.899999999999999</c:v>
                </c:pt>
                <c:pt idx="68">
                  <c:v>19.149999999999999</c:v>
                </c:pt>
                <c:pt idx="69">
                  <c:v>18.420000000000002</c:v>
                </c:pt>
                <c:pt idx="70">
                  <c:v>17.66</c:v>
                </c:pt>
                <c:pt idx="71">
                  <c:v>16.920000000000002</c:v>
                </c:pt>
                <c:pt idx="72">
                  <c:v>16.149999999999999</c:v>
                </c:pt>
                <c:pt idx="73">
                  <c:v>15.42</c:v>
                </c:pt>
                <c:pt idx="74">
                  <c:v>14.67</c:v>
                </c:pt>
                <c:pt idx="75">
                  <c:v>13.9</c:v>
                </c:pt>
                <c:pt idx="76">
                  <c:v>13.17</c:v>
                </c:pt>
                <c:pt idx="77">
                  <c:v>12.41</c:v>
                </c:pt>
                <c:pt idx="78">
                  <c:v>11.69</c:v>
                </c:pt>
                <c:pt idx="79">
                  <c:v>10.94</c:v>
                </c:pt>
                <c:pt idx="80">
                  <c:v>10.210000000000001</c:v>
                </c:pt>
                <c:pt idx="81">
                  <c:v>9.4499999999999993</c:v>
                </c:pt>
                <c:pt idx="82">
                  <c:v>8.7200000000000006</c:v>
                </c:pt>
                <c:pt idx="83">
                  <c:v>7.97</c:v>
                </c:pt>
                <c:pt idx="84">
                  <c:v>7.21</c:v>
                </c:pt>
                <c:pt idx="85">
                  <c:v>6.48</c:v>
                </c:pt>
                <c:pt idx="86">
                  <c:v>5.73</c:v>
                </c:pt>
                <c:pt idx="87">
                  <c:v>4.99</c:v>
                </c:pt>
                <c:pt idx="88">
                  <c:v>4.24</c:v>
                </c:pt>
                <c:pt idx="89">
                  <c:v>3.51</c:v>
                </c:pt>
                <c:pt idx="90">
                  <c:v>2.76</c:v>
                </c:pt>
                <c:pt idx="91">
                  <c:v>2.0299999999999998</c:v>
                </c:pt>
                <c:pt idx="92">
                  <c:v>1.3</c:v>
                </c:pt>
                <c:pt idx="93">
                  <c:v>0.54</c:v>
                </c:pt>
              </c:numCache>
            </c:numRef>
          </c:xVal>
          <c:yVal>
            <c:numRef>
              <c:f>Curve!$M$2:$M$96</c:f>
              <c:numCache>
                <c:formatCode>General</c:formatCode>
                <c:ptCount val="95"/>
                <c:pt idx="0">
                  <c:v>-2.15</c:v>
                </c:pt>
                <c:pt idx="1">
                  <c:v>-1.9</c:v>
                </c:pt>
                <c:pt idx="2">
                  <c:v>-1.7</c:v>
                </c:pt>
                <c:pt idx="3">
                  <c:v>-1.47</c:v>
                </c:pt>
                <c:pt idx="4">
                  <c:v>-1.23</c:v>
                </c:pt>
                <c:pt idx="5">
                  <c:v>-0.98</c:v>
                </c:pt>
                <c:pt idx="6">
                  <c:v>-0.66</c:v>
                </c:pt>
                <c:pt idx="7">
                  <c:v>-0.51</c:v>
                </c:pt>
                <c:pt idx="8">
                  <c:v>-0.35</c:v>
                </c:pt>
                <c:pt idx="9">
                  <c:v>-0.1</c:v>
                </c:pt>
                <c:pt idx="10">
                  <c:v>0.13</c:v>
                </c:pt>
                <c:pt idx="11">
                  <c:v>0.31</c:v>
                </c:pt>
                <c:pt idx="12">
                  <c:v>0.48</c:v>
                </c:pt>
                <c:pt idx="13">
                  <c:v>0.77</c:v>
                </c:pt>
                <c:pt idx="14">
                  <c:v>1.02</c:v>
                </c:pt>
                <c:pt idx="15">
                  <c:v>1.25</c:v>
                </c:pt>
                <c:pt idx="16">
                  <c:v>1.41</c:v>
                </c:pt>
                <c:pt idx="17">
                  <c:v>1.62</c:v>
                </c:pt>
                <c:pt idx="18">
                  <c:v>1.75</c:v>
                </c:pt>
                <c:pt idx="19">
                  <c:v>1.93</c:v>
                </c:pt>
                <c:pt idx="20">
                  <c:v>2.17</c:v>
                </c:pt>
                <c:pt idx="21">
                  <c:v>2.37</c:v>
                </c:pt>
                <c:pt idx="22">
                  <c:v>2.5099999999999998</c:v>
                </c:pt>
                <c:pt idx="23">
                  <c:v>2.74</c:v>
                </c:pt>
                <c:pt idx="24">
                  <c:v>2.94</c:v>
                </c:pt>
                <c:pt idx="25">
                  <c:v>3.05</c:v>
                </c:pt>
                <c:pt idx="26">
                  <c:v>3.24</c:v>
                </c:pt>
                <c:pt idx="27">
                  <c:v>3.36</c:v>
                </c:pt>
                <c:pt idx="28">
                  <c:v>3.49</c:v>
                </c:pt>
                <c:pt idx="29">
                  <c:v>3.72</c:v>
                </c:pt>
                <c:pt idx="30">
                  <c:v>3.9</c:v>
                </c:pt>
                <c:pt idx="31">
                  <c:v>4.05</c:v>
                </c:pt>
                <c:pt idx="32">
                  <c:v>4.16</c:v>
                </c:pt>
                <c:pt idx="33">
                  <c:v>4.34</c:v>
                </c:pt>
                <c:pt idx="34">
                  <c:v>4.47</c:v>
                </c:pt>
                <c:pt idx="35">
                  <c:v>4.59</c:v>
                </c:pt>
                <c:pt idx="36">
                  <c:v>4.79</c:v>
                </c:pt>
                <c:pt idx="37">
                  <c:v>4.9000000000000004</c:v>
                </c:pt>
                <c:pt idx="38">
                  <c:v>4.96</c:v>
                </c:pt>
                <c:pt idx="39">
                  <c:v>5.15</c:v>
                </c:pt>
                <c:pt idx="40">
                  <c:v>5.27</c:v>
                </c:pt>
                <c:pt idx="41">
                  <c:v>5.35</c:v>
                </c:pt>
                <c:pt idx="42">
                  <c:v>5.48</c:v>
                </c:pt>
                <c:pt idx="43">
                  <c:v>5.6</c:v>
                </c:pt>
                <c:pt idx="44">
                  <c:v>5.67</c:v>
                </c:pt>
                <c:pt idx="45">
                  <c:v>5.75</c:v>
                </c:pt>
                <c:pt idx="46">
                  <c:v>5.8</c:v>
                </c:pt>
                <c:pt idx="47">
                  <c:v>5.96</c:v>
                </c:pt>
                <c:pt idx="48">
                  <c:v>6.11</c:v>
                </c:pt>
                <c:pt idx="49">
                  <c:v>6.19</c:v>
                </c:pt>
                <c:pt idx="50">
                  <c:v>6.28</c:v>
                </c:pt>
                <c:pt idx="51">
                  <c:v>6.3</c:v>
                </c:pt>
                <c:pt idx="52">
                  <c:v>6.33</c:v>
                </c:pt>
                <c:pt idx="53">
                  <c:v>6.48</c:v>
                </c:pt>
                <c:pt idx="54">
                  <c:v>6.6</c:v>
                </c:pt>
                <c:pt idx="55">
                  <c:v>6.66</c:v>
                </c:pt>
                <c:pt idx="56">
                  <c:v>6.8</c:v>
                </c:pt>
                <c:pt idx="57">
                  <c:v>6.9</c:v>
                </c:pt>
                <c:pt idx="58">
                  <c:v>6.92</c:v>
                </c:pt>
                <c:pt idx="59">
                  <c:v>6.95</c:v>
                </c:pt>
                <c:pt idx="60">
                  <c:v>7.05</c:v>
                </c:pt>
                <c:pt idx="61">
                  <c:v>6.97</c:v>
                </c:pt>
                <c:pt idx="62">
                  <c:v>7.12</c:v>
                </c:pt>
                <c:pt idx="63">
                  <c:v>7.2</c:v>
                </c:pt>
                <c:pt idx="64">
                  <c:v>7.13</c:v>
                </c:pt>
                <c:pt idx="65">
                  <c:v>7.23</c:v>
                </c:pt>
                <c:pt idx="66">
                  <c:v>7.29</c:v>
                </c:pt>
                <c:pt idx="67">
                  <c:v>7.39</c:v>
                </c:pt>
                <c:pt idx="68">
                  <c:v>7.47</c:v>
                </c:pt>
                <c:pt idx="69">
                  <c:v>7.49</c:v>
                </c:pt>
                <c:pt idx="70">
                  <c:v>7.45</c:v>
                </c:pt>
                <c:pt idx="71">
                  <c:v>7.39</c:v>
                </c:pt>
                <c:pt idx="72">
                  <c:v>7.47</c:v>
                </c:pt>
                <c:pt idx="73">
                  <c:v>7.53</c:v>
                </c:pt>
                <c:pt idx="74">
                  <c:v>7.56</c:v>
                </c:pt>
                <c:pt idx="75">
                  <c:v>7.58</c:v>
                </c:pt>
                <c:pt idx="76">
                  <c:v>7.55</c:v>
                </c:pt>
                <c:pt idx="77">
                  <c:v>7.55</c:v>
                </c:pt>
                <c:pt idx="78">
                  <c:v>7.57</c:v>
                </c:pt>
                <c:pt idx="79">
                  <c:v>7.59</c:v>
                </c:pt>
                <c:pt idx="80">
                  <c:v>7.58</c:v>
                </c:pt>
                <c:pt idx="81">
                  <c:v>7.71</c:v>
                </c:pt>
                <c:pt idx="82">
                  <c:v>7.58</c:v>
                </c:pt>
                <c:pt idx="83">
                  <c:v>7.59</c:v>
                </c:pt>
                <c:pt idx="84">
                  <c:v>7.59</c:v>
                </c:pt>
                <c:pt idx="85">
                  <c:v>7.54</c:v>
                </c:pt>
                <c:pt idx="86">
                  <c:v>7.5</c:v>
                </c:pt>
                <c:pt idx="87">
                  <c:v>7.41</c:v>
                </c:pt>
                <c:pt idx="88">
                  <c:v>7.49</c:v>
                </c:pt>
                <c:pt idx="89">
                  <c:v>7.45</c:v>
                </c:pt>
                <c:pt idx="90">
                  <c:v>7.48</c:v>
                </c:pt>
                <c:pt idx="91">
                  <c:v>7.44</c:v>
                </c:pt>
                <c:pt idx="92">
                  <c:v>7.39</c:v>
                </c:pt>
                <c:pt idx="93">
                  <c:v>7.24</c:v>
                </c:pt>
                <c:pt idx="9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37-4B7E-96D8-F9CEF82CBC0E}"/>
            </c:ext>
          </c:extLst>
        </c:ser>
        <c:ser>
          <c:idx val="4"/>
          <c:order val="1"/>
          <c:tx>
            <c:strRef>
              <c:f>Curve!$N$1</c:f>
              <c:strCache>
                <c:ptCount val="1"/>
                <c:pt idx="0">
                  <c:v>[CH5_Max_TxP]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Curve!$E$2:$E$95</c:f>
              <c:numCache>
                <c:formatCode>General</c:formatCode>
                <c:ptCount val="94"/>
                <c:pt idx="0">
                  <c:v>69.760000000000005</c:v>
                </c:pt>
                <c:pt idx="1">
                  <c:v>69.010000000000005</c:v>
                </c:pt>
                <c:pt idx="2">
                  <c:v>68.260000000000005</c:v>
                </c:pt>
                <c:pt idx="3">
                  <c:v>67.510000000000005</c:v>
                </c:pt>
                <c:pt idx="4">
                  <c:v>66.78</c:v>
                </c:pt>
                <c:pt idx="5">
                  <c:v>66.040000000000006</c:v>
                </c:pt>
                <c:pt idx="6">
                  <c:v>65.31</c:v>
                </c:pt>
                <c:pt idx="7">
                  <c:v>64.569999999999993</c:v>
                </c:pt>
                <c:pt idx="8">
                  <c:v>63.84</c:v>
                </c:pt>
                <c:pt idx="9">
                  <c:v>63.09</c:v>
                </c:pt>
                <c:pt idx="10">
                  <c:v>62.37</c:v>
                </c:pt>
                <c:pt idx="11">
                  <c:v>61.62</c:v>
                </c:pt>
                <c:pt idx="12">
                  <c:v>60.89</c:v>
                </c:pt>
                <c:pt idx="13">
                  <c:v>60.12</c:v>
                </c:pt>
                <c:pt idx="14">
                  <c:v>59.35</c:v>
                </c:pt>
                <c:pt idx="15">
                  <c:v>58.59</c:v>
                </c:pt>
                <c:pt idx="16">
                  <c:v>57.84</c:v>
                </c:pt>
                <c:pt idx="17">
                  <c:v>57.11</c:v>
                </c:pt>
                <c:pt idx="18">
                  <c:v>56.35</c:v>
                </c:pt>
                <c:pt idx="19">
                  <c:v>55.61</c:v>
                </c:pt>
                <c:pt idx="20">
                  <c:v>54.86</c:v>
                </c:pt>
                <c:pt idx="21">
                  <c:v>54.1</c:v>
                </c:pt>
                <c:pt idx="22">
                  <c:v>53.36</c:v>
                </c:pt>
                <c:pt idx="23">
                  <c:v>52.6</c:v>
                </c:pt>
                <c:pt idx="24">
                  <c:v>51.88</c:v>
                </c:pt>
                <c:pt idx="25">
                  <c:v>51.12</c:v>
                </c:pt>
                <c:pt idx="26">
                  <c:v>50.38</c:v>
                </c:pt>
                <c:pt idx="27">
                  <c:v>49.64</c:v>
                </c:pt>
                <c:pt idx="28">
                  <c:v>48.91</c:v>
                </c:pt>
                <c:pt idx="29">
                  <c:v>48.15</c:v>
                </c:pt>
                <c:pt idx="30">
                  <c:v>47.4</c:v>
                </c:pt>
                <c:pt idx="31">
                  <c:v>46.65</c:v>
                </c:pt>
                <c:pt idx="32">
                  <c:v>45.9</c:v>
                </c:pt>
                <c:pt idx="33">
                  <c:v>45.17</c:v>
                </c:pt>
                <c:pt idx="34">
                  <c:v>44.44</c:v>
                </c:pt>
                <c:pt idx="35">
                  <c:v>43.72</c:v>
                </c:pt>
                <c:pt idx="36">
                  <c:v>42.98</c:v>
                </c:pt>
                <c:pt idx="37">
                  <c:v>42.25</c:v>
                </c:pt>
                <c:pt idx="38">
                  <c:v>41.5</c:v>
                </c:pt>
                <c:pt idx="39">
                  <c:v>40.74</c:v>
                </c:pt>
                <c:pt idx="40">
                  <c:v>40</c:v>
                </c:pt>
                <c:pt idx="41">
                  <c:v>39.24</c:v>
                </c:pt>
                <c:pt idx="42">
                  <c:v>38.51</c:v>
                </c:pt>
                <c:pt idx="43">
                  <c:v>37.74</c:v>
                </c:pt>
                <c:pt idx="44">
                  <c:v>37.01</c:v>
                </c:pt>
                <c:pt idx="45">
                  <c:v>36.26</c:v>
                </c:pt>
                <c:pt idx="46">
                  <c:v>35.53</c:v>
                </c:pt>
                <c:pt idx="47">
                  <c:v>34.78</c:v>
                </c:pt>
                <c:pt idx="48">
                  <c:v>34</c:v>
                </c:pt>
                <c:pt idx="49">
                  <c:v>33.26</c:v>
                </c:pt>
                <c:pt idx="50">
                  <c:v>32.51</c:v>
                </c:pt>
                <c:pt idx="51">
                  <c:v>31.78</c:v>
                </c:pt>
                <c:pt idx="52">
                  <c:v>31.03</c:v>
                </c:pt>
                <c:pt idx="53">
                  <c:v>30.3</c:v>
                </c:pt>
                <c:pt idx="54">
                  <c:v>29.54</c:v>
                </c:pt>
                <c:pt idx="55">
                  <c:v>28.81</c:v>
                </c:pt>
                <c:pt idx="56">
                  <c:v>28.06</c:v>
                </c:pt>
                <c:pt idx="57">
                  <c:v>27.3</c:v>
                </c:pt>
                <c:pt idx="58">
                  <c:v>26.57</c:v>
                </c:pt>
                <c:pt idx="59">
                  <c:v>25.81</c:v>
                </c:pt>
                <c:pt idx="60">
                  <c:v>25.09</c:v>
                </c:pt>
                <c:pt idx="61">
                  <c:v>24.32</c:v>
                </c:pt>
                <c:pt idx="62">
                  <c:v>23.61</c:v>
                </c:pt>
                <c:pt idx="63">
                  <c:v>22.89</c:v>
                </c:pt>
                <c:pt idx="64">
                  <c:v>22.15</c:v>
                </c:pt>
                <c:pt idx="65">
                  <c:v>21.39</c:v>
                </c:pt>
                <c:pt idx="66">
                  <c:v>20.63</c:v>
                </c:pt>
                <c:pt idx="67">
                  <c:v>19.899999999999999</c:v>
                </c:pt>
                <c:pt idx="68">
                  <c:v>19.149999999999999</c:v>
                </c:pt>
                <c:pt idx="69">
                  <c:v>18.420000000000002</c:v>
                </c:pt>
                <c:pt idx="70">
                  <c:v>17.66</c:v>
                </c:pt>
                <c:pt idx="71">
                  <c:v>16.920000000000002</c:v>
                </c:pt>
                <c:pt idx="72">
                  <c:v>16.149999999999999</c:v>
                </c:pt>
                <c:pt idx="73">
                  <c:v>15.42</c:v>
                </c:pt>
                <c:pt idx="74">
                  <c:v>14.67</c:v>
                </c:pt>
                <c:pt idx="75">
                  <c:v>13.9</c:v>
                </c:pt>
                <c:pt idx="76">
                  <c:v>13.17</c:v>
                </c:pt>
                <c:pt idx="77">
                  <c:v>12.41</c:v>
                </c:pt>
                <c:pt idx="78">
                  <c:v>11.69</c:v>
                </c:pt>
                <c:pt idx="79">
                  <c:v>10.94</c:v>
                </c:pt>
                <c:pt idx="80">
                  <c:v>10.210000000000001</c:v>
                </c:pt>
                <c:pt idx="81">
                  <c:v>9.4499999999999993</c:v>
                </c:pt>
                <c:pt idx="82">
                  <c:v>8.7200000000000006</c:v>
                </c:pt>
                <c:pt idx="83">
                  <c:v>7.97</c:v>
                </c:pt>
                <c:pt idx="84">
                  <c:v>7.21</c:v>
                </c:pt>
                <c:pt idx="85">
                  <c:v>6.48</c:v>
                </c:pt>
                <c:pt idx="86">
                  <c:v>5.73</c:v>
                </c:pt>
                <c:pt idx="87">
                  <c:v>4.99</c:v>
                </c:pt>
                <c:pt idx="88">
                  <c:v>4.24</c:v>
                </c:pt>
                <c:pt idx="89">
                  <c:v>3.51</c:v>
                </c:pt>
                <c:pt idx="90">
                  <c:v>2.76</c:v>
                </c:pt>
                <c:pt idx="91">
                  <c:v>2.0299999999999998</c:v>
                </c:pt>
                <c:pt idx="92">
                  <c:v>1.3</c:v>
                </c:pt>
                <c:pt idx="93">
                  <c:v>0.54</c:v>
                </c:pt>
              </c:numCache>
            </c:numRef>
          </c:xVal>
          <c:yVal>
            <c:numRef>
              <c:f>Curve!$N$2:$N$96</c:f>
              <c:numCache>
                <c:formatCode>General</c:formatCode>
                <c:ptCount val="95"/>
                <c:pt idx="0">
                  <c:v>0.32</c:v>
                </c:pt>
                <c:pt idx="1">
                  <c:v>0.51</c:v>
                </c:pt>
                <c:pt idx="2">
                  <c:v>0.7</c:v>
                </c:pt>
                <c:pt idx="3">
                  <c:v>1.02</c:v>
                </c:pt>
                <c:pt idx="4">
                  <c:v>1.17</c:v>
                </c:pt>
                <c:pt idx="5">
                  <c:v>1.69</c:v>
                </c:pt>
                <c:pt idx="6">
                  <c:v>1.97</c:v>
                </c:pt>
                <c:pt idx="7">
                  <c:v>2.2599999999999998</c:v>
                </c:pt>
                <c:pt idx="8">
                  <c:v>2.68</c:v>
                </c:pt>
                <c:pt idx="9">
                  <c:v>2.81</c:v>
                </c:pt>
                <c:pt idx="10">
                  <c:v>3.15</c:v>
                </c:pt>
                <c:pt idx="11">
                  <c:v>3.62</c:v>
                </c:pt>
                <c:pt idx="12">
                  <c:v>3.98</c:v>
                </c:pt>
                <c:pt idx="13">
                  <c:v>4.33</c:v>
                </c:pt>
                <c:pt idx="14">
                  <c:v>4.6500000000000004</c:v>
                </c:pt>
                <c:pt idx="15">
                  <c:v>5.0199999999999996</c:v>
                </c:pt>
                <c:pt idx="16">
                  <c:v>5.34</c:v>
                </c:pt>
                <c:pt idx="17">
                  <c:v>5.62</c:v>
                </c:pt>
                <c:pt idx="18">
                  <c:v>5.91</c:v>
                </c:pt>
                <c:pt idx="19">
                  <c:v>6.13</c:v>
                </c:pt>
                <c:pt idx="20">
                  <c:v>6.26</c:v>
                </c:pt>
                <c:pt idx="21">
                  <c:v>6.51</c:v>
                </c:pt>
                <c:pt idx="22">
                  <c:v>6.62</c:v>
                </c:pt>
                <c:pt idx="23">
                  <c:v>6.79</c:v>
                </c:pt>
                <c:pt idx="24">
                  <c:v>6.93</c:v>
                </c:pt>
                <c:pt idx="25">
                  <c:v>7.13</c:v>
                </c:pt>
                <c:pt idx="26">
                  <c:v>7.3</c:v>
                </c:pt>
                <c:pt idx="27">
                  <c:v>7.41</c:v>
                </c:pt>
                <c:pt idx="28">
                  <c:v>6.73</c:v>
                </c:pt>
                <c:pt idx="29">
                  <c:v>6.91</c:v>
                </c:pt>
                <c:pt idx="30">
                  <c:v>7.18</c:v>
                </c:pt>
                <c:pt idx="31">
                  <c:v>7.28</c:v>
                </c:pt>
                <c:pt idx="32">
                  <c:v>7.53</c:v>
                </c:pt>
                <c:pt idx="33">
                  <c:v>7.69</c:v>
                </c:pt>
                <c:pt idx="34">
                  <c:v>8.0399999999999991</c:v>
                </c:pt>
                <c:pt idx="35">
                  <c:v>8.2799999999999994</c:v>
                </c:pt>
                <c:pt idx="36">
                  <c:v>8.4600000000000009</c:v>
                </c:pt>
                <c:pt idx="37">
                  <c:v>8.6999999999999993</c:v>
                </c:pt>
                <c:pt idx="38">
                  <c:v>8.75</c:v>
                </c:pt>
                <c:pt idx="39">
                  <c:v>8.85</c:v>
                </c:pt>
                <c:pt idx="40">
                  <c:v>8.9700000000000006</c:v>
                </c:pt>
                <c:pt idx="41">
                  <c:v>9.11</c:v>
                </c:pt>
                <c:pt idx="42">
                  <c:v>9.19</c:v>
                </c:pt>
                <c:pt idx="43">
                  <c:v>9.27</c:v>
                </c:pt>
                <c:pt idx="44">
                  <c:v>9.34</c:v>
                </c:pt>
                <c:pt idx="45">
                  <c:v>9.43</c:v>
                </c:pt>
                <c:pt idx="46">
                  <c:v>9.5299999999999994</c:v>
                </c:pt>
                <c:pt idx="47">
                  <c:v>9.59</c:v>
                </c:pt>
                <c:pt idx="48">
                  <c:v>9.6199999999999992</c:v>
                </c:pt>
                <c:pt idx="49">
                  <c:v>9.69</c:v>
                </c:pt>
                <c:pt idx="50">
                  <c:v>9.74</c:v>
                </c:pt>
                <c:pt idx="51">
                  <c:v>9.7799999999999994</c:v>
                </c:pt>
                <c:pt idx="52">
                  <c:v>9.86</c:v>
                </c:pt>
                <c:pt idx="53">
                  <c:v>9.91</c:v>
                </c:pt>
                <c:pt idx="54">
                  <c:v>10.01</c:v>
                </c:pt>
                <c:pt idx="55">
                  <c:v>9.99</c:v>
                </c:pt>
                <c:pt idx="56">
                  <c:v>9.9499999999999993</c:v>
                </c:pt>
                <c:pt idx="57">
                  <c:v>9.99</c:v>
                </c:pt>
                <c:pt idx="58">
                  <c:v>10.02</c:v>
                </c:pt>
                <c:pt idx="59">
                  <c:v>9.82</c:v>
                </c:pt>
                <c:pt idx="60">
                  <c:v>9.73</c:v>
                </c:pt>
                <c:pt idx="61">
                  <c:v>9.75</c:v>
                </c:pt>
                <c:pt idx="62">
                  <c:v>9.74</c:v>
                </c:pt>
                <c:pt idx="63">
                  <c:v>9.7100000000000009</c:v>
                </c:pt>
                <c:pt idx="64">
                  <c:v>9.7799999999999994</c:v>
                </c:pt>
                <c:pt idx="65">
                  <c:v>9.8000000000000007</c:v>
                </c:pt>
                <c:pt idx="66">
                  <c:v>9.8699999999999992</c:v>
                </c:pt>
                <c:pt idx="67">
                  <c:v>9.82</c:v>
                </c:pt>
                <c:pt idx="68">
                  <c:v>9.82</c:v>
                </c:pt>
                <c:pt idx="69">
                  <c:v>9.86</c:v>
                </c:pt>
                <c:pt idx="70">
                  <c:v>9.93</c:v>
                </c:pt>
                <c:pt idx="71">
                  <c:v>9.8699999999999992</c:v>
                </c:pt>
                <c:pt idx="72">
                  <c:v>9.89</c:v>
                </c:pt>
                <c:pt idx="73">
                  <c:v>9.84</c:v>
                </c:pt>
                <c:pt idx="74">
                  <c:v>9.93</c:v>
                </c:pt>
                <c:pt idx="75">
                  <c:v>9.94</c:v>
                </c:pt>
                <c:pt idx="76">
                  <c:v>9.9499999999999993</c:v>
                </c:pt>
                <c:pt idx="77">
                  <c:v>9.86</c:v>
                </c:pt>
                <c:pt idx="78">
                  <c:v>9.8800000000000008</c:v>
                </c:pt>
                <c:pt idx="79">
                  <c:v>9.83</c:v>
                </c:pt>
                <c:pt idx="80">
                  <c:v>9.86</c:v>
                </c:pt>
                <c:pt idx="81">
                  <c:v>9.7899999999999991</c:v>
                </c:pt>
                <c:pt idx="82">
                  <c:v>9.82</c:v>
                </c:pt>
                <c:pt idx="83">
                  <c:v>9.7200000000000006</c:v>
                </c:pt>
                <c:pt idx="84">
                  <c:v>9.67</c:v>
                </c:pt>
                <c:pt idx="85">
                  <c:v>9.6</c:v>
                </c:pt>
                <c:pt idx="86">
                  <c:v>9.65</c:v>
                </c:pt>
                <c:pt idx="87">
                  <c:v>9.5500000000000007</c:v>
                </c:pt>
                <c:pt idx="88">
                  <c:v>9.6</c:v>
                </c:pt>
                <c:pt idx="89">
                  <c:v>9.5500000000000007</c:v>
                </c:pt>
                <c:pt idx="90">
                  <c:v>9.49</c:v>
                </c:pt>
                <c:pt idx="91">
                  <c:v>9.4499999999999993</c:v>
                </c:pt>
                <c:pt idx="92">
                  <c:v>9.35</c:v>
                </c:pt>
                <c:pt idx="93">
                  <c:v>9.31</c:v>
                </c:pt>
                <c:pt idx="9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37-4B7E-96D8-F9CEF82CB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937488"/>
        <c:axId val="356947840"/>
      </c:scatterChart>
      <c:scatterChart>
        <c:scatterStyle val="lineMarker"/>
        <c:varyColors val="0"/>
        <c:ser>
          <c:idx val="5"/>
          <c:order val="2"/>
          <c:tx>
            <c:strRef>
              <c:f>Curve!$J$1</c:f>
              <c:strCache>
                <c:ptCount val="1"/>
                <c:pt idx="0">
                  <c:v>[CH1_DDMI_Max_Bias]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Curve!$E$2:$E$95</c:f>
              <c:numCache>
                <c:formatCode>General</c:formatCode>
                <c:ptCount val="94"/>
                <c:pt idx="0">
                  <c:v>69.760000000000005</c:v>
                </c:pt>
                <c:pt idx="1">
                  <c:v>69.010000000000005</c:v>
                </c:pt>
                <c:pt idx="2">
                  <c:v>68.260000000000005</c:v>
                </c:pt>
                <c:pt idx="3">
                  <c:v>67.510000000000005</c:v>
                </c:pt>
                <c:pt idx="4">
                  <c:v>66.78</c:v>
                </c:pt>
                <c:pt idx="5">
                  <c:v>66.040000000000006</c:v>
                </c:pt>
                <c:pt idx="6">
                  <c:v>65.31</c:v>
                </c:pt>
                <c:pt idx="7">
                  <c:v>64.569999999999993</c:v>
                </c:pt>
                <c:pt idx="8">
                  <c:v>63.84</c:v>
                </c:pt>
                <c:pt idx="9">
                  <c:v>63.09</c:v>
                </c:pt>
                <c:pt idx="10">
                  <c:v>62.37</c:v>
                </c:pt>
                <c:pt idx="11">
                  <c:v>61.62</c:v>
                </c:pt>
                <c:pt idx="12">
                  <c:v>60.89</c:v>
                </c:pt>
                <c:pt idx="13">
                  <c:v>60.12</c:v>
                </c:pt>
                <c:pt idx="14">
                  <c:v>59.35</c:v>
                </c:pt>
                <c:pt idx="15">
                  <c:v>58.59</c:v>
                </c:pt>
                <c:pt idx="16">
                  <c:v>57.84</c:v>
                </c:pt>
                <c:pt idx="17">
                  <c:v>57.11</c:v>
                </c:pt>
                <c:pt idx="18">
                  <c:v>56.35</c:v>
                </c:pt>
                <c:pt idx="19">
                  <c:v>55.61</c:v>
                </c:pt>
                <c:pt idx="20">
                  <c:v>54.86</c:v>
                </c:pt>
                <c:pt idx="21">
                  <c:v>54.1</c:v>
                </c:pt>
                <c:pt idx="22">
                  <c:v>53.36</c:v>
                </c:pt>
                <c:pt idx="23">
                  <c:v>52.6</c:v>
                </c:pt>
                <c:pt idx="24">
                  <c:v>51.88</c:v>
                </c:pt>
                <c:pt idx="25">
                  <c:v>51.12</c:v>
                </c:pt>
                <c:pt idx="26">
                  <c:v>50.38</c:v>
                </c:pt>
                <c:pt idx="27">
                  <c:v>49.64</c:v>
                </c:pt>
                <c:pt idx="28">
                  <c:v>48.91</c:v>
                </c:pt>
                <c:pt idx="29">
                  <c:v>48.15</c:v>
                </c:pt>
                <c:pt idx="30">
                  <c:v>47.4</c:v>
                </c:pt>
                <c:pt idx="31">
                  <c:v>46.65</c:v>
                </c:pt>
                <c:pt idx="32">
                  <c:v>45.9</c:v>
                </c:pt>
                <c:pt idx="33">
                  <c:v>45.17</c:v>
                </c:pt>
                <c:pt idx="34">
                  <c:v>44.44</c:v>
                </c:pt>
                <c:pt idx="35">
                  <c:v>43.72</c:v>
                </c:pt>
                <c:pt idx="36">
                  <c:v>42.98</c:v>
                </c:pt>
                <c:pt idx="37">
                  <c:v>42.25</c:v>
                </c:pt>
                <c:pt idx="38">
                  <c:v>41.5</c:v>
                </c:pt>
                <c:pt idx="39">
                  <c:v>40.74</c:v>
                </c:pt>
                <c:pt idx="40">
                  <c:v>40</c:v>
                </c:pt>
                <c:pt idx="41">
                  <c:v>39.24</c:v>
                </c:pt>
                <c:pt idx="42">
                  <c:v>38.51</c:v>
                </c:pt>
                <c:pt idx="43">
                  <c:v>37.74</c:v>
                </c:pt>
                <c:pt idx="44">
                  <c:v>37.01</c:v>
                </c:pt>
                <c:pt idx="45">
                  <c:v>36.26</c:v>
                </c:pt>
                <c:pt idx="46">
                  <c:v>35.53</c:v>
                </c:pt>
                <c:pt idx="47">
                  <c:v>34.78</c:v>
                </c:pt>
                <c:pt idx="48">
                  <c:v>34</c:v>
                </c:pt>
                <c:pt idx="49">
                  <c:v>33.26</c:v>
                </c:pt>
                <c:pt idx="50">
                  <c:v>32.51</c:v>
                </c:pt>
                <c:pt idx="51">
                  <c:v>31.78</c:v>
                </c:pt>
                <c:pt idx="52">
                  <c:v>31.03</c:v>
                </c:pt>
                <c:pt idx="53">
                  <c:v>30.3</c:v>
                </c:pt>
                <c:pt idx="54">
                  <c:v>29.54</c:v>
                </c:pt>
                <c:pt idx="55">
                  <c:v>28.81</c:v>
                </c:pt>
                <c:pt idx="56">
                  <c:v>28.06</c:v>
                </c:pt>
                <c:pt idx="57">
                  <c:v>27.3</c:v>
                </c:pt>
                <c:pt idx="58">
                  <c:v>26.57</c:v>
                </c:pt>
                <c:pt idx="59">
                  <c:v>25.81</c:v>
                </c:pt>
                <c:pt idx="60">
                  <c:v>25.09</c:v>
                </c:pt>
                <c:pt idx="61">
                  <c:v>24.32</c:v>
                </c:pt>
                <c:pt idx="62">
                  <c:v>23.61</c:v>
                </c:pt>
                <c:pt idx="63">
                  <c:v>22.89</c:v>
                </c:pt>
                <c:pt idx="64">
                  <c:v>22.15</c:v>
                </c:pt>
                <c:pt idx="65">
                  <c:v>21.39</c:v>
                </c:pt>
                <c:pt idx="66">
                  <c:v>20.63</c:v>
                </c:pt>
                <c:pt idx="67">
                  <c:v>19.899999999999999</c:v>
                </c:pt>
                <c:pt idx="68">
                  <c:v>19.149999999999999</c:v>
                </c:pt>
                <c:pt idx="69">
                  <c:v>18.420000000000002</c:v>
                </c:pt>
                <c:pt idx="70">
                  <c:v>17.66</c:v>
                </c:pt>
                <c:pt idx="71">
                  <c:v>16.920000000000002</c:v>
                </c:pt>
                <c:pt idx="72">
                  <c:v>16.149999999999999</c:v>
                </c:pt>
                <c:pt idx="73">
                  <c:v>15.42</c:v>
                </c:pt>
                <c:pt idx="74">
                  <c:v>14.67</c:v>
                </c:pt>
                <c:pt idx="75">
                  <c:v>13.9</c:v>
                </c:pt>
                <c:pt idx="76">
                  <c:v>13.17</c:v>
                </c:pt>
                <c:pt idx="77">
                  <c:v>12.41</c:v>
                </c:pt>
                <c:pt idx="78">
                  <c:v>11.69</c:v>
                </c:pt>
                <c:pt idx="79">
                  <c:v>10.94</c:v>
                </c:pt>
                <c:pt idx="80">
                  <c:v>10.210000000000001</c:v>
                </c:pt>
                <c:pt idx="81">
                  <c:v>9.4499999999999993</c:v>
                </c:pt>
                <c:pt idx="82">
                  <c:v>8.7200000000000006</c:v>
                </c:pt>
                <c:pt idx="83">
                  <c:v>7.97</c:v>
                </c:pt>
                <c:pt idx="84">
                  <c:v>7.21</c:v>
                </c:pt>
                <c:pt idx="85">
                  <c:v>6.48</c:v>
                </c:pt>
                <c:pt idx="86">
                  <c:v>5.73</c:v>
                </c:pt>
                <c:pt idx="87">
                  <c:v>4.99</c:v>
                </c:pt>
                <c:pt idx="88">
                  <c:v>4.24</c:v>
                </c:pt>
                <c:pt idx="89">
                  <c:v>3.51</c:v>
                </c:pt>
                <c:pt idx="90">
                  <c:v>2.76</c:v>
                </c:pt>
                <c:pt idx="91">
                  <c:v>2.0299999999999998</c:v>
                </c:pt>
                <c:pt idx="92">
                  <c:v>1.3</c:v>
                </c:pt>
                <c:pt idx="93">
                  <c:v>0.54</c:v>
                </c:pt>
              </c:numCache>
            </c:numRef>
          </c:xVal>
          <c:yVal>
            <c:numRef>
              <c:f>Curve!$J$2:$J$96</c:f>
              <c:numCache>
                <c:formatCode>General</c:formatCode>
                <c:ptCount val="95"/>
                <c:pt idx="0">
                  <c:v>399</c:v>
                </c:pt>
                <c:pt idx="1">
                  <c:v>399</c:v>
                </c:pt>
                <c:pt idx="2">
                  <c:v>399</c:v>
                </c:pt>
                <c:pt idx="3">
                  <c:v>399</c:v>
                </c:pt>
                <c:pt idx="4">
                  <c:v>399</c:v>
                </c:pt>
                <c:pt idx="5">
                  <c:v>399</c:v>
                </c:pt>
                <c:pt idx="6">
                  <c:v>399</c:v>
                </c:pt>
                <c:pt idx="7">
                  <c:v>399</c:v>
                </c:pt>
                <c:pt idx="8">
                  <c:v>399</c:v>
                </c:pt>
                <c:pt idx="9">
                  <c:v>399</c:v>
                </c:pt>
                <c:pt idx="10">
                  <c:v>399</c:v>
                </c:pt>
                <c:pt idx="11">
                  <c:v>399</c:v>
                </c:pt>
                <c:pt idx="12">
                  <c:v>399</c:v>
                </c:pt>
                <c:pt idx="13">
                  <c:v>399</c:v>
                </c:pt>
                <c:pt idx="14">
                  <c:v>399</c:v>
                </c:pt>
                <c:pt idx="15">
                  <c:v>399</c:v>
                </c:pt>
                <c:pt idx="16">
                  <c:v>399</c:v>
                </c:pt>
                <c:pt idx="17">
                  <c:v>399</c:v>
                </c:pt>
                <c:pt idx="18">
                  <c:v>399</c:v>
                </c:pt>
                <c:pt idx="19">
                  <c:v>399</c:v>
                </c:pt>
                <c:pt idx="20">
                  <c:v>399</c:v>
                </c:pt>
                <c:pt idx="21">
                  <c:v>399</c:v>
                </c:pt>
                <c:pt idx="22">
                  <c:v>399</c:v>
                </c:pt>
                <c:pt idx="23">
                  <c:v>399</c:v>
                </c:pt>
                <c:pt idx="24">
                  <c:v>399</c:v>
                </c:pt>
                <c:pt idx="25">
                  <c:v>399</c:v>
                </c:pt>
                <c:pt idx="26">
                  <c:v>399</c:v>
                </c:pt>
                <c:pt idx="27">
                  <c:v>399</c:v>
                </c:pt>
                <c:pt idx="28">
                  <c:v>399</c:v>
                </c:pt>
                <c:pt idx="29">
                  <c:v>399</c:v>
                </c:pt>
                <c:pt idx="30">
                  <c:v>399</c:v>
                </c:pt>
                <c:pt idx="31">
                  <c:v>399</c:v>
                </c:pt>
                <c:pt idx="32">
                  <c:v>399</c:v>
                </c:pt>
                <c:pt idx="33">
                  <c:v>399</c:v>
                </c:pt>
                <c:pt idx="34">
                  <c:v>399</c:v>
                </c:pt>
                <c:pt idx="35">
                  <c:v>399</c:v>
                </c:pt>
                <c:pt idx="36">
                  <c:v>399</c:v>
                </c:pt>
                <c:pt idx="37">
                  <c:v>399</c:v>
                </c:pt>
                <c:pt idx="38">
                  <c:v>399</c:v>
                </c:pt>
                <c:pt idx="39">
                  <c:v>399</c:v>
                </c:pt>
                <c:pt idx="40">
                  <c:v>399</c:v>
                </c:pt>
                <c:pt idx="41">
                  <c:v>399</c:v>
                </c:pt>
                <c:pt idx="42">
                  <c:v>399</c:v>
                </c:pt>
                <c:pt idx="43">
                  <c:v>399</c:v>
                </c:pt>
                <c:pt idx="44">
                  <c:v>399</c:v>
                </c:pt>
                <c:pt idx="45">
                  <c:v>399</c:v>
                </c:pt>
                <c:pt idx="46">
                  <c:v>399</c:v>
                </c:pt>
                <c:pt idx="47">
                  <c:v>399</c:v>
                </c:pt>
                <c:pt idx="48">
                  <c:v>399</c:v>
                </c:pt>
                <c:pt idx="49">
                  <c:v>399</c:v>
                </c:pt>
                <c:pt idx="50">
                  <c:v>399</c:v>
                </c:pt>
                <c:pt idx="51">
                  <c:v>399</c:v>
                </c:pt>
                <c:pt idx="52">
                  <c:v>399</c:v>
                </c:pt>
                <c:pt idx="53">
                  <c:v>399</c:v>
                </c:pt>
                <c:pt idx="54">
                  <c:v>399</c:v>
                </c:pt>
                <c:pt idx="55">
                  <c:v>399</c:v>
                </c:pt>
                <c:pt idx="56">
                  <c:v>399</c:v>
                </c:pt>
                <c:pt idx="57">
                  <c:v>399</c:v>
                </c:pt>
                <c:pt idx="58">
                  <c:v>399</c:v>
                </c:pt>
                <c:pt idx="59">
                  <c:v>399</c:v>
                </c:pt>
                <c:pt idx="60">
                  <c:v>399</c:v>
                </c:pt>
                <c:pt idx="61">
                  <c:v>399</c:v>
                </c:pt>
                <c:pt idx="62">
                  <c:v>399</c:v>
                </c:pt>
                <c:pt idx="63">
                  <c:v>399</c:v>
                </c:pt>
                <c:pt idx="64">
                  <c:v>399</c:v>
                </c:pt>
                <c:pt idx="65">
                  <c:v>399</c:v>
                </c:pt>
                <c:pt idx="66">
                  <c:v>399</c:v>
                </c:pt>
                <c:pt idx="67">
                  <c:v>399</c:v>
                </c:pt>
                <c:pt idx="68">
                  <c:v>399</c:v>
                </c:pt>
                <c:pt idx="69">
                  <c:v>399</c:v>
                </c:pt>
                <c:pt idx="70">
                  <c:v>399</c:v>
                </c:pt>
                <c:pt idx="71">
                  <c:v>399</c:v>
                </c:pt>
                <c:pt idx="72">
                  <c:v>399</c:v>
                </c:pt>
                <c:pt idx="73">
                  <c:v>399</c:v>
                </c:pt>
                <c:pt idx="74">
                  <c:v>399</c:v>
                </c:pt>
                <c:pt idx="75">
                  <c:v>399</c:v>
                </c:pt>
                <c:pt idx="76">
                  <c:v>399</c:v>
                </c:pt>
                <c:pt idx="77">
                  <c:v>399</c:v>
                </c:pt>
                <c:pt idx="78">
                  <c:v>399</c:v>
                </c:pt>
                <c:pt idx="79">
                  <c:v>399</c:v>
                </c:pt>
                <c:pt idx="80">
                  <c:v>399</c:v>
                </c:pt>
                <c:pt idx="81">
                  <c:v>399</c:v>
                </c:pt>
                <c:pt idx="82">
                  <c:v>399</c:v>
                </c:pt>
                <c:pt idx="83">
                  <c:v>399</c:v>
                </c:pt>
                <c:pt idx="84">
                  <c:v>399</c:v>
                </c:pt>
                <c:pt idx="85">
                  <c:v>399</c:v>
                </c:pt>
                <c:pt idx="86">
                  <c:v>399</c:v>
                </c:pt>
                <c:pt idx="87">
                  <c:v>399</c:v>
                </c:pt>
                <c:pt idx="88">
                  <c:v>399</c:v>
                </c:pt>
                <c:pt idx="89">
                  <c:v>399</c:v>
                </c:pt>
                <c:pt idx="90">
                  <c:v>399</c:v>
                </c:pt>
                <c:pt idx="91">
                  <c:v>399</c:v>
                </c:pt>
                <c:pt idx="92">
                  <c:v>399</c:v>
                </c:pt>
                <c:pt idx="93">
                  <c:v>399</c:v>
                </c:pt>
                <c:pt idx="9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37-4B7E-96D8-F9CEF82CB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1626335"/>
        <c:axId val="1691627999"/>
      </c:scatterChart>
      <c:valAx>
        <c:axId val="350937488"/>
        <c:scaling>
          <c:orientation val="minMax"/>
          <c:max val="7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Case_Temp (℃)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947840"/>
        <c:crosses val="autoZero"/>
        <c:crossBetween val="midCat"/>
        <c:majorUnit val="5"/>
      </c:valAx>
      <c:valAx>
        <c:axId val="356947840"/>
        <c:scaling>
          <c:orientation val="minMax"/>
          <c:max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dBm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937488"/>
        <c:crosses val="autoZero"/>
        <c:crossBetween val="midCat"/>
        <c:majorUnit val="1"/>
      </c:valAx>
      <c:valAx>
        <c:axId val="16916263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91627999"/>
        <c:crosses val="autoZero"/>
        <c:crossBetween val="midCat"/>
      </c:valAx>
      <c:valAx>
        <c:axId val="169162799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Bias(mA)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626335"/>
        <c:crosses val="max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Operational Current@dWL/dT Channel 1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Curve!$S$1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Curve!$A$2:$A$96</c:f>
              <c:numCache>
                <c:formatCode>General</c:formatCode>
                <c:ptCount val="95"/>
                <c:pt idx="0">
                  <c:v>0.2</c:v>
                </c:pt>
                <c:pt idx="1">
                  <c:v>0.96</c:v>
                </c:pt>
                <c:pt idx="2">
                  <c:v>1.7</c:v>
                </c:pt>
                <c:pt idx="3">
                  <c:v>2.4300000000000002</c:v>
                </c:pt>
                <c:pt idx="4">
                  <c:v>3.16</c:v>
                </c:pt>
                <c:pt idx="5">
                  <c:v>3.91</c:v>
                </c:pt>
                <c:pt idx="6">
                  <c:v>4.6399999999999997</c:v>
                </c:pt>
                <c:pt idx="7">
                  <c:v>5.39</c:v>
                </c:pt>
                <c:pt idx="8">
                  <c:v>6.13</c:v>
                </c:pt>
                <c:pt idx="9">
                  <c:v>6.87</c:v>
                </c:pt>
                <c:pt idx="10">
                  <c:v>7.63</c:v>
                </c:pt>
                <c:pt idx="11">
                  <c:v>8.36</c:v>
                </c:pt>
                <c:pt idx="12">
                  <c:v>9.1199999999999992</c:v>
                </c:pt>
                <c:pt idx="13">
                  <c:v>9.85</c:v>
                </c:pt>
                <c:pt idx="14">
                  <c:v>10.61</c:v>
                </c:pt>
                <c:pt idx="15">
                  <c:v>11.33</c:v>
                </c:pt>
                <c:pt idx="16">
                  <c:v>12.06</c:v>
                </c:pt>
                <c:pt idx="17">
                  <c:v>12.8</c:v>
                </c:pt>
                <c:pt idx="18">
                  <c:v>13.57</c:v>
                </c:pt>
                <c:pt idx="19">
                  <c:v>14.33</c:v>
                </c:pt>
                <c:pt idx="20">
                  <c:v>15.07</c:v>
                </c:pt>
                <c:pt idx="21">
                  <c:v>15.84</c:v>
                </c:pt>
                <c:pt idx="22">
                  <c:v>16.579999999999998</c:v>
                </c:pt>
                <c:pt idx="23">
                  <c:v>17.350000000000001</c:v>
                </c:pt>
                <c:pt idx="24">
                  <c:v>18.079999999999998</c:v>
                </c:pt>
                <c:pt idx="25">
                  <c:v>18.84</c:v>
                </c:pt>
                <c:pt idx="26">
                  <c:v>19.559999999999999</c:v>
                </c:pt>
                <c:pt idx="27">
                  <c:v>20.32</c:v>
                </c:pt>
                <c:pt idx="28">
                  <c:v>21.09</c:v>
                </c:pt>
                <c:pt idx="29">
                  <c:v>21.83</c:v>
                </c:pt>
                <c:pt idx="30">
                  <c:v>22.58</c:v>
                </c:pt>
                <c:pt idx="31">
                  <c:v>23.31</c:v>
                </c:pt>
                <c:pt idx="32">
                  <c:v>24.04</c:v>
                </c:pt>
                <c:pt idx="33">
                  <c:v>24.75</c:v>
                </c:pt>
                <c:pt idx="34">
                  <c:v>25.5</c:v>
                </c:pt>
                <c:pt idx="35">
                  <c:v>26.26</c:v>
                </c:pt>
                <c:pt idx="36">
                  <c:v>26.99</c:v>
                </c:pt>
                <c:pt idx="37">
                  <c:v>27.74</c:v>
                </c:pt>
                <c:pt idx="38">
                  <c:v>28.47</c:v>
                </c:pt>
                <c:pt idx="39">
                  <c:v>29.24</c:v>
                </c:pt>
                <c:pt idx="40">
                  <c:v>29.97</c:v>
                </c:pt>
                <c:pt idx="41">
                  <c:v>30.73</c:v>
                </c:pt>
                <c:pt idx="42">
                  <c:v>31.47</c:v>
                </c:pt>
                <c:pt idx="43">
                  <c:v>32.22</c:v>
                </c:pt>
                <c:pt idx="44">
                  <c:v>32.979999999999997</c:v>
                </c:pt>
                <c:pt idx="45">
                  <c:v>33.729999999999997</c:v>
                </c:pt>
                <c:pt idx="46">
                  <c:v>34.49</c:v>
                </c:pt>
                <c:pt idx="47">
                  <c:v>35.22</c:v>
                </c:pt>
                <c:pt idx="48">
                  <c:v>35.97</c:v>
                </c:pt>
                <c:pt idx="49">
                  <c:v>36.700000000000003</c:v>
                </c:pt>
                <c:pt idx="50">
                  <c:v>37.450000000000003</c:v>
                </c:pt>
                <c:pt idx="51">
                  <c:v>38.18</c:v>
                </c:pt>
                <c:pt idx="52">
                  <c:v>38.950000000000003</c:v>
                </c:pt>
                <c:pt idx="53">
                  <c:v>39.700000000000003</c:v>
                </c:pt>
                <c:pt idx="54">
                  <c:v>40.44</c:v>
                </c:pt>
                <c:pt idx="55">
                  <c:v>41.2</c:v>
                </c:pt>
                <c:pt idx="56">
                  <c:v>41.93</c:v>
                </c:pt>
                <c:pt idx="57">
                  <c:v>42.69</c:v>
                </c:pt>
                <c:pt idx="58">
                  <c:v>43.42</c:v>
                </c:pt>
                <c:pt idx="59">
                  <c:v>44.17</c:v>
                </c:pt>
                <c:pt idx="60">
                  <c:v>44.9</c:v>
                </c:pt>
                <c:pt idx="61">
                  <c:v>45.63</c:v>
                </c:pt>
                <c:pt idx="62">
                  <c:v>46.38</c:v>
                </c:pt>
                <c:pt idx="63">
                  <c:v>47.11</c:v>
                </c:pt>
                <c:pt idx="64">
                  <c:v>47.86</c:v>
                </c:pt>
                <c:pt idx="65">
                  <c:v>48.58</c:v>
                </c:pt>
                <c:pt idx="66">
                  <c:v>49.33</c:v>
                </c:pt>
                <c:pt idx="67">
                  <c:v>50.06</c:v>
                </c:pt>
                <c:pt idx="68">
                  <c:v>50.83</c:v>
                </c:pt>
                <c:pt idx="69">
                  <c:v>51.56</c:v>
                </c:pt>
                <c:pt idx="70">
                  <c:v>52.32</c:v>
                </c:pt>
                <c:pt idx="71">
                  <c:v>53.09</c:v>
                </c:pt>
                <c:pt idx="72">
                  <c:v>53.84</c:v>
                </c:pt>
                <c:pt idx="73">
                  <c:v>54.6</c:v>
                </c:pt>
                <c:pt idx="74">
                  <c:v>55.33</c:v>
                </c:pt>
                <c:pt idx="75">
                  <c:v>56.08</c:v>
                </c:pt>
                <c:pt idx="76">
                  <c:v>56.82</c:v>
                </c:pt>
                <c:pt idx="77">
                  <c:v>57.57</c:v>
                </c:pt>
                <c:pt idx="78">
                  <c:v>58.3</c:v>
                </c:pt>
                <c:pt idx="79">
                  <c:v>59.05</c:v>
                </c:pt>
                <c:pt idx="80">
                  <c:v>59.81</c:v>
                </c:pt>
                <c:pt idx="81">
                  <c:v>60.55</c:v>
                </c:pt>
                <c:pt idx="82">
                  <c:v>61.3</c:v>
                </c:pt>
                <c:pt idx="83">
                  <c:v>62.03</c:v>
                </c:pt>
                <c:pt idx="84">
                  <c:v>62.78</c:v>
                </c:pt>
                <c:pt idx="85">
                  <c:v>63.53</c:v>
                </c:pt>
                <c:pt idx="86">
                  <c:v>64.28</c:v>
                </c:pt>
                <c:pt idx="87">
                  <c:v>65.010000000000005</c:v>
                </c:pt>
                <c:pt idx="88">
                  <c:v>65.760000000000005</c:v>
                </c:pt>
                <c:pt idx="89">
                  <c:v>66.5</c:v>
                </c:pt>
                <c:pt idx="90">
                  <c:v>67.23</c:v>
                </c:pt>
                <c:pt idx="91">
                  <c:v>67.959999999999994</c:v>
                </c:pt>
                <c:pt idx="92">
                  <c:v>68.66</c:v>
                </c:pt>
                <c:pt idx="93">
                  <c:v>69.34</c:v>
                </c:pt>
                <c:pt idx="94">
                  <c:v>69.97</c:v>
                </c:pt>
              </c:numCache>
            </c:numRef>
          </c:xVal>
          <c:yVal>
            <c:numRef>
              <c:f>Curve!$S$2:$S$96</c:f>
              <c:numCache>
                <c:formatCode>General</c:formatCode>
                <c:ptCount val="95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0.2</c:v>
                </c:pt>
                <c:pt idx="32">
                  <c:v>0.2</c:v>
                </c:pt>
                <c:pt idx="33">
                  <c:v>0.2</c:v>
                </c:pt>
                <c:pt idx="34">
                  <c:v>0.2</c:v>
                </c:pt>
                <c:pt idx="35">
                  <c:v>0.2</c:v>
                </c:pt>
                <c:pt idx="36">
                  <c:v>0.2</c:v>
                </c:pt>
                <c:pt idx="37">
                  <c:v>0.2</c:v>
                </c:pt>
                <c:pt idx="38">
                  <c:v>0.2</c:v>
                </c:pt>
                <c:pt idx="39">
                  <c:v>0.2</c:v>
                </c:pt>
                <c:pt idx="40">
                  <c:v>0.2</c:v>
                </c:pt>
                <c:pt idx="41">
                  <c:v>0.2</c:v>
                </c:pt>
                <c:pt idx="42">
                  <c:v>0.2</c:v>
                </c:pt>
                <c:pt idx="43">
                  <c:v>0.2</c:v>
                </c:pt>
                <c:pt idx="44">
                  <c:v>0.2</c:v>
                </c:pt>
                <c:pt idx="45">
                  <c:v>0.2</c:v>
                </c:pt>
                <c:pt idx="46">
                  <c:v>0.2</c:v>
                </c:pt>
                <c:pt idx="47">
                  <c:v>0.2</c:v>
                </c:pt>
                <c:pt idx="48">
                  <c:v>0.2</c:v>
                </c:pt>
                <c:pt idx="49">
                  <c:v>0.2</c:v>
                </c:pt>
                <c:pt idx="50">
                  <c:v>0.2</c:v>
                </c:pt>
                <c:pt idx="51">
                  <c:v>0.2</c:v>
                </c:pt>
                <c:pt idx="52">
                  <c:v>0.2</c:v>
                </c:pt>
                <c:pt idx="53">
                  <c:v>0.2</c:v>
                </c:pt>
                <c:pt idx="54">
                  <c:v>0.2</c:v>
                </c:pt>
                <c:pt idx="55">
                  <c:v>0.2</c:v>
                </c:pt>
                <c:pt idx="56">
                  <c:v>0.2</c:v>
                </c:pt>
                <c:pt idx="57">
                  <c:v>0.2</c:v>
                </c:pt>
                <c:pt idx="58">
                  <c:v>0.2</c:v>
                </c:pt>
                <c:pt idx="59">
                  <c:v>0.2</c:v>
                </c:pt>
                <c:pt idx="60">
                  <c:v>0.2</c:v>
                </c:pt>
                <c:pt idx="61">
                  <c:v>0.2</c:v>
                </c:pt>
                <c:pt idx="62">
                  <c:v>0.2</c:v>
                </c:pt>
                <c:pt idx="63">
                  <c:v>0.2</c:v>
                </c:pt>
                <c:pt idx="64">
                  <c:v>0.2</c:v>
                </c:pt>
                <c:pt idx="65">
                  <c:v>0.2</c:v>
                </c:pt>
                <c:pt idx="66">
                  <c:v>0.2</c:v>
                </c:pt>
                <c:pt idx="67">
                  <c:v>0.2</c:v>
                </c:pt>
                <c:pt idx="68">
                  <c:v>0.2</c:v>
                </c:pt>
                <c:pt idx="69">
                  <c:v>0.2</c:v>
                </c:pt>
                <c:pt idx="70">
                  <c:v>0.2</c:v>
                </c:pt>
                <c:pt idx="71">
                  <c:v>0.2</c:v>
                </c:pt>
                <c:pt idx="72">
                  <c:v>0.2</c:v>
                </c:pt>
                <c:pt idx="73">
                  <c:v>0.2</c:v>
                </c:pt>
                <c:pt idx="74">
                  <c:v>0.2</c:v>
                </c:pt>
                <c:pt idx="75">
                  <c:v>0.2</c:v>
                </c:pt>
                <c:pt idx="76">
                  <c:v>0.2</c:v>
                </c:pt>
                <c:pt idx="77">
                  <c:v>0.2</c:v>
                </c:pt>
                <c:pt idx="78">
                  <c:v>0.2</c:v>
                </c:pt>
                <c:pt idx="79">
                  <c:v>0.2</c:v>
                </c:pt>
                <c:pt idx="80">
                  <c:v>0.2</c:v>
                </c:pt>
                <c:pt idx="81">
                  <c:v>0.2</c:v>
                </c:pt>
                <c:pt idx="82">
                  <c:v>0.2</c:v>
                </c:pt>
                <c:pt idx="83">
                  <c:v>0.2</c:v>
                </c:pt>
                <c:pt idx="84">
                  <c:v>0.2</c:v>
                </c:pt>
                <c:pt idx="85">
                  <c:v>0.2</c:v>
                </c:pt>
                <c:pt idx="86">
                  <c:v>0.2</c:v>
                </c:pt>
                <c:pt idx="87">
                  <c:v>0.2</c:v>
                </c:pt>
                <c:pt idx="88">
                  <c:v>0.2</c:v>
                </c:pt>
                <c:pt idx="89">
                  <c:v>0.2</c:v>
                </c:pt>
                <c:pt idx="90">
                  <c:v>0.2</c:v>
                </c:pt>
                <c:pt idx="91">
                  <c:v>0.2</c:v>
                </c:pt>
                <c:pt idx="92">
                  <c:v>0.2</c:v>
                </c:pt>
                <c:pt idx="93">
                  <c:v>0.2</c:v>
                </c:pt>
                <c:pt idx="94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92-4E0B-9CB9-073968495888}"/>
            </c:ext>
          </c:extLst>
        </c:ser>
        <c:ser>
          <c:idx val="1"/>
          <c:order val="1"/>
          <c:tx>
            <c:strRef>
              <c:f>Curve!$T$1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Curve!$A$2:$A$96</c:f>
              <c:numCache>
                <c:formatCode>General</c:formatCode>
                <c:ptCount val="95"/>
                <c:pt idx="0">
                  <c:v>0.2</c:v>
                </c:pt>
                <c:pt idx="1">
                  <c:v>0.96</c:v>
                </c:pt>
                <c:pt idx="2">
                  <c:v>1.7</c:v>
                </c:pt>
                <c:pt idx="3">
                  <c:v>2.4300000000000002</c:v>
                </c:pt>
                <c:pt idx="4">
                  <c:v>3.16</c:v>
                </c:pt>
                <c:pt idx="5">
                  <c:v>3.91</c:v>
                </c:pt>
                <c:pt idx="6">
                  <c:v>4.6399999999999997</c:v>
                </c:pt>
                <c:pt idx="7">
                  <c:v>5.39</c:v>
                </c:pt>
                <c:pt idx="8">
                  <c:v>6.13</c:v>
                </c:pt>
                <c:pt idx="9">
                  <c:v>6.87</c:v>
                </c:pt>
                <c:pt idx="10">
                  <c:v>7.63</c:v>
                </c:pt>
                <c:pt idx="11">
                  <c:v>8.36</c:v>
                </c:pt>
                <c:pt idx="12">
                  <c:v>9.1199999999999992</c:v>
                </c:pt>
                <c:pt idx="13">
                  <c:v>9.85</c:v>
                </c:pt>
                <c:pt idx="14">
                  <c:v>10.61</c:v>
                </c:pt>
                <c:pt idx="15">
                  <c:v>11.33</c:v>
                </c:pt>
                <c:pt idx="16">
                  <c:v>12.06</c:v>
                </c:pt>
                <c:pt idx="17">
                  <c:v>12.8</c:v>
                </c:pt>
                <c:pt idx="18">
                  <c:v>13.57</c:v>
                </c:pt>
                <c:pt idx="19">
                  <c:v>14.33</c:v>
                </c:pt>
                <c:pt idx="20">
                  <c:v>15.07</c:v>
                </c:pt>
                <c:pt idx="21">
                  <c:v>15.84</c:v>
                </c:pt>
                <c:pt idx="22">
                  <c:v>16.579999999999998</c:v>
                </c:pt>
                <c:pt idx="23">
                  <c:v>17.350000000000001</c:v>
                </c:pt>
                <c:pt idx="24">
                  <c:v>18.079999999999998</c:v>
                </c:pt>
                <c:pt idx="25">
                  <c:v>18.84</c:v>
                </c:pt>
                <c:pt idx="26">
                  <c:v>19.559999999999999</c:v>
                </c:pt>
                <c:pt idx="27">
                  <c:v>20.32</c:v>
                </c:pt>
                <c:pt idx="28">
                  <c:v>21.09</c:v>
                </c:pt>
                <c:pt idx="29">
                  <c:v>21.83</c:v>
                </c:pt>
                <c:pt idx="30">
                  <c:v>22.58</c:v>
                </c:pt>
                <c:pt idx="31">
                  <c:v>23.31</c:v>
                </c:pt>
                <c:pt idx="32">
                  <c:v>24.04</c:v>
                </c:pt>
                <c:pt idx="33">
                  <c:v>24.75</c:v>
                </c:pt>
                <c:pt idx="34">
                  <c:v>25.5</c:v>
                </c:pt>
                <c:pt idx="35">
                  <c:v>26.26</c:v>
                </c:pt>
                <c:pt idx="36">
                  <c:v>26.99</c:v>
                </c:pt>
                <c:pt idx="37">
                  <c:v>27.74</c:v>
                </c:pt>
                <c:pt idx="38">
                  <c:v>28.47</c:v>
                </c:pt>
                <c:pt idx="39">
                  <c:v>29.24</c:v>
                </c:pt>
                <c:pt idx="40">
                  <c:v>29.97</c:v>
                </c:pt>
                <c:pt idx="41">
                  <c:v>30.73</c:v>
                </c:pt>
                <c:pt idx="42">
                  <c:v>31.47</c:v>
                </c:pt>
                <c:pt idx="43">
                  <c:v>32.22</c:v>
                </c:pt>
                <c:pt idx="44">
                  <c:v>32.979999999999997</c:v>
                </c:pt>
                <c:pt idx="45">
                  <c:v>33.729999999999997</c:v>
                </c:pt>
                <c:pt idx="46">
                  <c:v>34.49</c:v>
                </c:pt>
                <c:pt idx="47">
                  <c:v>35.22</c:v>
                </c:pt>
                <c:pt idx="48">
                  <c:v>35.97</c:v>
                </c:pt>
                <c:pt idx="49">
                  <c:v>36.700000000000003</c:v>
                </c:pt>
                <c:pt idx="50">
                  <c:v>37.450000000000003</c:v>
                </c:pt>
                <c:pt idx="51">
                  <c:v>38.18</c:v>
                </c:pt>
                <c:pt idx="52">
                  <c:v>38.950000000000003</c:v>
                </c:pt>
                <c:pt idx="53">
                  <c:v>39.700000000000003</c:v>
                </c:pt>
                <c:pt idx="54">
                  <c:v>40.44</c:v>
                </c:pt>
                <c:pt idx="55">
                  <c:v>41.2</c:v>
                </c:pt>
                <c:pt idx="56">
                  <c:v>41.93</c:v>
                </c:pt>
                <c:pt idx="57">
                  <c:v>42.69</c:v>
                </c:pt>
                <c:pt idx="58">
                  <c:v>43.42</c:v>
                </c:pt>
                <c:pt idx="59">
                  <c:v>44.17</c:v>
                </c:pt>
                <c:pt idx="60">
                  <c:v>44.9</c:v>
                </c:pt>
                <c:pt idx="61">
                  <c:v>45.63</c:v>
                </c:pt>
                <c:pt idx="62">
                  <c:v>46.38</c:v>
                </c:pt>
                <c:pt idx="63">
                  <c:v>47.11</c:v>
                </c:pt>
                <c:pt idx="64">
                  <c:v>47.86</c:v>
                </c:pt>
                <c:pt idx="65">
                  <c:v>48.58</c:v>
                </c:pt>
                <c:pt idx="66">
                  <c:v>49.33</c:v>
                </c:pt>
                <c:pt idx="67">
                  <c:v>50.06</c:v>
                </c:pt>
                <c:pt idx="68">
                  <c:v>50.83</c:v>
                </c:pt>
                <c:pt idx="69">
                  <c:v>51.56</c:v>
                </c:pt>
                <c:pt idx="70">
                  <c:v>52.32</c:v>
                </c:pt>
                <c:pt idx="71">
                  <c:v>53.09</c:v>
                </c:pt>
                <c:pt idx="72">
                  <c:v>53.84</c:v>
                </c:pt>
                <c:pt idx="73">
                  <c:v>54.6</c:v>
                </c:pt>
                <c:pt idx="74">
                  <c:v>55.33</c:v>
                </c:pt>
                <c:pt idx="75">
                  <c:v>56.08</c:v>
                </c:pt>
                <c:pt idx="76">
                  <c:v>56.82</c:v>
                </c:pt>
                <c:pt idx="77">
                  <c:v>57.57</c:v>
                </c:pt>
                <c:pt idx="78">
                  <c:v>58.3</c:v>
                </c:pt>
                <c:pt idx="79">
                  <c:v>59.05</c:v>
                </c:pt>
                <c:pt idx="80">
                  <c:v>59.81</c:v>
                </c:pt>
                <c:pt idx="81">
                  <c:v>60.55</c:v>
                </c:pt>
                <c:pt idx="82">
                  <c:v>61.3</c:v>
                </c:pt>
                <c:pt idx="83">
                  <c:v>62.03</c:v>
                </c:pt>
                <c:pt idx="84">
                  <c:v>62.78</c:v>
                </c:pt>
                <c:pt idx="85">
                  <c:v>63.53</c:v>
                </c:pt>
                <c:pt idx="86">
                  <c:v>64.28</c:v>
                </c:pt>
                <c:pt idx="87">
                  <c:v>65.010000000000005</c:v>
                </c:pt>
                <c:pt idx="88">
                  <c:v>65.760000000000005</c:v>
                </c:pt>
                <c:pt idx="89">
                  <c:v>66.5</c:v>
                </c:pt>
                <c:pt idx="90">
                  <c:v>67.23</c:v>
                </c:pt>
                <c:pt idx="91">
                  <c:v>67.959999999999994</c:v>
                </c:pt>
                <c:pt idx="92">
                  <c:v>68.66</c:v>
                </c:pt>
                <c:pt idx="93">
                  <c:v>69.34</c:v>
                </c:pt>
                <c:pt idx="94">
                  <c:v>69.97</c:v>
                </c:pt>
              </c:numCache>
            </c:numRef>
          </c:xVal>
          <c:yVal>
            <c:numRef>
              <c:f>Curve!$T$2:$T$96</c:f>
              <c:numCache>
                <c:formatCode>General</c:formatCode>
                <c:ptCount val="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92-4E0B-9CB9-073968495888}"/>
            </c:ext>
          </c:extLst>
        </c:ser>
        <c:ser>
          <c:idx val="2"/>
          <c:order val="2"/>
          <c:tx>
            <c:strRef>
              <c:f>Curve!$O$1</c:f>
              <c:strCache>
                <c:ptCount val="1"/>
                <c:pt idx="0">
                  <c:v>[1_Opr_dW/dT]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Curve!$A$2:$A$96</c:f>
              <c:numCache>
                <c:formatCode>General</c:formatCode>
                <c:ptCount val="95"/>
                <c:pt idx="0">
                  <c:v>0.2</c:v>
                </c:pt>
                <c:pt idx="1">
                  <c:v>0.96</c:v>
                </c:pt>
                <c:pt idx="2">
                  <c:v>1.7</c:v>
                </c:pt>
                <c:pt idx="3">
                  <c:v>2.4300000000000002</c:v>
                </c:pt>
                <c:pt idx="4">
                  <c:v>3.16</c:v>
                </c:pt>
                <c:pt idx="5">
                  <c:v>3.91</c:v>
                </c:pt>
                <c:pt idx="6">
                  <c:v>4.6399999999999997</c:v>
                </c:pt>
                <c:pt idx="7">
                  <c:v>5.39</c:v>
                </c:pt>
                <c:pt idx="8">
                  <c:v>6.13</c:v>
                </c:pt>
                <c:pt idx="9">
                  <c:v>6.87</c:v>
                </c:pt>
                <c:pt idx="10">
                  <c:v>7.63</c:v>
                </c:pt>
                <c:pt idx="11">
                  <c:v>8.36</c:v>
                </c:pt>
                <c:pt idx="12">
                  <c:v>9.1199999999999992</c:v>
                </c:pt>
                <c:pt idx="13">
                  <c:v>9.85</c:v>
                </c:pt>
                <c:pt idx="14">
                  <c:v>10.61</c:v>
                </c:pt>
                <c:pt idx="15">
                  <c:v>11.33</c:v>
                </c:pt>
                <c:pt idx="16">
                  <c:v>12.06</c:v>
                </c:pt>
                <c:pt idx="17">
                  <c:v>12.8</c:v>
                </c:pt>
                <c:pt idx="18">
                  <c:v>13.57</c:v>
                </c:pt>
                <c:pt idx="19">
                  <c:v>14.33</c:v>
                </c:pt>
                <c:pt idx="20">
                  <c:v>15.07</c:v>
                </c:pt>
                <c:pt idx="21">
                  <c:v>15.84</c:v>
                </c:pt>
                <c:pt idx="22">
                  <c:v>16.579999999999998</c:v>
                </c:pt>
                <c:pt idx="23">
                  <c:v>17.350000000000001</c:v>
                </c:pt>
                <c:pt idx="24">
                  <c:v>18.079999999999998</c:v>
                </c:pt>
                <c:pt idx="25">
                  <c:v>18.84</c:v>
                </c:pt>
                <c:pt idx="26">
                  <c:v>19.559999999999999</c:v>
                </c:pt>
                <c:pt idx="27">
                  <c:v>20.32</c:v>
                </c:pt>
                <c:pt idx="28">
                  <c:v>21.09</c:v>
                </c:pt>
                <c:pt idx="29">
                  <c:v>21.83</c:v>
                </c:pt>
                <c:pt idx="30">
                  <c:v>22.58</c:v>
                </c:pt>
                <c:pt idx="31">
                  <c:v>23.31</c:v>
                </c:pt>
                <c:pt idx="32">
                  <c:v>24.04</c:v>
                </c:pt>
                <c:pt idx="33">
                  <c:v>24.75</c:v>
                </c:pt>
                <c:pt idx="34">
                  <c:v>25.5</c:v>
                </c:pt>
                <c:pt idx="35">
                  <c:v>26.26</c:v>
                </c:pt>
                <c:pt idx="36">
                  <c:v>26.99</c:v>
                </c:pt>
                <c:pt idx="37">
                  <c:v>27.74</c:v>
                </c:pt>
                <c:pt idx="38">
                  <c:v>28.47</c:v>
                </c:pt>
                <c:pt idx="39">
                  <c:v>29.24</c:v>
                </c:pt>
                <c:pt idx="40">
                  <c:v>29.97</c:v>
                </c:pt>
                <c:pt idx="41">
                  <c:v>30.73</c:v>
                </c:pt>
                <c:pt idx="42">
                  <c:v>31.47</c:v>
                </c:pt>
                <c:pt idx="43">
                  <c:v>32.22</c:v>
                </c:pt>
                <c:pt idx="44">
                  <c:v>32.979999999999997</c:v>
                </c:pt>
                <c:pt idx="45">
                  <c:v>33.729999999999997</c:v>
                </c:pt>
                <c:pt idx="46">
                  <c:v>34.49</c:v>
                </c:pt>
                <c:pt idx="47">
                  <c:v>35.22</c:v>
                </c:pt>
                <c:pt idx="48">
                  <c:v>35.97</c:v>
                </c:pt>
                <c:pt idx="49">
                  <c:v>36.700000000000003</c:v>
                </c:pt>
                <c:pt idx="50">
                  <c:v>37.450000000000003</c:v>
                </c:pt>
                <c:pt idx="51">
                  <c:v>38.18</c:v>
                </c:pt>
                <c:pt idx="52">
                  <c:v>38.950000000000003</c:v>
                </c:pt>
                <c:pt idx="53">
                  <c:v>39.700000000000003</c:v>
                </c:pt>
                <c:pt idx="54">
                  <c:v>40.44</c:v>
                </c:pt>
                <c:pt idx="55">
                  <c:v>41.2</c:v>
                </c:pt>
                <c:pt idx="56">
                  <c:v>41.93</c:v>
                </c:pt>
                <c:pt idx="57">
                  <c:v>42.69</c:v>
                </c:pt>
                <c:pt idx="58">
                  <c:v>43.42</c:v>
                </c:pt>
                <c:pt idx="59">
                  <c:v>44.17</c:v>
                </c:pt>
                <c:pt idx="60">
                  <c:v>44.9</c:v>
                </c:pt>
                <c:pt idx="61">
                  <c:v>45.63</c:v>
                </c:pt>
                <c:pt idx="62">
                  <c:v>46.38</c:v>
                </c:pt>
                <c:pt idx="63">
                  <c:v>47.11</c:v>
                </c:pt>
                <c:pt idx="64">
                  <c:v>47.86</c:v>
                </c:pt>
                <c:pt idx="65">
                  <c:v>48.58</c:v>
                </c:pt>
                <c:pt idx="66">
                  <c:v>49.33</c:v>
                </c:pt>
                <c:pt idx="67">
                  <c:v>50.06</c:v>
                </c:pt>
                <c:pt idx="68">
                  <c:v>50.83</c:v>
                </c:pt>
                <c:pt idx="69">
                  <c:v>51.56</c:v>
                </c:pt>
                <c:pt idx="70">
                  <c:v>52.32</c:v>
                </c:pt>
                <c:pt idx="71">
                  <c:v>53.09</c:v>
                </c:pt>
                <c:pt idx="72">
                  <c:v>53.84</c:v>
                </c:pt>
                <c:pt idx="73">
                  <c:v>54.6</c:v>
                </c:pt>
                <c:pt idx="74">
                  <c:v>55.33</c:v>
                </c:pt>
                <c:pt idx="75">
                  <c:v>56.08</c:v>
                </c:pt>
                <c:pt idx="76">
                  <c:v>56.82</c:v>
                </c:pt>
                <c:pt idx="77">
                  <c:v>57.57</c:v>
                </c:pt>
                <c:pt idx="78">
                  <c:v>58.3</c:v>
                </c:pt>
                <c:pt idx="79">
                  <c:v>59.05</c:v>
                </c:pt>
                <c:pt idx="80">
                  <c:v>59.81</c:v>
                </c:pt>
                <c:pt idx="81">
                  <c:v>60.55</c:v>
                </c:pt>
                <c:pt idx="82">
                  <c:v>61.3</c:v>
                </c:pt>
                <c:pt idx="83">
                  <c:v>62.03</c:v>
                </c:pt>
                <c:pt idx="84">
                  <c:v>62.78</c:v>
                </c:pt>
                <c:pt idx="85">
                  <c:v>63.53</c:v>
                </c:pt>
                <c:pt idx="86">
                  <c:v>64.28</c:v>
                </c:pt>
                <c:pt idx="87">
                  <c:v>65.010000000000005</c:v>
                </c:pt>
                <c:pt idx="88">
                  <c:v>65.760000000000005</c:v>
                </c:pt>
                <c:pt idx="89">
                  <c:v>66.5</c:v>
                </c:pt>
                <c:pt idx="90">
                  <c:v>67.23</c:v>
                </c:pt>
                <c:pt idx="91">
                  <c:v>67.959999999999994</c:v>
                </c:pt>
                <c:pt idx="92">
                  <c:v>68.66</c:v>
                </c:pt>
                <c:pt idx="93">
                  <c:v>69.34</c:v>
                </c:pt>
                <c:pt idx="94">
                  <c:v>69.97</c:v>
                </c:pt>
              </c:numCache>
            </c:numRef>
          </c:xVal>
          <c:yVal>
            <c:numRef>
              <c:f>Curve!$O$2:$O$96</c:f>
              <c:numCache>
                <c:formatCode>General</c:formatCode>
                <c:ptCount val="95"/>
                <c:pt idx="0">
                  <c:v>0.06</c:v>
                </c:pt>
                <c:pt idx="1">
                  <c:v>0.06</c:v>
                </c:pt>
                <c:pt idx="2">
                  <c:v>7.0000000000000007E-2</c:v>
                </c:pt>
                <c:pt idx="3">
                  <c:v>0.06</c:v>
                </c:pt>
                <c:pt idx="4">
                  <c:v>0.08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0.06</c:v>
                </c:pt>
                <c:pt idx="11">
                  <c:v>0.08</c:v>
                </c:pt>
                <c:pt idx="12">
                  <c:v>0.08</c:v>
                </c:pt>
                <c:pt idx="13">
                  <c:v>0.08</c:v>
                </c:pt>
                <c:pt idx="14">
                  <c:v>0.08</c:v>
                </c:pt>
                <c:pt idx="15">
                  <c:v>0.08</c:v>
                </c:pt>
                <c:pt idx="16">
                  <c:v>0.08</c:v>
                </c:pt>
                <c:pt idx="17">
                  <c:v>0.08</c:v>
                </c:pt>
                <c:pt idx="18">
                  <c:v>7.0000000000000007E-2</c:v>
                </c:pt>
                <c:pt idx="19">
                  <c:v>0.08</c:v>
                </c:pt>
                <c:pt idx="20">
                  <c:v>0.08</c:v>
                </c:pt>
                <c:pt idx="21">
                  <c:v>0.08</c:v>
                </c:pt>
                <c:pt idx="22">
                  <c:v>0.08</c:v>
                </c:pt>
                <c:pt idx="23">
                  <c:v>7.0000000000000007E-2</c:v>
                </c:pt>
                <c:pt idx="24">
                  <c:v>0.08</c:v>
                </c:pt>
                <c:pt idx="25">
                  <c:v>0.09</c:v>
                </c:pt>
                <c:pt idx="26">
                  <c:v>0.08</c:v>
                </c:pt>
                <c:pt idx="27">
                  <c:v>0.08</c:v>
                </c:pt>
                <c:pt idx="28">
                  <c:v>0.09</c:v>
                </c:pt>
                <c:pt idx="29">
                  <c:v>0.08</c:v>
                </c:pt>
                <c:pt idx="30">
                  <c:v>0.09</c:v>
                </c:pt>
                <c:pt idx="31">
                  <c:v>0.09</c:v>
                </c:pt>
                <c:pt idx="32">
                  <c:v>0.09</c:v>
                </c:pt>
                <c:pt idx="33">
                  <c:v>0.09</c:v>
                </c:pt>
                <c:pt idx="34">
                  <c:v>0.09</c:v>
                </c:pt>
                <c:pt idx="35">
                  <c:v>0.09</c:v>
                </c:pt>
                <c:pt idx="36">
                  <c:v>0.09</c:v>
                </c:pt>
                <c:pt idx="37">
                  <c:v>0.08</c:v>
                </c:pt>
                <c:pt idx="38">
                  <c:v>0.1</c:v>
                </c:pt>
                <c:pt idx="39">
                  <c:v>0.08</c:v>
                </c:pt>
                <c:pt idx="40">
                  <c:v>0.09</c:v>
                </c:pt>
                <c:pt idx="41">
                  <c:v>0.09</c:v>
                </c:pt>
                <c:pt idx="42">
                  <c:v>0.1</c:v>
                </c:pt>
                <c:pt idx="43">
                  <c:v>0.09</c:v>
                </c:pt>
                <c:pt idx="44">
                  <c:v>0.09</c:v>
                </c:pt>
                <c:pt idx="45">
                  <c:v>0.09</c:v>
                </c:pt>
                <c:pt idx="46">
                  <c:v>0.09</c:v>
                </c:pt>
                <c:pt idx="47">
                  <c:v>0.11</c:v>
                </c:pt>
                <c:pt idx="48">
                  <c:v>0.09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0.09</c:v>
                </c:pt>
                <c:pt idx="53">
                  <c:v>0.09</c:v>
                </c:pt>
                <c:pt idx="54">
                  <c:v>0.1</c:v>
                </c:pt>
                <c:pt idx="55">
                  <c:v>0.11</c:v>
                </c:pt>
                <c:pt idx="56">
                  <c:v>0.11</c:v>
                </c:pt>
                <c:pt idx="57">
                  <c:v>0.1</c:v>
                </c:pt>
                <c:pt idx="58">
                  <c:v>0.11</c:v>
                </c:pt>
                <c:pt idx="59">
                  <c:v>0.1</c:v>
                </c:pt>
                <c:pt idx="60">
                  <c:v>0.1</c:v>
                </c:pt>
                <c:pt idx="61">
                  <c:v>0.12</c:v>
                </c:pt>
                <c:pt idx="62">
                  <c:v>0.11</c:v>
                </c:pt>
                <c:pt idx="63">
                  <c:v>0.11</c:v>
                </c:pt>
                <c:pt idx="64">
                  <c:v>0.11</c:v>
                </c:pt>
                <c:pt idx="65">
                  <c:v>0.1</c:v>
                </c:pt>
                <c:pt idx="66">
                  <c:v>0.11</c:v>
                </c:pt>
                <c:pt idx="67">
                  <c:v>0.12</c:v>
                </c:pt>
                <c:pt idx="68">
                  <c:v>0.11</c:v>
                </c:pt>
                <c:pt idx="69">
                  <c:v>0.12</c:v>
                </c:pt>
                <c:pt idx="70">
                  <c:v>0.11</c:v>
                </c:pt>
                <c:pt idx="71">
                  <c:v>0.11</c:v>
                </c:pt>
                <c:pt idx="72">
                  <c:v>0.12</c:v>
                </c:pt>
                <c:pt idx="73">
                  <c:v>0.11</c:v>
                </c:pt>
                <c:pt idx="74">
                  <c:v>0.12</c:v>
                </c:pt>
                <c:pt idx="75">
                  <c:v>0.11</c:v>
                </c:pt>
                <c:pt idx="76">
                  <c:v>0.14000000000000001</c:v>
                </c:pt>
                <c:pt idx="77">
                  <c:v>0.13</c:v>
                </c:pt>
                <c:pt idx="78">
                  <c:v>0.13</c:v>
                </c:pt>
                <c:pt idx="79">
                  <c:v>0.12</c:v>
                </c:pt>
                <c:pt idx="80">
                  <c:v>0.14000000000000001</c:v>
                </c:pt>
                <c:pt idx="81">
                  <c:v>0.13</c:v>
                </c:pt>
                <c:pt idx="82">
                  <c:v>0.15</c:v>
                </c:pt>
                <c:pt idx="83">
                  <c:v>0.15</c:v>
                </c:pt>
                <c:pt idx="84">
                  <c:v>0.15</c:v>
                </c:pt>
                <c:pt idx="85">
                  <c:v>0.15</c:v>
                </c:pt>
                <c:pt idx="86">
                  <c:v>0.14000000000000001</c:v>
                </c:pt>
                <c:pt idx="87">
                  <c:v>0.18</c:v>
                </c:pt>
                <c:pt idx="88">
                  <c:v>0.17</c:v>
                </c:pt>
                <c:pt idx="89">
                  <c:v>0.18</c:v>
                </c:pt>
                <c:pt idx="90">
                  <c:v>0.19</c:v>
                </c:pt>
                <c:pt idx="91">
                  <c:v>0.11</c:v>
                </c:pt>
                <c:pt idx="92">
                  <c:v>0.1</c:v>
                </c:pt>
                <c:pt idx="93">
                  <c:v>0.11</c:v>
                </c:pt>
                <c:pt idx="94">
                  <c:v>0.13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392-4E0B-9CB9-073968495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088032"/>
        <c:axId val="141777696"/>
      </c:scatterChart>
      <c:valAx>
        <c:axId val="350088032"/>
        <c:scaling>
          <c:orientation val="minMax"/>
          <c:max val="7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Case_Temp (℃)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77696"/>
        <c:crossesAt val="-0.60000000000000009"/>
        <c:crossBetween val="midCat"/>
        <c:majorUnit val="5"/>
      </c:valAx>
      <c:valAx>
        <c:axId val="141777696"/>
        <c:scaling>
          <c:orientation val="minMax"/>
          <c:max val="0.60000000000000009"/>
          <c:min val="-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dWL/dT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088032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Operational Current@dWL/dT</a:t>
            </a:r>
            <a:r>
              <a:rPr lang="en-US" sz="1800" baseline="0"/>
              <a:t> </a:t>
            </a:r>
            <a:r>
              <a:rPr lang="en-US" sz="1800"/>
              <a:t>Channel 5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Curve!$S$1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Curve!$A$2:$A$96</c:f>
              <c:numCache>
                <c:formatCode>General</c:formatCode>
                <c:ptCount val="95"/>
                <c:pt idx="0">
                  <c:v>0.2</c:v>
                </c:pt>
                <c:pt idx="1">
                  <c:v>0.96</c:v>
                </c:pt>
                <c:pt idx="2">
                  <c:v>1.7</c:v>
                </c:pt>
                <c:pt idx="3">
                  <c:v>2.4300000000000002</c:v>
                </c:pt>
                <c:pt idx="4">
                  <c:v>3.16</c:v>
                </c:pt>
                <c:pt idx="5">
                  <c:v>3.91</c:v>
                </c:pt>
                <c:pt idx="6">
                  <c:v>4.6399999999999997</c:v>
                </c:pt>
                <c:pt idx="7">
                  <c:v>5.39</c:v>
                </c:pt>
                <c:pt idx="8">
                  <c:v>6.13</c:v>
                </c:pt>
                <c:pt idx="9">
                  <c:v>6.87</c:v>
                </c:pt>
                <c:pt idx="10">
                  <c:v>7.63</c:v>
                </c:pt>
                <c:pt idx="11">
                  <c:v>8.36</c:v>
                </c:pt>
                <c:pt idx="12">
                  <c:v>9.1199999999999992</c:v>
                </c:pt>
                <c:pt idx="13">
                  <c:v>9.85</c:v>
                </c:pt>
                <c:pt idx="14">
                  <c:v>10.61</c:v>
                </c:pt>
                <c:pt idx="15">
                  <c:v>11.33</c:v>
                </c:pt>
                <c:pt idx="16">
                  <c:v>12.06</c:v>
                </c:pt>
                <c:pt idx="17">
                  <c:v>12.8</c:v>
                </c:pt>
                <c:pt idx="18">
                  <c:v>13.57</c:v>
                </c:pt>
                <c:pt idx="19">
                  <c:v>14.33</c:v>
                </c:pt>
                <c:pt idx="20">
                  <c:v>15.07</c:v>
                </c:pt>
                <c:pt idx="21">
                  <c:v>15.84</c:v>
                </c:pt>
                <c:pt idx="22">
                  <c:v>16.579999999999998</c:v>
                </c:pt>
                <c:pt idx="23">
                  <c:v>17.350000000000001</c:v>
                </c:pt>
                <c:pt idx="24">
                  <c:v>18.079999999999998</c:v>
                </c:pt>
                <c:pt idx="25">
                  <c:v>18.84</c:v>
                </c:pt>
                <c:pt idx="26">
                  <c:v>19.559999999999999</c:v>
                </c:pt>
                <c:pt idx="27">
                  <c:v>20.32</c:v>
                </c:pt>
                <c:pt idx="28">
                  <c:v>21.09</c:v>
                </c:pt>
                <c:pt idx="29">
                  <c:v>21.83</c:v>
                </c:pt>
                <c:pt idx="30">
                  <c:v>22.58</c:v>
                </c:pt>
                <c:pt idx="31">
                  <c:v>23.31</c:v>
                </c:pt>
                <c:pt idx="32">
                  <c:v>24.04</c:v>
                </c:pt>
                <c:pt idx="33">
                  <c:v>24.75</c:v>
                </c:pt>
                <c:pt idx="34">
                  <c:v>25.5</c:v>
                </c:pt>
                <c:pt idx="35">
                  <c:v>26.26</c:v>
                </c:pt>
                <c:pt idx="36">
                  <c:v>26.99</c:v>
                </c:pt>
                <c:pt idx="37">
                  <c:v>27.74</c:v>
                </c:pt>
                <c:pt idx="38">
                  <c:v>28.47</c:v>
                </c:pt>
                <c:pt idx="39">
                  <c:v>29.24</c:v>
                </c:pt>
                <c:pt idx="40">
                  <c:v>29.97</c:v>
                </c:pt>
                <c:pt idx="41">
                  <c:v>30.73</c:v>
                </c:pt>
                <c:pt idx="42">
                  <c:v>31.47</c:v>
                </c:pt>
                <c:pt idx="43">
                  <c:v>32.22</c:v>
                </c:pt>
                <c:pt idx="44">
                  <c:v>32.979999999999997</c:v>
                </c:pt>
                <c:pt idx="45">
                  <c:v>33.729999999999997</c:v>
                </c:pt>
                <c:pt idx="46">
                  <c:v>34.49</c:v>
                </c:pt>
                <c:pt idx="47">
                  <c:v>35.22</c:v>
                </c:pt>
                <c:pt idx="48">
                  <c:v>35.97</c:v>
                </c:pt>
                <c:pt idx="49">
                  <c:v>36.700000000000003</c:v>
                </c:pt>
                <c:pt idx="50">
                  <c:v>37.450000000000003</c:v>
                </c:pt>
                <c:pt idx="51">
                  <c:v>38.18</c:v>
                </c:pt>
                <c:pt idx="52">
                  <c:v>38.950000000000003</c:v>
                </c:pt>
                <c:pt idx="53">
                  <c:v>39.700000000000003</c:v>
                </c:pt>
                <c:pt idx="54">
                  <c:v>40.44</c:v>
                </c:pt>
                <c:pt idx="55">
                  <c:v>41.2</c:v>
                </c:pt>
                <c:pt idx="56">
                  <c:v>41.93</c:v>
                </c:pt>
                <c:pt idx="57">
                  <c:v>42.69</c:v>
                </c:pt>
                <c:pt idx="58">
                  <c:v>43.42</c:v>
                </c:pt>
                <c:pt idx="59">
                  <c:v>44.17</c:v>
                </c:pt>
                <c:pt idx="60">
                  <c:v>44.9</c:v>
                </c:pt>
                <c:pt idx="61">
                  <c:v>45.63</c:v>
                </c:pt>
                <c:pt idx="62">
                  <c:v>46.38</c:v>
                </c:pt>
                <c:pt idx="63">
                  <c:v>47.11</c:v>
                </c:pt>
                <c:pt idx="64">
                  <c:v>47.86</c:v>
                </c:pt>
                <c:pt idx="65">
                  <c:v>48.58</c:v>
                </c:pt>
                <c:pt idx="66">
                  <c:v>49.33</c:v>
                </c:pt>
                <c:pt idx="67">
                  <c:v>50.06</c:v>
                </c:pt>
                <c:pt idx="68">
                  <c:v>50.83</c:v>
                </c:pt>
                <c:pt idx="69">
                  <c:v>51.56</c:v>
                </c:pt>
                <c:pt idx="70">
                  <c:v>52.32</c:v>
                </c:pt>
                <c:pt idx="71">
                  <c:v>53.09</c:v>
                </c:pt>
                <c:pt idx="72">
                  <c:v>53.84</c:v>
                </c:pt>
                <c:pt idx="73">
                  <c:v>54.6</c:v>
                </c:pt>
                <c:pt idx="74">
                  <c:v>55.33</c:v>
                </c:pt>
                <c:pt idx="75">
                  <c:v>56.08</c:v>
                </c:pt>
                <c:pt idx="76">
                  <c:v>56.82</c:v>
                </c:pt>
                <c:pt idx="77">
                  <c:v>57.57</c:v>
                </c:pt>
                <c:pt idx="78">
                  <c:v>58.3</c:v>
                </c:pt>
                <c:pt idx="79">
                  <c:v>59.05</c:v>
                </c:pt>
                <c:pt idx="80">
                  <c:v>59.81</c:v>
                </c:pt>
                <c:pt idx="81">
                  <c:v>60.55</c:v>
                </c:pt>
                <c:pt idx="82">
                  <c:v>61.3</c:v>
                </c:pt>
                <c:pt idx="83">
                  <c:v>62.03</c:v>
                </c:pt>
                <c:pt idx="84">
                  <c:v>62.78</c:v>
                </c:pt>
                <c:pt idx="85">
                  <c:v>63.53</c:v>
                </c:pt>
                <c:pt idx="86">
                  <c:v>64.28</c:v>
                </c:pt>
                <c:pt idx="87">
                  <c:v>65.010000000000005</c:v>
                </c:pt>
                <c:pt idx="88">
                  <c:v>65.760000000000005</c:v>
                </c:pt>
                <c:pt idx="89">
                  <c:v>66.5</c:v>
                </c:pt>
                <c:pt idx="90">
                  <c:v>67.23</c:v>
                </c:pt>
                <c:pt idx="91">
                  <c:v>67.959999999999994</c:v>
                </c:pt>
                <c:pt idx="92">
                  <c:v>68.66</c:v>
                </c:pt>
                <c:pt idx="93">
                  <c:v>69.34</c:v>
                </c:pt>
                <c:pt idx="94">
                  <c:v>69.97</c:v>
                </c:pt>
              </c:numCache>
            </c:numRef>
          </c:xVal>
          <c:yVal>
            <c:numRef>
              <c:f>Curve!$S$2:$S$96</c:f>
              <c:numCache>
                <c:formatCode>General</c:formatCode>
                <c:ptCount val="95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0.2</c:v>
                </c:pt>
                <c:pt idx="32">
                  <c:v>0.2</c:v>
                </c:pt>
                <c:pt idx="33">
                  <c:v>0.2</c:v>
                </c:pt>
                <c:pt idx="34">
                  <c:v>0.2</c:v>
                </c:pt>
                <c:pt idx="35">
                  <c:v>0.2</c:v>
                </c:pt>
                <c:pt idx="36">
                  <c:v>0.2</c:v>
                </c:pt>
                <c:pt idx="37">
                  <c:v>0.2</c:v>
                </c:pt>
                <c:pt idx="38">
                  <c:v>0.2</c:v>
                </c:pt>
                <c:pt idx="39">
                  <c:v>0.2</c:v>
                </c:pt>
                <c:pt idx="40">
                  <c:v>0.2</c:v>
                </c:pt>
                <c:pt idx="41">
                  <c:v>0.2</c:v>
                </c:pt>
                <c:pt idx="42">
                  <c:v>0.2</c:v>
                </c:pt>
                <c:pt idx="43">
                  <c:v>0.2</c:v>
                </c:pt>
                <c:pt idx="44">
                  <c:v>0.2</c:v>
                </c:pt>
                <c:pt idx="45">
                  <c:v>0.2</c:v>
                </c:pt>
                <c:pt idx="46">
                  <c:v>0.2</c:v>
                </c:pt>
                <c:pt idx="47">
                  <c:v>0.2</c:v>
                </c:pt>
                <c:pt idx="48">
                  <c:v>0.2</c:v>
                </c:pt>
                <c:pt idx="49">
                  <c:v>0.2</c:v>
                </c:pt>
                <c:pt idx="50">
                  <c:v>0.2</c:v>
                </c:pt>
                <c:pt idx="51">
                  <c:v>0.2</c:v>
                </c:pt>
                <c:pt idx="52">
                  <c:v>0.2</c:v>
                </c:pt>
                <c:pt idx="53">
                  <c:v>0.2</c:v>
                </c:pt>
                <c:pt idx="54">
                  <c:v>0.2</c:v>
                </c:pt>
                <c:pt idx="55">
                  <c:v>0.2</c:v>
                </c:pt>
                <c:pt idx="56">
                  <c:v>0.2</c:v>
                </c:pt>
                <c:pt idx="57">
                  <c:v>0.2</c:v>
                </c:pt>
                <c:pt idx="58">
                  <c:v>0.2</c:v>
                </c:pt>
                <c:pt idx="59">
                  <c:v>0.2</c:v>
                </c:pt>
                <c:pt idx="60">
                  <c:v>0.2</c:v>
                </c:pt>
                <c:pt idx="61">
                  <c:v>0.2</c:v>
                </c:pt>
                <c:pt idx="62">
                  <c:v>0.2</c:v>
                </c:pt>
                <c:pt idx="63">
                  <c:v>0.2</c:v>
                </c:pt>
                <c:pt idx="64">
                  <c:v>0.2</c:v>
                </c:pt>
                <c:pt idx="65">
                  <c:v>0.2</c:v>
                </c:pt>
                <c:pt idx="66">
                  <c:v>0.2</c:v>
                </c:pt>
                <c:pt idx="67">
                  <c:v>0.2</c:v>
                </c:pt>
                <c:pt idx="68">
                  <c:v>0.2</c:v>
                </c:pt>
                <c:pt idx="69">
                  <c:v>0.2</c:v>
                </c:pt>
                <c:pt idx="70">
                  <c:v>0.2</c:v>
                </c:pt>
                <c:pt idx="71">
                  <c:v>0.2</c:v>
                </c:pt>
                <c:pt idx="72">
                  <c:v>0.2</c:v>
                </c:pt>
                <c:pt idx="73">
                  <c:v>0.2</c:v>
                </c:pt>
                <c:pt idx="74">
                  <c:v>0.2</c:v>
                </c:pt>
                <c:pt idx="75">
                  <c:v>0.2</c:v>
                </c:pt>
                <c:pt idx="76">
                  <c:v>0.2</c:v>
                </c:pt>
                <c:pt idx="77">
                  <c:v>0.2</c:v>
                </c:pt>
                <c:pt idx="78">
                  <c:v>0.2</c:v>
                </c:pt>
                <c:pt idx="79">
                  <c:v>0.2</c:v>
                </c:pt>
                <c:pt idx="80">
                  <c:v>0.2</c:v>
                </c:pt>
                <c:pt idx="81">
                  <c:v>0.2</c:v>
                </c:pt>
                <c:pt idx="82">
                  <c:v>0.2</c:v>
                </c:pt>
                <c:pt idx="83">
                  <c:v>0.2</c:v>
                </c:pt>
                <c:pt idx="84">
                  <c:v>0.2</c:v>
                </c:pt>
                <c:pt idx="85">
                  <c:v>0.2</c:v>
                </c:pt>
                <c:pt idx="86">
                  <c:v>0.2</c:v>
                </c:pt>
                <c:pt idx="87">
                  <c:v>0.2</c:v>
                </c:pt>
                <c:pt idx="88">
                  <c:v>0.2</c:v>
                </c:pt>
                <c:pt idx="89">
                  <c:v>0.2</c:v>
                </c:pt>
                <c:pt idx="90">
                  <c:v>0.2</c:v>
                </c:pt>
                <c:pt idx="91">
                  <c:v>0.2</c:v>
                </c:pt>
                <c:pt idx="92">
                  <c:v>0.2</c:v>
                </c:pt>
                <c:pt idx="93">
                  <c:v>0.2</c:v>
                </c:pt>
                <c:pt idx="94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AE-425A-A8F9-F41BB407BCF9}"/>
            </c:ext>
          </c:extLst>
        </c:ser>
        <c:ser>
          <c:idx val="1"/>
          <c:order val="1"/>
          <c:tx>
            <c:strRef>
              <c:f>Curve!$T$1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Curve!$A$2:$A$96</c:f>
              <c:numCache>
                <c:formatCode>General</c:formatCode>
                <c:ptCount val="95"/>
                <c:pt idx="0">
                  <c:v>0.2</c:v>
                </c:pt>
                <c:pt idx="1">
                  <c:v>0.96</c:v>
                </c:pt>
                <c:pt idx="2">
                  <c:v>1.7</c:v>
                </c:pt>
                <c:pt idx="3">
                  <c:v>2.4300000000000002</c:v>
                </c:pt>
                <c:pt idx="4">
                  <c:v>3.16</c:v>
                </c:pt>
                <c:pt idx="5">
                  <c:v>3.91</c:v>
                </c:pt>
                <c:pt idx="6">
                  <c:v>4.6399999999999997</c:v>
                </c:pt>
                <c:pt idx="7">
                  <c:v>5.39</c:v>
                </c:pt>
                <c:pt idx="8">
                  <c:v>6.13</c:v>
                </c:pt>
                <c:pt idx="9">
                  <c:v>6.87</c:v>
                </c:pt>
                <c:pt idx="10">
                  <c:v>7.63</c:v>
                </c:pt>
                <c:pt idx="11">
                  <c:v>8.36</c:v>
                </c:pt>
                <c:pt idx="12">
                  <c:v>9.1199999999999992</c:v>
                </c:pt>
                <c:pt idx="13">
                  <c:v>9.85</c:v>
                </c:pt>
                <c:pt idx="14">
                  <c:v>10.61</c:v>
                </c:pt>
                <c:pt idx="15">
                  <c:v>11.33</c:v>
                </c:pt>
                <c:pt idx="16">
                  <c:v>12.06</c:v>
                </c:pt>
                <c:pt idx="17">
                  <c:v>12.8</c:v>
                </c:pt>
                <c:pt idx="18">
                  <c:v>13.57</c:v>
                </c:pt>
                <c:pt idx="19">
                  <c:v>14.33</c:v>
                </c:pt>
                <c:pt idx="20">
                  <c:v>15.07</c:v>
                </c:pt>
                <c:pt idx="21">
                  <c:v>15.84</c:v>
                </c:pt>
                <c:pt idx="22">
                  <c:v>16.579999999999998</c:v>
                </c:pt>
                <c:pt idx="23">
                  <c:v>17.350000000000001</c:v>
                </c:pt>
                <c:pt idx="24">
                  <c:v>18.079999999999998</c:v>
                </c:pt>
                <c:pt idx="25">
                  <c:v>18.84</c:v>
                </c:pt>
                <c:pt idx="26">
                  <c:v>19.559999999999999</c:v>
                </c:pt>
                <c:pt idx="27">
                  <c:v>20.32</c:v>
                </c:pt>
                <c:pt idx="28">
                  <c:v>21.09</c:v>
                </c:pt>
                <c:pt idx="29">
                  <c:v>21.83</c:v>
                </c:pt>
                <c:pt idx="30">
                  <c:v>22.58</c:v>
                </c:pt>
                <c:pt idx="31">
                  <c:v>23.31</c:v>
                </c:pt>
                <c:pt idx="32">
                  <c:v>24.04</c:v>
                </c:pt>
                <c:pt idx="33">
                  <c:v>24.75</c:v>
                </c:pt>
                <c:pt idx="34">
                  <c:v>25.5</c:v>
                </c:pt>
                <c:pt idx="35">
                  <c:v>26.26</c:v>
                </c:pt>
                <c:pt idx="36">
                  <c:v>26.99</c:v>
                </c:pt>
                <c:pt idx="37">
                  <c:v>27.74</c:v>
                </c:pt>
                <c:pt idx="38">
                  <c:v>28.47</c:v>
                </c:pt>
                <c:pt idx="39">
                  <c:v>29.24</c:v>
                </c:pt>
                <c:pt idx="40">
                  <c:v>29.97</c:v>
                </c:pt>
                <c:pt idx="41">
                  <c:v>30.73</c:v>
                </c:pt>
                <c:pt idx="42">
                  <c:v>31.47</c:v>
                </c:pt>
                <c:pt idx="43">
                  <c:v>32.22</c:v>
                </c:pt>
                <c:pt idx="44">
                  <c:v>32.979999999999997</c:v>
                </c:pt>
                <c:pt idx="45">
                  <c:v>33.729999999999997</c:v>
                </c:pt>
                <c:pt idx="46">
                  <c:v>34.49</c:v>
                </c:pt>
                <c:pt idx="47">
                  <c:v>35.22</c:v>
                </c:pt>
                <c:pt idx="48">
                  <c:v>35.97</c:v>
                </c:pt>
                <c:pt idx="49">
                  <c:v>36.700000000000003</c:v>
                </c:pt>
                <c:pt idx="50">
                  <c:v>37.450000000000003</c:v>
                </c:pt>
                <c:pt idx="51">
                  <c:v>38.18</c:v>
                </c:pt>
                <c:pt idx="52">
                  <c:v>38.950000000000003</c:v>
                </c:pt>
                <c:pt idx="53">
                  <c:v>39.700000000000003</c:v>
                </c:pt>
                <c:pt idx="54">
                  <c:v>40.44</c:v>
                </c:pt>
                <c:pt idx="55">
                  <c:v>41.2</c:v>
                </c:pt>
                <c:pt idx="56">
                  <c:v>41.93</c:v>
                </c:pt>
                <c:pt idx="57">
                  <c:v>42.69</c:v>
                </c:pt>
                <c:pt idx="58">
                  <c:v>43.42</c:v>
                </c:pt>
                <c:pt idx="59">
                  <c:v>44.17</c:v>
                </c:pt>
                <c:pt idx="60">
                  <c:v>44.9</c:v>
                </c:pt>
                <c:pt idx="61">
                  <c:v>45.63</c:v>
                </c:pt>
                <c:pt idx="62">
                  <c:v>46.38</c:v>
                </c:pt>
                <c:pt idx="63">
                  <c:v>47.11</c:v>
                </c:pt>
                <c:pt idx="64">
                  <c:v>47.86</c:v>
                </c:pt>
                <c:pt idx="65">
                  <c:v>48.58</c:v>
                </c:pt>
                <c:pt idx="66">
                  <c:v>49.33</c:v>
                </c:pt>
                <c:pt idx="67">
                  <c:v>50.06</c:v>
                </c:pt>
                <c:pt idx="68">
                  <c:v>50.83</c:v>
                </c:pt>
                <c:pt idx="69">
                  <c:v>51.56</c:v>
                </c:pt>
                <c:pt idx="70">
                  <c:v>52.32</c:v>
                </c:pt>
                <c:pt idx="71">
                  <c:v>53.09</c:v>
                </c:pt>
                <c:pt idx="72">
                  <c:v>53.84</c:v>
                </c:pt>
                <c:pt idx="73">
                  <c:v>54.6</c:v>
                </c:pt>
                <c:pt idx="74">
                  <c:v>55.33</c:v>
                </c:pt>
                <c:pt idx="75">
                  <c:v>56.08</c:v>
                </c:pt>
                <c:pt idx="76">
                  <c:v>56.82</c:v>
                </c:pt>
                <c:pt idx="77">
                  <c:v>57.57</c:v>
                </c:pt>
                <c:pt idx="78">
                  <c:v>58.3</c:v>
                </c:pt>
                <c:pt idx="79">
                  <c:v>59.05</c:v>
                </c:pt>
                <c:pt idx="80">
                  <c:v>59.81</c:v>
                </c:pt>
                <c:pt idx="81">
                  <c:v>60.55</c:v>
                </c:pt>
                <c:pt idx="82">
                  <c:v>61.3</c:v>
                </c:pt>
                <c:pt idx="83">
                  <c:v>62.03</c:v>
                </c:pt>
                <c:pt idx="84">
                  <c:v>62.78</c:v>
                </c:pt>
                <c:pt idx="85">
                  <c:v>63.53</c:v>
                </c:pt>
                <c:pt idx="86">
                  <c:v>64.28</c:v>
                </c:pt>
                <c:pt idx="87">
                  <c:v>65.010000000000005</c:v>
                </c:pt>
                <c:pt idx="88">
                  <c:v>65.760000000000005</c:v>
                </c:pt>
                <c:pt idx="89">
                  <c:v>66.5</c:v>
                </c:pt>
                <c:pt idx="90">
                  <c:v>67.23</c:v>
                </c:pt>
                <c:pt idx="91">
                  <c:v>67.959999999999994</c:v>
                </c:pt>
                <c:pt idx="92">
                  <c:v>68.66</c:v>
                </c:pt>
                <c:pt idx="93">
                  <c:v>69.34</c:v>
                </c:pt>
                <c:pt idx="94">
                  <c:v>69.97</c:v>
                </c:pt>
              </c:numCache>
            </c:numRef>
          </c:xVal>
          <c:yVal>
            <c:numRef>
              <c:f>Curve!$T$2:$T$96</c:f>
              <c:numCache>
                <c:formatCode>General</c:formatCode>
                <c:ptCount val="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AE-425A-A8F9-F41BB407BCF9}"/>
            </c:ext>
          </c:extLst>
        </c:ser>
        <c:ser>
          <c:idx val="2"/>
          <c:order val="2"/>
          <c:tx>
            <c:strRef>
              <c:f>Curve!$P$1</c:f>
              <c:strCache>
                <c:ptCount val="1"/>
                <c:pt idx="0">
                  <c:v>[5_Opr_dW/dT]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Curve!$A$2:$A$96</c:f>
              <c:numCache>
                <c:formatCode>General</c:formatCode>
                <c:ptCount val="95"/>
                <c:pt idx="0">
                  <c:v>0.2</c:v>
                </c:pt>
                <c:pt idx="1">
                  <c:v>0.96</c:v>
                </c:pt>
                <c:pt idx="2">
                  <c:v>1.7</c:v>
                </c:pt>
                <c:pt idx="3">
                  <c:v>2.4300000000000002</c:v>
                </c:pt>
                <c:pt idx="4">
                  <c:v>3.16</c:v>
                </c:pt>
                <c:pt idx="5">
                  <c:v>3.91</c:v>
                </c:pt>
                <c:pt idx="6">
                  <c:v>4.6399999999999997</c:v>
                </c:pt>
                <c:pt idx="7">
                  <c:v>5.39</c:v>
                </c:pt>
                <c:pt idx="8">
                  <c:v>6.13</c:v>
                </c:pt>
                <c:pt idx="9">
                  <c:v>6.87</c:v>
                </c:pt>
                <c:pt idx="10">
                  <c:v>7.63</c:v>
                </c:pt>
                <c:pt idx="11">
                  <c:v>8.36</c:v>
                </c:pt>
                <c:pt idx="12">
                  <c:v>9.1199999999999992</c:v>
                </c:pt>
                <c:pt idx="13">
                  <c:v>9.85</c:v>
                </c:pt>
                <c:pt idx="14">
                  <c:v>10.61</c:v>
                </c:pt>
                <c:pt idx="15">
                  <c:v>11.33</c:v>
                </c:pt>
                <c:pt idx="16">
                  <c:v>12.06</c:v>
                </c:pt>
                <c:pt idx="17">
                  <c:v>12.8</c:v>
                </c:pt>
                <c:pt idx="18">
                  <c:v>13.57</c:v>
                </c:pt>
                <c:pt idx="19">
                  <c:v>14.33</c:v>
                </c:pt>
                <c:pt idx="20">
                  <c:v>15.07</c:v>
                </c:pt>
                <c:pt idx="21">
                  <c:v>15.84</c:v>
                </c:pt>
                <c:pt idx="22">
                  <c:v>16.579999999999998</c:v>
                </c:pt>
                <c:pt idx="23">
                  <c:v>17.350000000000001</c:v>
                </c:pt>
                <c:pt idx="24">
                  <c:v>18.079999999999998</c:v>
                </c:pt>
                <c:pt idx="25">
                  <c:v>18.84</c:v>
                </c:pt>
                <c:pt idx="26">
                  <c:v>19.559999999999999</c:v>
                </c:pt>
                <c:pt idx="27">
                  <c:v>20.32</c:v>
                </c:pt>
                <c:pt idx="28">
                  <c:v>21.09</c:v>
                </c:pt>
                <c:pt idx="29">
                  <c:v>21.83</c:v>
                </c:pt>
                <c:pt idx="30">
                  <c:v>22.58</c:v>
                </c:pt>
                <c:pt idx="31">
                  <c:v>23.31</c:v>
                </c:pt>
                <c:pt idx="32">
                  <c:v>24.04</c:v>
                </c:pt>
                <c:pt idx="33">
                  <c:v>24.75</c:v>
                </c:pt>
                <c:pt idx="34">
                  <c:v>25.5</c:v>
                </c:pt>
                <c:pt idx="35">
                  <c:v>26.26</c:v>
                </c:pt>
                <c:pt idx="36">
                  <c:v>26.99</c:v>
                </c:pt>
                <c:pt idx="37">
                  <c:v>27.74</c:v>
                </c:pt>
                <c:pt idx="38">
                  <c:v>28.47</c:v>
                </c:pt>
                <c:pt idx="39">
                  <c:v>29.24</c:v>
                </c:pt>
                <c:pt idx="40">
                  <c:v>29.97</c:v>
                </c:pt>
                <c:pt idx="41">
                  <c:v>30.73</c:v>
                </c:pt>
                <c:pt idx="42">
                  <c:v>31.47</c:v>
                </c:pt>
                <c:pt idx="43">
                  <c:v>32.22</c:v>
                </c:pt>
                <c:pt idx="44">
                  <c:v>32.979999999999997</c:v>
                </c:pt>
                <c:pt idx="45">
                  <c:v>33.729999999999997</c:v>
                </c:pt>
                <c:pt idx="46">
                  <c:v>34.49</c:v>
                </c:pt>
                <c:pt idx="47">
                  <c:v>35.22</c:v>
                </c:pt>
                <c:pt idx="48">
                  <c:v>35.97</c:v>
                </c:pt>
                <c:pt idx="49">
                  <c:v>36.700000000000003</c:v>
                </c:pt>
                <c:pt idx="50">
                  <c:v>37.450000000000003</c:v>
                </c:pt>
                <c:pt idx="51">
                  <c:v>38.18</c:v>
                </c:pt>
                <c:pt idx="52">
                  <c:v>38.950000000000003</c:v>
                </c:pt>
                <c:pt idx="53">
                  <c:v>39.700000000000003</c:v>
                </c:pt>
                <c:pt idx="54">
                  <c:v>40.44</c:v>
                </c:pt>
                <c:pt idx="55">
                  <c:v>41.2</c:v>
                </c:pt>
                <c:pt idx="56">
                  <c:v>41.93</c:v>
                </c:pt>
                <c:pt idx="57">
                  <c:v>42.69</c:v>
                </c:pt>
                <c:pt idx="58">
                  <c:v>43.42</c:v>
                </c:pt>
                <c:pt idx="59">
                  <c:v>44.17</c:v>
                </c:pt>
                <c:pt idx="60">
                  <c:v>44.9</c:v>
                </c:pt>
                <c:pt idx="61">
                  <c:v>45.63</c:v>
                </c:pt>
                <c:pt idx="62">
                  <c:v>46.38</c:v>
                </c:pt>
                <c:pt idx="63">
                  <c:v>47.11</c:v>
                </c:pt>
                <c:pt idx="64">
                  <c:v>47.86</c:v>
                </c:pt>
                <c:pt idx="65">
                  <c:v>48.58</c:v>
                </c:pt>
                <c:pt idx="66">
                  <c:v>49.33</c:v>
                </c:pt>
                <c:pt idx="67">
                  <c:v>50.06</c:v>
                </c:pt>
                <c:pt idx="68">
                  <c:v>50.83</c:v>
                </c:pt>
                <c:pt idx="69">
                  <c:v>51.56</c:v>
                </c:pt>
                <c:pt idx="70">
                  <c:v>52.32</c:v>
                </c:pt>
                <c:pt idx="71">
                  <c:v>53.09</c:v>
                </c:pt>
                <c:pt idx="72">
                  <c:v>53.84</c:v>
                </c:pt>
                <c:pt idx="73">
                  <c:v>54.6</c:v>
                </c:pt>
                <c:pt idx="74">
                  <c:v>55.33</c:v>
                </c:pt>
                <c:pt idx="75">
                  <c:v>56.08</c:v>
                </c:pt>
                <c:pt idx="76">
                  <c:v>56.82</c:v>
                </c:pt>
                <c:pt idx="77">
                  <c:v>57.57</c:v>
                </c:pt>
                <c:pt idx="78">
                  <c:v>58.3</c:v>
                </c:pt>
                <c:pt idx="79">
                  <c:v>59.05</c:v>
                </c:pt>
                <c:pt idx="80">
                  <c:v>59.81</c:v>
                </c:pt>
                <c:pt idx="81">
                  <c:v>60.55</c:v>
                </c:pt>
                <c:pt idx="82">
                  <c:v>61.3</c:v>
                </c:pt>
                <c:pt idx="83">
                  <c:v>62.03</c:v>
                </c:pt>
                <c:pt idx="84">
                  <c:v>62.78</c:v>
                </c:pt>
                <c:pt idx="85">
                  <c:v>63.53</c:v>
                </c:pt>
                <c:pt idx="86">
                  <c:v>64.28</c:v>
                </c:pt>
                <c:pt idx="87">
                  <c:v>65.010000000000005</c:v>
                </c:pt>
                <c:pt idx="88">
                  <c:v>65.760000000000005</c:v>
                </c:pt>
                <c:pt idx="89">
                  <c:v>66.5</c:v>
                </c:pt>
                <c:pt idx="90">
                  <c:v>67.23</c:v>
                </c:pt>
                <c:pt idx="91">
                  <c:v>67.959999999999994</c:v>
                </c:pt>
                <c:pt idx="92">
                  <c:v>68.66</c:v>
                </c:pt>
                <c:pt idx="93">
                  <c:v>69.34</c:v>
                </c:pt>
                <c:pt idx="94">
                  <c:v>69.97</c:v>
                </c:pt>
              </c:numCache>
            </c:numRef>
          </c:xVal>
          <c:yVal>
            <c:numRef>
              <c:f>Curve!$P$2:$P$96</c:f>
              <c:numCache>
                <c:formatCode>General</c:formatCode>
                <c:ptCount val="95"/>
                <c:pt idx="0">
                  <c:v>7.0000000000000007E-2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0.08</c:v>
                </c:pt>
                <c:pt idx="4">
                  <c:v>7.0000000000000007E-2</c:v>
                </c:pt>
                <c:pt idx="5">
                  <c:v>7.0000000000000007E-2</c:v>
                </c:pt>
                <c:pt idx="6">
                  <c:v>0.08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  <c:pt idx="12">
                  <c:v>7.0000000000000007E-2</c:v>
                </c:pt>
                <c:pt idx="13">
                  <c:v>0.08</c:v>
                </c:pt>
                <c:pt idx="14">
                  <c:v>0.08</c:v>
                </c:pt>
                <c:pt idx="15">
                  <c:v>0.08</c:v>
                </c:pt>
                <c:pt idx="16">
                  <c:v>0.08</c:v>
                </c:pt>
                <c:pt idx="17">
                  <c:v>0.08</c:v>
                </c:pt>
                <c:pt idx="18">
                  <c:v>0.08</c:v>
                </c:pt>
                <c:pt idx="19">
                  <c:v>0.08</c:v>
                </c:pt>
                <c:pt idx="20">
                  <c:v>0.08</c:v>
                </c:pt>
                <c:pt idx="21">
                  <c:v>0.08</c:v>
                </c:pt>
                <c:pt idx="22">
                  <c:v>0.08</c:v>
                </c:pt>
                <c:pt idx="23">
                  <c:v>0.09</c:v>
                </c:pt>
                <c:pt idx="24">
                  <c:v>0.09</c:v>
                </c:pt>
                <c:pt idx="25">
                  <c:v>0.08</c:v>
                </c:pt>
                <c:pt idx="26">
                  <c:v>0.1</c:v>
                </c:pt>
                <c:pt idx="27">
                  <c:v>0.09</c:v>
                </c:pt>
                <c:pt idx="28">
                  <c:v>0.08</c:v>
                </c:pt>
                <c:pt idx="29">
                  <c:v>0.1</c:v>
                </c:pt>
                <c:pt idx="30">
                  <c:v>0.08</c:v>
                </c:pt>
                <c:pt idx="31">
                  <c:v>0.09</c:v>
                </c:pt>
                <c:pt idx="32">
                  <c:v>0.09</c:v>
                </c:pt>
                <c:pt idx="33">
                  <c:v>0.09</c:v>
                </c:pt>
                <c:pt idx="34">
                  <c:v>0.09</c:v>
                </c:pt>
                <c:pt idx="35">
                  <c:v>0.09</c:v>
                </c:pt>
                <c:pt idx="36">
                  <c:v>0.09</c:v>
                </c:pt>
                <c:pt idx="37">
                  <c:v>0.1</c:v>
                </c:pt>
                <c:pt idx="38">
                  <c:v>0.09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0.09</c:v>
                </c:pt>
                <c:pt idx="43">
                  <c:v>0.09</c:v>
                </c:pt>
                <c:pt idx="44">
                  <c:v>0.1</c:v>
                </c:pt>
                <c:pt idx="45">
                  <c:v>0.11</c:v>
                </c:pt>
                <c:pt idx="46">
                  <c:v>0.1</c:v>
                </c:pt>
                <c:pt idx="47">
                  <c:v>0.09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0.11</c:v>
                </c:pt>
                <c:pt idx="52">
                  <c:v>0.1</c:v>
                </c:pt>
                <c:pt idx="53">
                  <c:v>0.12</c:v>
                </c:pt>
                <c:pt idx="54">
                  <c:v>0.11</c:v>
                </c:pt>
                <c:pt idx="55">
                  <c:v>0.1</c:v>
                </c:pt>
                <c:pt idx="56">
                  <c:v>0.11</c:v>
                </c:pt>
                <c:pt idx="57">
                  <c:v>0.11</c:v>
                </c:pt>
                <c:pt idx="58">
                  <c:v>0.12</c:v>
                </c:pt>
                <c:pt idx="59">
                  <c:v>0.11</c:v>
                </c:pt>
                <c:pt idx="60">
                  <c:v>0.13</c:v>
                </c:pt>
                <c:pt idx="61">
                  <c:v>0.11</c:v>
                </c:pt>
                <c:pt idx="62">
                  <c:v>0.12</c:v>
                </c:pt>
                <c:pt idx="63">
                  <c:v>0.12</c:v>
                </c:pt>
                <c:pt idx="64">
                  <c:v>0.13</c:v>
                </c:pt>
                <c:pt idx="65">
                  <c:v>0.15</c:v>
                </c:pt>
                <c:pt idx="66">
                  <c:v>0.13</c:v>
                </c:pt>
                <c:pt idx="67">
                  <c:v>0.13</c:v>
                </c:pt>
                <c:pt idx="68">
                  <c:v>0.13</c:v>
                </c:pt>
                <c:pt idx="69">
                  <c:v>0.14000000000000001</c:v>
                </c:pt>
                <c:pt idx="70">
                  <c:v>0.11</c:v>
                </c:pt>
                <c:pt idx="71">
                  <c:v>0.09</c:v>
                </c:pt>
                <c:pt idx="72">
                  <c:v>0.1</c:v>
                </c:pt>
                <c:pt idx="73">
                  <c:v>0.1</c:v>
                </c:pt>
                <c:pt idx="74">
                  <c:v>0.1</c:v>
                </c:pt>
                <c:pt idx="75">
                  <c:v>0.11</c:v>
                </c:pt>
                <c:pt idx="76">
                  <c:v>0.09</c:v>
                </c:pt>
                <c:pt idx="77">
                  <c:v>0.1</c:v>
                </c:pt>
                <c:pt idx="78">
                  <c:v>0.1</c:v>
                </c:pt>
                <c:pt idx="79">
                  <c:v>0.11</c:v>
                </c:pt>
                <c:pt idx="80">
                  <c:v>0.09</c:v>
                </c:pt>
                <c:pt idx="81">
                  <c:v>0.11</c:v>
                </c:pt>
                <c:pt idx="82">
                  <c:v>0.09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0.11</c:v>
                </c:pt>
                <c:pt idx="87">
                  <c:v>0.09</c:v>
                </c:pt>
                <c:pt idx="88">
                  <c:v>0.1</c:v>
                </c:pt>
                <c:pt idx="89">
                  <c:v>0.1</c:v>
                </c:pt>
                <c:pt idx="90">
                  <c:v>0.11</c:v>
                </c:pt>
                <c:pt idx="91">
                  <c:v>0.1</c:v>
                </c:pt>
                <c:pt idx="92">
                  <c:v>0.12</c:v>
                </c:pt>
                <c:pt idx="93">
                  <c:v>0.11</c:v>
                </c:pt>
                <c:pt idx="94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1AE-425A-A8F9-F41BB407B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088032"/>
        <c:axId val="141777696"/>
      </c:scatterChart>
      <c:valAx>
        <c:axId val="350088032"/>
        <c:scaling>
          <c:orientation val="minMax"/>
          <c:max val="7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Case_Temp (℃)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77696"/>
        <c:crossesAt val="-0.60000000000000009"/>
        <c:crossBetween val="midCat"/>
        <c:majorUnit val="5"/>
      </c:valAx>
      <c:valAx>
        <c:axId val="141777696"/>
        <c:scaling>
          <c:orientation val="minMax"/>
          <c:max val="0.60000000000000009"/>
          <c:min val="-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dWL/dT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088032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Maximum Current@dWL/dT Channel 1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Curve!$S$1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Curve!$A$2:$A$96</c:f>
              <c:numCache>
                <c:formatCode>General</c:formatCode>
                <c:ptCount val="95"/>
                <c:pt idx="0">
                  <c:v>0.2</c:v>
                </c:pt>
                <c:pt idx="1">
                  <c:v>0.96</c:v>
                </c:pt>
                <c:pt idx="2">
                  <c:v>1.7</c:v>
                </c:pt>
                <c:pt idx="3">
                  <c:v>2.4300000000000002</c:v>
                </c:pt>
                <c:pt idx="4">
                  <c:v>3.16</c:v>
                </c:pt>
                <c:pt idx="5">
                  <c:v>3.91</c:v>
                </c:pt>
                <c:pt idx="6">
                  <c:v>4.6399999999999997</c:v>
                </c:pt>
                <c:pt idx="7">
                  <c:v>5.39</c:v>
                </c:pt>
                <c:pt idx="8">
                  <c:v>6.13</c:v>
                </c:pt>
                <c:pt idx="9">
                  <c:v>6.87</c:v>
                </c:pt>
                <c:pt idx="10">
                  <c:v>7.63</c:v>
                </c:pt>
                <c:pt idx="11">
                  <c:v>8.36</c:v>
                </c:pt>
                <c:pt idx="12">
                  <c:v>9.1199999999999992</c:v>
                </c:pt>
                <c:pt idx="13">
                  <c:v>9.85</c:v>
                </c:pt>
                <c:pt idx="14">
                  <c:v>10.61</c:v>
                </c:pt>
                <c:pt idx="15">
                  <c:v>11.33</c:v>
                </c:pt>
                <c:pt idx="16">
                  <c:v>12.06</c:v>
                </c:pt>
                <c:pt idx="17">
                  <c:v>12.8</c:v>
                </c:pt>
                <c:pt idx="18">
                  <c:v>13.57</c:v>
                </c:pt>
                <c:pt idx="19">
                  <c:v>14.33</c:v>
                </c:pt>
                <c:pt idx="20">
                  <c:v>15.07</c:v>
                </c:pt>
                <c:pt idx="21">
                  <c:v>15.84</c:v>
                </c:pt>
                <c:pt idx="22">
                  <c:v>16.579999999999998</c:v>
                </c:pt>
                <c:pt idx="23">
                  <c:v>17.350000000000001</c:v>
                </c:pt>
                <c:pt idx="24">
                  <c:v>18.079999999999998</c:v>
                </c:pt>
                <c:pt idx="25">
                  <c:v>18.84</c:v>
                </c:pt>
                <c:pt idx="26">
                  <c:v>19.559999999999999</c:v>
                </c:pt>
                <c:pt idx="27">
                  <c:v>20.32</c:v>
                </c:pt>
                <c:pt idx="28">
                  <c:v>21.09</c:v>
                </c:pt>
                <c:pt idx="29">
                  <c:v>21.83</c:v>
                </c:pt>
                <c:pt idx="30">
                  <c:v>22.58</c:v>
                </c:pt>
                <c:pt idx="31">
                  <c:v>23.31</c:v>
                </c:pt>
                <c:pt idx="32">
                  <c:v>24.04</c:v>
                </c:pt>
                <c:pt idx="33">
                  <c:v>24.75</c:v>
                </c:pt>
                <c:pt idx="34">
                  <c:v>25.5</c:v>
                </c:pt>
                <c:pt idx="35">
                  <c:v>26.26</c:v>
                </c:pt>
                <c:pt idx="36">
                  <c:v>26.99</c:v>
                </c:pt>
                <c:pt idx="37">
                  <c:v>27.74</c:v>
                </c:pt>
                <c:pt idx="38">
                  <c:v>28.47</c:v>
                </c:pt>
                <c:pt idx="39">
                  <c:v>29.24</c:v>
                </c:pt>
                <c:pt idx="40">
                  <c:v>29.97</c:v>
                </c:pt>
                <c:pt idx="41">
                  <c:v>30.73</c:v>
                </c:pt>
                <c:pt idx="42">
                  <c:v>31.47</c:v>
                </c:pt>
                <c:pt idx="43">
                  <c:v>32.22</c:v>
                </c:pt>
                <c:pt idx="44">
                  <c:v>32.979999999999997</c:v>
                </c:pt>
                <c:pt idx="45">
                  <c:v>33.729999999999997</c:v>
                </c:pt>
                <c:pt idx="46">
                  <c:v>34.49</c:v>
                </c:pt>
                <c:pt idx="47">
                  <c:v>35.22</c:v>
                </c:pt>
                <c:pt idx="48">
                  <c:v>35.97</c:v>
                </c:pt>
                <c:pt idx="49">
                  <c:v>36.700000000000003</c:v>
                </c:pt>
                <c:pt idx="50">
                  <c:v>37.450000000000003</c:v>
                </c:pt>
                <c:pt idx="51">
                  <c:v>38.18</c:v>
                </c:pt>
                <c:pt idx="52">
                  <c:v>38.950000000000003</c:v>
                </c:pt>
                <c:pt idx="53">
                  <c:v>39.700000000000003</c:v>
                </c:pt>
                <c:pt idx="54">
                  <c:v>40.44</c:v>
                </c:pt>
                <c:pt idx="55">
                  <c:v>41.2</c:v>
                </c:pt>
                <c:pt idx="56">
                  <c:v>41.93</c:v>
                </c:pt>
                <c:pt idx="57">
                  <c:v>42.69</c:v>
                </c:pt>
                <c:pt idx="58">
                  <c:v>43.42</c:v>
                </c:pt>
                <c:pt idx="59">
                  <c:v>44.17</c:v>
                </c:pt>
                <c:pt idx="60">
                  <c:v>44.9</c:v>
                </c:pt>
                <c:pt idx="61">
                  <c:v>45.63</c:v>
                </c:pt>
                <c:pt idx="62">
                  <c:v>46.38</c:v>
                </c:pt>
                <c:pt idx="63">
                  <c:v>47.11</c:v>
                </c:pt>
                <c:pt idx="64">
                  <c:v>47.86</c:v>
                </c:pt>
                <c:pt idx="65">
                  <c:v>48.58</c:v>
                </c:pt>
                <c:pt idx="66">
                  <c:v>49.33</c:v>
                </c:pt>
                <c:pt idx="67">
                  <c:v>50.06</c:v>
                </c:pt>
                <c:pt idx="68">
                  <c:v>50.83</c:v>
                </c:pt>
                <c:pt idx="69">
                  <c:v>51.56</c:v>
                </c:pt>
                <c:pt idx="70">
                  <c:v>52.32</c:v>
                </c:pt>
                <c:pt idx="71">
                  <c:v>53.09</c:v>
                </c:pt>
                <c:pt idx="72">
                  <c:v>53.84</c:v>
                </c:pt>
                <c:pt idx="73">
                  <c:v>54.6</c:v>
                </c:pt>
                <c:pt idx="74">
                  <c:v>55.33</c:v>
                </c:pt>
                <c:pt idx="75">
                  <c:v>56.08</c:v>
                </c:pt>
                <c:pt idx="76">
                  <c:v>56.82</c:v>
                </c:pt>
                <c:pt idx="77">
                  <c:v>57.57</c:v>
                </c:pt>
                <c:pt idx="78">
                  <c:v>58.3</c:v>
                </c:pt>
                <c:pt idx="79">
                  <c:v>59.05</c:v>
                </c:pt>
                <c:pt idx="80">
                  <c:v>59.81</c:v>
                </c:pt>
                <c:pt idx="81">
                  <c:v>60.55</c:v>
                </c:pt>
                <c:pt idx="82">
                  <c:v>61.3</c:v>
                </c:pt>
                <c:pt idx="83">
                  <c:v>62.03</c:v>
                </c:pt>
                <c:pt idx="84">
                  <c:v>62.78</c:v>
                </c:pt>
                <c:pt idx="85">
                  <c:v>63.53</c:v>
                </c:pt>
                <c:pt idx="86">
                  <c:v>64.28</c:v>
                </c:pt>
                <c:pt idx="87">
                  <c:v>65.010000000000005</c:v>
                </c:pt>
                <c:pt idx="88">
                  <c:v>65.760000000000005</c:v>
                </c:pt>
                <c:pt idx="89">
                  <c:v>66.5</c:v>
                </c:pt>
                <c:pt idx="90">
                  <c:v>67.23</c:v>
                </c:pt>
                <c:pt idx="91">
                  <c:v>67.959999999999994</c:v>
                </c:pt>
                <c:pt idx="92">
                  <c:v>68.66</c:v>
                </c:pt>
                <c:pt idx="93">
                  <c:v>69.34</c:v>
                </c:pt>
                <c:pt idx="94">
                  <c:v>69.97</c:v>
                </c:pt>
              </c:numCache>
            </c:numRef>
          </c:xVal>
          <c:yVal>
            <c:numRef>
              <c:f>Curve!$S$2:$S$96</c:f>
              <c:numCache>
                <c:formatCode>General</c:formatCode>
                <c:ptCount val="95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0.2</c:v>
                </c:pt>
                <c:pt idx="32">
                  <c:v>0.2</c:v>
                </c:pt>
                <c:pt idx="33">
                  <c:v>0.2</c:v>
                </c:pt>
                <c:pt idx="34">
                  <c:v>0.2</c:v>
                </c:pt>
                <c:pt idx="35">
                  <c:v>0.2</c:v>
                </c:pt>
                <c:pt idx="36">
                  <c:v>0.2</c:v>
                </c:pt>
                <c:pt idx="37">
                  <c:v>0.2</c:v>
                </c:pt>
                <c:pt idx="38">
                  <c:v>0.2</c:v>
                </c:pt>
                <c:pt idx="39">
                  <c:v>0.2</c:v>
                </c:pt>
                <c:pt idx="40">
                  <c:v>0.2</c:v>
                </c:pt>
                <c:pt idx="41">
                  <c:v>0.2</c:v>
                </c:pt>
                <c:pt idx="42">
                  <c:v>0.2</c:v>
                </c:pt>
                <c:pt idx="43">
                  <c:v>0.2</c:v>
                </c:pt>
                <c:pt idx="44">
                  <c:v>0.2</c:v>
                </c:pt>
                <c:pt idx="45">
                  <c:v>0.2</c:v>
                </c:pt>
                <c:pt idx="46">
                  <c:v>0.2</c:v>
                </c:pt>
                <c:pt idx="47">
                  <c:v>0.2</c:v>
                </c:pt>
                <c:pt idx="48">
                  <c:v>0.2</c:v>
                </c:pt>
                <c:pt idx="49">
                  <c:v>0.2</c:v>
                </c:pt>
                <c:pt idx="50">
                  <c:v>0.2</c:v>
                </c:pt>
                <c:pt idx="51">
                  <c:v>0.2</c:v>
                </c:pt>
                <c:pt idx="52">
                  <c:v>0.2</c:v>
                </c:pt>
                <c:pt idx="53">
                  <c:v>0.2</c:v>
                </c:pt>
                <c:pt idx="54">
                  <c:v>0.2</c:v>
                </c:pt>
                <c:pt idx="55">
                  <c:v>0.2</c:v>
                </c:pt>
                <c:pt idx="56">
                  <c:v>0.2</c:v>
                </c:pt>
                <c:pt idx="57">
                  <c:v>0.2</c:v>
                </c:pt>
                <c:pt idx="58">
                  <c:v>0.2</c:v>
                </c:pt>
                <c:pt idx="59">
                  <c:v>0.2</c:v>
                </c:pt>
                <c:pt idx="60">
                  <c:v>0.2</c:v>
                </c:pt>
                <c:pt idx="61">
                  <c:v>0.2</c:v>
                </c:pt>
                <c:pt idx="62">
                  <c:v>0.2</c:v>
                </c:pt>
                <c:pt idx="63">
                  <c:v>0.2</c:v>
                </c:pt>
                <c:pt idx="64">
                  <c:v>0.2</c:v>
                </c:pt>
                <c:pt idx="65">
                  <c:v>0.2</c:v>
                </c:pt>
                <c:pt idx="66">
                  <c:v>0.2</c:v>
                </c:pt>
                <c:pt idx="67">
                  <c:v>0.2</c:v>
                </c:pt>
                <c:pt idx="68">
                  <c:v>0.2</c:v>
                </c:pt>
                <c:pt idx="69">
                  <c:v>0.2</c:v>
                </c:pt>
                <c:pt idx="70">
                  <c:v>0.2</c:v>
                </c:pt>
                <c:pt idx="71">
                  <c:v>0.2</c:v>
                </c:pt>
                <c:pt idx="72">
                  <c:v>0.2</c:v>
                </c:pt>
                <c:pt idx="73">
                  <c:v>0.2</c:v>
                </c:pt>
                <c:pt idx="74">
                  <c:v>0.2</c:v>
                </c:pt>
                <c:pt idx="75">
                  <c:v>0.2</c:v>
                </c:pt>
                <c:pt idx="76">
                  <c:v>0.2</c:v>
                </c:pt>
                <c:pt idx="77">
                  <c:v>0.2</c:v>
                </c:pt>
                <c:pt idx="78">
                  <c:v>0.2</c:v>
                </c:pt>
                <c:pt idx="79">
                  <c:v>0.2</c:v>
                </c:pt>
                <c:pt idx="80">
                  <c:v>0.2</c:v>
                </c:pt>
                <c:pt idx="81">
                  <c:v>0.2</c:v>
                </c:pt>
                <c:pt idx="82">
                  <c:v>0.2</c:v>
                </c:pt>
                <c:pt idx="83">
                  <c:v>0.2</c:v>
                </c:pt>
                <c:pt idx="84">
                  <c:v>0.2</c:v>
                </c:pt>
                <c:pt idx="85">
                  <c:v>0.2</c:v>
                </c:pt>
                <c:pt idx="86">
                  <c:v>0.2</c:v>
                </c:pt>
                <c:pt idx="87">
                  <c:v>0.2</c:v>
                </c:pt>
                <c:pt idx="88">
                  <c:v>0.2</c:v>
                </c:pt>
                <c:pt idx="89">
                  <c:v>0.2</c:v>
                </c:pt>
                <c:pt idx="90">
                  <c:v>0.2</c:v>
                </c:pt>
                <c:pt idx="91">
                  <c:v>0.2</c:v>
                </c:pt>
                <c:pt idx="92">
                  <c:v>0.2</c:v>
                </c:pt>
                <c:pt idx="93">
                  <c:v>0.2</c:v>
                </c:pt>
                <c:pt idx="94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CE-4454-9D2C-BC1C9E87AB31}"/>
            </c:ext>
          </c:extLst>
        </c:ser>
        <c:ser>
          <c:idx val="1"/>
          <c:order val="1"/>
          <c:tx>
            <c:strRef>
              <c:f>Curve!$T$1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Curve!$A$2:$A$96</c:f>
              <c:numCache>
                <c:formatCode>General</c:formatCode>
                <c:ptCount val="95"/>
                <c:pt idx="0">
                  <c:v>0.2</c:v>
                </c:pt>
                <c:pt idx="1">
                  <c:v>0.96</c:v>
                </c:pt>
                <c:pt idx="2">
                  <c:v>1.7</c:v>
                </c:pt>
                <c:pt idx="3">
                  <c:v>2.4300000000000002</c:v>
                </c:pt>
                <c:pt idx="4">
                  <c:v>3.16</c:v>
                </c:pt>
                <c:pt idx="5">
                  <c:v>3.91</c:v>
                </c:pt>
                <c:pt idx="6">
                  <c:v>4.6399999999999997</c:v>
                </c:pt>
                <c:pt idx="7">
                  <c:v>5.39</c:v>
                </c:pt>
                <c:pt idx="8">
                  <c:v>6.13</c:v>
                </c:pt>
                <c:pt idx="9">
                  <c:v>6.87</c:v>
                </c:pt>
                <c:pt idx="10">
                  <c:v>7.63</c:v>
                </c:pt>
                <c:pt idx="11">
                  <c:v>8.36</c:v>
                </c:pt>
                <c:pt idx="12">
                  <c:v>9.1199999999999992</c:v>
                </c:pt>
                <c:pt idx="13">
                  <c:v>9.85</c:v>
                </c:pt>
                <c:pt idx="14">
                  <c:v>10.61</c:v>
                </c:pt>
                <c:pt idx="15">
                  <c:v>11.33</c:v>
                </c:pt>
                <c:pt idx="16">
                  <c:v>12.06</c:v>
                </c:pt>
                <c:pt idx="17">
                  <c:v>12.8</c:v>
                </c:pt>
                <c:pt idx="18">
                  <c:v>13.57</c:v>
                </c:pt>
                <c:pt idx="19">
                  <c:v>14.33</c:v>
                </c:pt>
                <c:pt idx="20">
                  <c:v>15.07</c:v>
                </c:pt>
                <c:pt idx="21">
                  <c:v>15.84</c:v>
                </c:pt>
                <c:pt idx="22">
                  <c:v>16.579999999999998</c:v>
                </c:pt>
                <c:pt idx="23">
                  <c:v>17.350000000000001</c:v>
                </c:pt>
                <c:pt idx="24">
                  <c:v>18.079999999999998</c:v>
                </c:pt>
                <c:pt idx="25">
                  <c:v>18.84</c:v>
                </c:pt>
                <c:pt idx="26">
                  <c:v>19.559999999999999</c:v>
                </c:pt>
                <c:pt idx="27">
                  <c:v>20.32</c:v>
                </c:pt>
                <c:pt idx="28">
                  <c:v>21.09</c:v>
                </c:pt>
                <c:pt idx="29">
                  <c:v>21.83</c:v>
                </c:pt>
                <c:pt idx="30">
                  <c:v>22.58</c:v>
                </c:pt>
                <c:pt idx="31">
                  <c:v>23.31</c:v>
                </c:pt>
                <c:pt idx="32">
                  <c:v>24.04</c:v>
                </c:pt>
                <c:pt idx="33">
                  <c:v>24.75</c:v>
                </c:pt>
                <c:pt idx="34">
                  <c:v>25.5</c:v>
                </c:pt>
                <c:pt idx="35">
                  <c:v>26.26</c:v>
                </c:pt>
                <c:pt idx="36">
                  <c:v>26.99</c:v>
                </c:pt>
                <c:pt idx="37">
                  <c:v>27.74</c:v>
                </c:pt>
                <c:pt idx="38">
                  <c:v>28.47</c:v>
                </c:pt>
                <c:pt idx="39">
                  <c:v>29.24</c:v>
                </c:pt>
                <c:pt idx="40">
                  <c:v>29.97</c:v>
                </c:pt>
                <c:pt idx="41">
                  <c:v>30.73</c:v>
                </c:pt>
                <c:pt idx="42">
                  <c:v>31.47</c:v>
                </c:pt>
                <c:pt idx="43">
                  <c:v>32.22</c:v>
                </c:pt>
                <c:pt idx="44">
                  <c:v>32.979999999999997</c:v>
                </c:pt>
                <c:pt idx="45">
                  <c:v>33.729999999999997</c:v>
                </c:pt>
                <c:pt idx="46">
                  <c:v>34.49</c:v>
                </c:pt>
                <c:pt idx="47">
                  <c:v>35.22</c:v>
                </c:pt>
                <c:pt idx="48">
                  <c:v>35.97</c:v>
                </c:pt>
                <c:pt idx="49">
                  <c:v>36.700000000000003</c:v>
                </c:pt>
                <c:pt idx="50">
                  <c:v>37.450000000000003</c:v>
                </c:pt>
                <c:pt idx="51">
                  <c:v>38.18</c:v>
                </c:pt>
                <c:pt idx="52">
                  <c:v>38.950000000000003</c:v>
                </c:pt>
                <c:pt idx="53">
                  <c:v>39.700000000000003</c:v>
                </c:pt>
                <c:pt idx="54">
                  <c:v>40.44</c:v>
                </c:pt>
                <c:pt idx="55">
                  <c:v>41.2</c:v>
                </c:pt>
                <c:pt idx="56">
                  <c:v>41.93</c:v>
                </c:pt>
                <c:pt idx="57">
                  <c:v>42.69</c:v>
                </c:pt>
                <c:pt idx="58">
                  <c:v>43.42</c:v>
                </c:pt>
                <c:pt idx="59">
                  <c:v>44.17</c:v>
                </c:pt>
                <c:pt idx="60">
                  <c:v>44.9</c:v>
                </c:pt>
                <c:pt idx="61">
                  <c:v>45.63</c:v>
                </c:pt>
                <c:pt idx="62">
                  <c:v>46.38</c:v>
                </c:pt>
                <c:pt idx="63">
                  <c:v>47.11</c:v>
                </c:pt>
                <c:pt idx="64">
                  <c:v>47.86</c:v>
                </c:pt>
                <c:pt idx="65">
                  <c:v>48.58</c:v>
                </c:pt>
                <c:pt idx="66">
                  <c:v>49.33</c:v>
                </c:pt>
                <c:pt idx="67">
                  <c:v>50.06</c:v>
                </c:pt>
                <c:pt idx="68">
                  <c:v>50.83</c:v>
                </c:pt>
                <c:pt idx="69">
                  <c:v>51.56</c:v>
                </c:pt>
                <c:pt idx="70">
                  <c:v>52.32</c:v>
                </c:pt>
                <c:pt idx="71">
                  <c:v>53.09</c:v>
                </c:pt>
                <c:pt idx="72">
                  <c:v>53.84</c:v>
                </c:pt>
                <c:pt idx="73">
                  <c:v>54.6</c:v>
                </c:pt>
                <c:pt idx="74">
                  <c:v>55.33</c:v>
                </c:pt>
                <c:pt idx="75">
                  <c:v>56.08</c:v>
                </c:pt>
                <c:pt idx="76">
                  <c:v>56.82</c:v>
                </c:pt>
                <c:pt idx="77">
                  <c:v>57.57</c:v>
                </c:pt>
                <c:pt idx="78">
                  <c:v>58.3</c:v>
                </c:pt>
                <c:pt idx="79">
                  <c:v>59.05</c:v>
                </c:pt>
                <c:pt idx="80">
                  <c:v>59.81</c:v>
                </c:pt>
                <c:pt idx="81">
                  <c:v>60.55</c:v>
                </c:pt>
                <c:pt idx="82">
                  <c:v>61.3</c:v>
                </c:pt>
                <c:pt idx="83">
                  <c:v>62.03</c:v>
                </c:pt>
                <c:pt idx="84">
                  <c:v>62.78</c:v>
                </c:pt>
                <c:pt idx="85">
                  <c:v>63.53</c:v>
                </c:pt>
                <c:pt idx="86">
                  <c:v>64.28</c:v>
                </c:pt>
                <c:pt idx="87">
                  <c:v>65.010000000000005</c:v>
                </c:pt>
                <c:pt idx="88">
                  <c:v>65.760000000000005</c:v>
                </c:pt>
                <c:pt idx="89">
                  <c:v>66.5</c:v>
                </c:pt>
                <c:pt idx="90">
                  <c:v>67.23</c:v>
                </c:pt>
                <c:pt idx="91">
                  <c:v>67.959999999999994</c:v>
                </c:pt>
                <c:pt idx="92">
                  <c:v>68.66</c:v>
                </c:pt>
                <c:pt idx="93">
                  <c:v>69.34</c:v>
                </c:pt>
                <c:pt idx="94">
                  <c:v>69.97</c:v>
                </c:pt>
              </c:numCache>
            </c:numRef>
          </c:xVal>
          <c:yVal>
            <c:numRef>
              <c:f>Curve!$T$2:$T$96</c:f>
              <c:numCache>
                <c:formatCode>General</c:formatCode>
                <c:ptCount val="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CE-4454-9D2C-BC1C9E87AB31}"/>
            </c:ext>
          </c:extLst>
        </c:ser>
        <c:ser>
          <c:idx val="2"/>
          <c:order val="2"/>
          <c:tx>
            <c:strRef>
              <c:f>Curve!$Q$1</c:f>
              <c:strCache>
                <c:ptCount val="1"/>
                <c:pt idx="0">
                  <c:v>1_Max_dW/dT]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Curve!$E$2:$E$95</c:f>
              <c:numCache>
                <c:formatCode>General</c:formatCode>
                <c:ptCount val="94"/>
                <c:pt idx="0">
                  <c:v>69.760000000000005</c:v>
                </c:pt>
                <c:pt idx="1">
                  <c:v>69.010000000000005</c:v>
                </c:pt>
                <c:pt idx="2">
                  <c:v>68.260000000000005</c:v>
                </c:pt>
                <c:pt idx="3">
                  <c:v>67.510000000000005</c:v>
                </c:pt>
                <c:pt idx="4">
                  <c:v>66.78</c:v>
                </c:pt>
                <c:pt idx="5">
                  <c:v>66.040000000000006</c:v>
                </c:pt>
                <c:pt idx="6">
                  <c:v>65.31</c:v>
                </c:pt>
                <c:pt idx="7">
                  <c:v>64.569999999999993</c:v>
                </c:pt>
                <c:pt idx="8">
                  <c:v>63.84</c:v>
                </c:pt>
                <c:pt idx="9">
                  <c:v>63.09</c:v>
                </c:pt>
                <c:pt idx="10">
                  <c:v>62.37</c:v>
                </c:pt>
                <c:pt idx="11">
                  <c:v>61.62</c:v>
                </c:pt>
                <c:pt idx="12">
                  <c:v>60.89</c:v>
                </c:pt>
                <c:pt idx="13">
                  <c:v>60.12</c:v>
                </c:pt>
                <c:pt idx="14">
                  <c:v>59.35</c:v>
                </c:pt>
                <c:pt idx="15">
                  <c:v>58.59</c:v>
                </c:pt>
                <c:pt idx="16">
                  <c:v>57.84</c:v>
                </c:pt>
                <c:pt idx="17">
                  <c:v>57.11</c:v>
                </c:pt>
                <c:pt idx="18">
                  <c:v>56.35</c:v>
                </c:pt>
                <c:pt idx="19">
                  <c:v>55.61</c:v>
                </c:pt>
                <c:pt idx="20">
                  <c:v>54.86</c:v>
                </c:pt>
                <c:pt idx="21">
                  <c:v>54.1</c:v>
                </c:pt>
                <c:pt idx="22">
                  <c:v>53.36</c:v>
                </c:pt>
                <c:pt idx="23">
                  <c:v>52.6</c:v>
                </c:pt>
                <c:pt idx="24">
                  <c:v>51.88</c:v>
                </c:pt>
                <c:pt idx="25">
                  <c:v>51.12</c:v>
                </c:pt>
                <c:pt idx="26">
                  <c:v>50.38</c:v>
                </c:pt>
                <c:pt idx="27">
                  <c:v>49.64</c:v>
                </c:pt>
                <c:pt idx="28">
                  <c:v>48.91</c:v>
                </c:pt>
                <c:pt idx="29">
                  <c:v>48.15</c:v>
                </c:pt>
                <c:pt idx="30">
                  <c:v>47.4</c:v>
                </c:pt>
                <c:pt idx="31">
                  <c:v>46.65</c:v>
                </c:pt>
                <c:pt idx="32">
                  <c:v>45.9</c:v>
                </c:pt>
                <c:pt idx="33">
                  <c:v>45.17</c:v>
                </c:pt>
                <c:pt idx="34">
                  <c:v>44.44</c:v>
                </c:pt>
                <c:pt idx="35">
                  <c:v>43.72</c:v>
                </c:pt>
                <c:pt idx="36">
                  <c:v>42.98</c:v>
                </c:pt>
                <c:pt idx="37">
                  <c:v>42.25</c:v>
                </c:pt>
                <c:pt idx="38">
                  <c:v>41.5</c:v>
                </c:pt>
                <c:pt idx="39">
                  <c:v>40.74</c:v>
                </c:pt>
                <c:pt idx="40">
                  <c:v>40</c:v>
                </c:pt>
                <c:pt idx="41">
                  <c:v>39.24</c:v>
                </c:pt>
                <c:pt idx="42">
                  <c:v>38.51</c:v>
                </c:pt>
                <c:pt idx="43">
                  <c:v>37.74</c:v>
                </c:pt>
                <c:pt idx="44">
                  <c:v>37.01</c:v>
                </c:pt>
                <c:pt idx="45">
                  <c:v>36.26</c:v>
                </c:pt>
                <c:pt idx="46">
                  <c:v>35.53</c:v>
                </c:pt>
                <c:pt idx="47">
                  <c:v>34.78</c:v>
                </c:pt>
                <c:pt idx="48">
                  <c:v>34</c:v>
                </c:pt>
                <c:pt idx="49">
                  <c:v>33.26</c:v>
                </c:pt>
                <c:pt idx="50">
                  <c:v>32.51</c:v>
                </c:pt>
                <c:pt idx="51">
                  <c:v>31.78</c:v>
                </c:pt>
                <c:pt idx="52">
                  <c:v>31.03</c:v>
                </c:pt>
                <c:pt idx="53">
                  <c:v>30.3</c:v>
                </c:pt>
                <c:pt idx="54">
                  <c:v>29.54</c:v>
                </c:pt>
                <c:pt idx="55">
                  <c:v>28.81</c:v>
                </c:pt>
                <c:pt idx="56">
                  <c:v>28.06</c:v>
                </c:pt>
                <c:pt idx="57">
                  <c:v>27.3</c:v>
                </c:pt>
                <c:pt idx="58">
                  <c:v>26.57</c:v>
                </c:pt>
                <c:pt idx="59">
                  <c:v>25.81</c:v>
                </c:pt>
                <c:pt idx="60">
                  <c:v>25.09</c:v>
                </c:pt>
                <c:pt idx="61">
                  <c:v>24.32</c:v>
                </c:pt>
                <c:pt idx="62">
                  <c:v>23.61</c:v>
                </c:pt>
                <c:pt idx="63">
                  <c:v>22.89</c:v>
                </c:pt>
                <c:pt idx="64">
                  <c:v>22.15</c:v>
                </c:pt>
                <c:pt idx="65">
                  <c:v>21.39</c:v>
                </c:pt>
                <c:pt idx="66">
                  <c:v>20.63</c:v>
                </c:pt>
                <c:pt idx="67">
                  <c:v>19.899999999999999</c:v>
                </c:pt>
                <c:pt idx="68">
                  <c:v>19.149999999999999</c:v>
                </c:pt>
                <c:pt idx="69">
                  <c:v>18.420000000000002</c:v>
                </c:pt>
                <c:pt idx="70">
                  <c:v>17.66</c:v>
                </c:pt>
                <c:pt idx="71">
                  <c:v>16.920000000000002</c:v>
                </c:pt>
                <c:pt idx="72">
                  <c:v>16.149999999999999</c:v>
                </c:pt>
                <c:pt idx="73">
                  <c:v>15.42</c:v>
                </c:pt>
                <c:pt idx="74">
                  <c:v>14.67</c:v>
                </c:pt>
                <c:pt idx="75">
                  <c:v>13.9</c:v>
                </c:pt>
                <c:pt idx="76">
                  <c:v>13.17</c:v>
                </c:pt>
                <c:pt idx="77">
                  <c:v>12.41</c:v>
                </c:pt>
                <c:pt idx="78">
                  <c:v>11.69</c:v>
                </c:pt>
                <c:pt idx="79">
                  <c:v>10.94</c:v>
                </c:pt>
                <c:pt idx="80">
                  <c:v>10.210000000000001</c:v>
                </c:pt>
                <c:pt idx="81">
                  <c:v>9.4499999999999993</c:v>
                </c:pt>
                <c:pt idx="82">
                  <c:v>8.7200000000000006</c:v>
                </c:pt>
                <c:pt idx="83">
                  <c:v>7.97</c:v>
                </c:pt>
                <c:pt idx="84">
                  <c:v>7.21</c:v>
                </c:pt>
                <c:pt idx="85">
                  <c:v>6.48</c:v>
                </c:pt>
                <c:pt idx="86">
                  <c:v>5.73</c:v>
                </c:pt>
                <c:pt idx="87">
                  <c:v>4.99</c:v>
                </c:pt>
                <c:pt idx="88">
                  <c:v>4.24</c:v>
                </c:pt>
                <c:pt idx="89">
                  <c:v>3.51</c:v>
                </c:pt>
                <c:pt idx="90">
                  <c:v>2.76</c:v>
                </c:pt>
                <c:pt idx="91">
                  <c:v>2.0299999999999998</c:v>
                </c:pt>
                <c:pt idx="92">
                  <c:v>1.3</c:v>
                </c:pt>
                <c:pt idx="93">
                  <c:v>0.54</c:v>
                </c:pt>
              </c:numCache>
            </c:numRef>
          </c:xVal>
          <c:yVal>
            <c:numRef>
              <c:f>Curve!$Q$2:$Q$96</c:f>
              <c:numCache>
                <c:formatCode>General</c:formatCode>
                <c:ptCount val="95"/>
                <c:pt idx="0">
                  <c:v>0.08</c:v>
                </c:pt>
                <c:pt idx="1">
                  <c:v>0.1</c:v>
                </c:pt>
                <c:pt idx="2">
                  <c:v>0.09</c:v>
                </c:pt>
                <c:pt idx="3">
                  <c:v>0.09</c:v>
                </c:pt>
                <c:pt idx="4">
                  <c:v>0.09</c:v>
                </c:pt>
                <c:pt idx="5">
                  <c:v>0.09</c:v>
                </c:pt>
                <c:pt idx="6">
                  <c:v>0.11</c:v>
                </c:pt>
                <c:pt idx="7">
                  <c:v>0.1</c:v>
                </c:pt>
                <c:pt idx="8">
                  <c:v>0.09</c:v>
                </c:pt>
                <c:pt idx="9">
                  <c:v>0.11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0.09</c:v>
                </c:pt>
                <c:pt idx="14">
                  <c:v>0.09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0.09</c:v>
                </c:pt>
                <c:pt idx="19">
                  <c:v>0.09</c:v>
                </c:pt>
                <c:pt idx="20">
                  <c:v>0.1</c:v>
                </c:pt>
                <c:pt idx="21">
                  <c:v>0.09</c:v>
                </c:pt>
                <c:pt idx="22">
                  <c:v>0.1</c:v>
                </c:pt>
                <c:pt idx="23">
                  <c:v>0.09</c:v>
                </c:pt>
                <c:pt idx="24">
                  <c:v>0.11</c:v>
                </c:pt>
                <c:pt idx="25">
                  <c:v>0.09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0.09</c:v>
                </c:pt>
                <c:pt idx="31">
                  <c:v>0.11</c:v>
                </c:pt>
                <c:pt idx="32">
                  <c:v>0.1</c:v>
                </c:pt>
                <c:pt idx="33">
                  <c:v>0.1</c:v>
                </c:pt>
                <c:pt idx="34">
                  <c:v>0.09</c:v>
                </c:pt>
                <c:pt idx="35">
                  <c:v>0.11</c:v>
                </c:pt>
                <c:pt idx="36">
                  <c:v>0.1</c:v>
                </c:pt>
                <c:pt idx="37">
                  <c:v>0.09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0.09</c:v>
                </c:pt>
                <c:pt idx="42">
                  <c:v>0.1</c:v>
                </c:pt>
                <c:pt idx="43">
                  <c:v>0.08</c:v>
                </c:pt>
                <c:pt idx="44">
                  <c:v>0.11</c:v>
                </c:pt>
                <c:pt idx="45">
                  <c:v>0.1</c:v>
                </c:pt>
                <c:pt idx="46">
                  <c:v>0.09</c:v>
                </c:pt>
                <c:pt idx="47">
                  <c:v>0.11</c:v>
                </c:pt>
                <c:pt idx="48">
                  <c:v>0.09</c:v>
                </c:pt>
                <c:pt idx="49">
                  <c:v>0.1</c:v>
                </c:pt>
                <c:pt idx="50">
                  <c:v>0.09</c:v>
                </c:pt>
                <c:pt idx="51">
                  <c:v>0.1</c:v>
                </c:pt>
                <c:pt idx="52">
                  <c:v>0.09</c:v>
                </c:pt>
                <c:pt idx="53">
                  <c:v>0.1</c:v>
                </c:pt>
                <c:pt idx="54">
                  <c:v>0.08</c:v>
                </c:pt>
                <c:pt idx="55">
                  <c:v>0.11</c:v>
                </c:pt>
                <c:pt idx="56">
                  <c:v>0.1</c:v>
                </c:pt>
                <c:pt idx="57">
                  <c:v>0.09</c:v>
                </c:pt>
                <c:pt idx="58">
                  <c:v>0.09</c:v>
                </c:pt>
                <c:pt idx="59">
                  <c:v>0.11</c:v>
                </c:pt>
                <c:pt idx="60">
                  <c:v>0.1</c:v>
                </c:pt>
                <c:pt idx="61">
                  <c:v>0.09</c:v>
                </c:pt>
                <c:pt idx="62">
                  <c:v>0.1</c:v>
                </c:pt>
                <c:pt idx="63">
                  <c:v>0.09</c:v>
                </c:pt>
                <c:pt idx="64">
                  <c:v>0.11</c:v>
                </c:pt>
                <c:pt idx="65">
                  <c:v>0.09</c:v>
                </c:pt>
                <c:pt idx="66">
                  <c:v>0.09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0.08</c:v>
                </c:pt>
                <c:pt idx="71">
                  <c:v>0.11</c:v>
                </c:pt>
                <c:pt idx="72">
                  <c:v>0.09</c:v>
                </c:pt>
                <c:pt idx="73">
                  <c:v>0.1</c:v>
                </c:pt>
                <c:pt idx="74">
                  <c:v>0.09</c:v>
                </c:pt>
                <c:pt idx="75">
                  <c:v>0.09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0.09</c:v>
                </c:pt>
                <c:pt idx="80">
                  <c:v>0.1</c:v>
                </c:pt>
                <c:pt idx="81">
                  <c:v>0.09</c:v>
                </c:pt>
                <c:pt idx="82">
                  <c:v>0.1</c:v>
                </c:pt>
                <c:pt idx="83">
                  <c:v>0.09</c:v>
                </c:pt>
                <c:pt idx="84">
                  <c:v>0.09</c:v>
                </c:pt>
                <c:pt idx="85">
                  <c:v>0.09</c:v>
                </c:pt>
                <c:pt idx="86">
                  <c:v>0.09</c:v>
                </c:pt>
                <c:pt idx="87">
                  <c:v>0.1</c:v>
                </c:pt>
                <c:pt idx="88">
                  <c:v>0.08</c:v>
                </c:pt>
                <c:pt idx="89">
                  <c:v>0.11</c:v>
                </c:pt>
                <c:pt idx="90">
                  <c:v>0.09</c:v>
                </c:pt>
                <c:pt idx="91">
                  <c:v>0.1</c:v>
                </c:pt>
                <c:pt idx="92">
                  <c:v>0.09</c:v>
                </c:pt>
                <c:pt idx="93">
                  <c:v>0.1</c:v>
                </c:pt>
                <c:pt idx="9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CE-4454-9D2C-BC1C9E87A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088032"/>
        <c:axId val="141777696"/>
      </c:scatterChart>
      <c:valAx>
        <c:axId val="350088032"/>
        <c:scaling>
          <c:orientation val="minMax"/>
          <c:max val="7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Case_Temp (℃)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77696"/>
        <c:crossesAt val="-0.60000000000000009"/>
        <c:crossBetween val="midCat"/>
        <c:majorUnit val="5"/>
      </c:valAx>
      <c:valAx>
        <c:axId val="141777696"/>
        <c:scaling>
          <c:orientation val="minMax"/>
          <c:max val="0.60000000000000009"/>
          <c:min val="-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dWL/dT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088032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Maximum Current@dWL/dT</a:t>
            </a:r>
            <a:r>
              <a:rPr lang="en-US" sz="1800" baseline="0"/>
              <a:t> </a:t>
            </a:r>
            <a:r>
              <a:rPr lang="en-US" sz="1800"/>
              <a:t>Channel 5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Curve!$S$1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Curve!$A$2:$A$96</c:f>
              <c:numCache>
                <c:formatCode>General</c:formatCode>
                <c:ptCount val="95"/>
                <c:pt idx="0">
                  <c:v>0.2</c:v>
                </c:pt>
                <c:pt idx="1">
                  <c:v>0.96</c:v>
                </c:pt>
                <c:pt idx="2">
                  <c:v>1.7</c:v>
                </c:pt>
                <c:pt idx="3">
                  <c:v>2.4300000000000002</c:v>
                </c:pt>
                <c:pt idx="4">
                  <c:v>3.16</c:v>
                </c:pt>
                <c:pt idx="5">
                  <c:v>3.91</c:v>
                </c:pt>
                <c:pt idx="6">
                  <c:v>4.6399999999999997</c:v>
                </c:pt>
                <c:pt idx="7">
                  <c:v>5.39</c:v>
                </c:pt>
                <c:pt idx="8">
                  <c:v>6.13</c:v>
                </c:pt>
                <c:pt idx="9">
                  <c:v>6.87</c:v>
                </c:pt>
                <c:pt idx="10">
                  <c:v>7.63</c:v>
                </c:pt>
                <c:pt idx="11">
                  <c:v>8.36</c:v>
                </c:pt>
                <c:pt idx="12">
                  <c:v>9.1199999999999992</c:v>
                </c:pt>
                <c:pt idx="13">
                  <c:v>9.85</c:v>
                </c:pt>
                <c:pt idx="14">
                  <c:v>10.61</c:v>
                </c:pt>
                <c:pt idx="15">
                  <c:v>11.33</c:v>
                </c:pt>
                <c:pt idx="16">
                  <c:v>12.06</c:v>
                </c:pt>
                <c:pt idx="17">
                  <c:v>12.8</c:v>
                </c:pt>
                <c:pt idx="18">
                  <c:v>13.57</c:v>
                </c:pt>
                <c:pt idx="19">
                  <c:v>14.33</c:v>
                </c:pt>
                <c:pt idx="20">
                  <c:v>15.07</c:v>
                </c:pt>
                <c:pt idx="21">
                  <c:v>15.84</c:v>
                </c:pt>
                <c:pt idx="22">
                  <c:v>16.579999999999998</c:v>
                </c:pt>
                <c:pt idx="23">
                  <c:v>17.350000000000001</c:v>
                </c:pt>
                <c:pt idx="24">
                  <c:v>18.079999999999998</c:v>
                </c:pt>
                <c:pt idx="25">
                  <c:v>18.84</c:v>
                </c:pt>
                <c:pt idx="26">
                  <c:v>19.559999999999999</c:v>
                </c:pt>
                <c:pt idx="27">
                  <c:v>20.32</c:v>
                </c:pt>
                <c:pt idx="28">
                  <c:v>21.09</c:v>
                </c:pt>
                <c:pt idx="29">
                  <c:v>21.83</c:v>
                </c:pt>
                <c:pt idx="30">
                  <c:v>22.58</c:v>
                </c:pt>
                <c:pt idx="31">
                  <c:v>23.31</c:v>
                </c:pt>
                <c:pt idx="32">
                  <c:v>24.04</c:v>
                </c:pt>
                <c:pt idx="33">
                  <c:v>24.75</c:v>
                </c:pt>
                <c:pt idx="34">
                  <c:v>25.5</c:v>
                </c:pt>
                <c:pt idx="35">
                  <c:v>26.26</c:v>
                </c:pt>
                <c:pt idx="36">
                  <c:v>26.99</c:v>
                </c:pt>
                <c:pt idx="37">
                  <c:v>27.74</c:v>
                </c:pt>
                <c:pt idx="38">
                  <c:v>28.47</c:v>
                </c:pt>
                <c:pt idx="39">
                  <c:v>29.24</c:v>
                </c:pt>
                <c:pt idx="40">
                  <c:v>29.97</c:v>
                </c:pt>
                <c:pt idx="41">
                  <c:v>30.73</c:v>
                </c:pt>
                <c:pt idx="42">
                  <c:v>31.47</c:v>
                </c:pt>
                <c:pt idx="43">
                  <c:v>32.22</c:v>
                </c:pt>
                <c:pt idx="44">
                  <c:v>32.979999999999997</c:v>
                </c:pt>
                <c:pt idx="45">
                  <c:v>33.729999999999997</c:v>
                </c:pt>
                <c:pt idx="46">
                  <c:v>34.49</c:v>
                </c:pt>
                <c:pt idx="47">
                  <c:v>35.22</c:v>
                </c:pt>
                <c:pt idx="48">
                  <c:v>35.97</c:v>
                </c:pt>
                <c:pt idx="49">
                  <c:v>36.700000000000003</c:v>
                </c:pt>
                <c:pt idx="50">
                  <c:v>37.450000000000003</c:v>
                </c:pt>
                <c:pt idx="51">
                  <c:v>38.18</c:v>
                </c:pt>
                <c:pt idx="52">
                  <c:v>38.950000000000003</c:v>
                </c:pt>
                <c:pt idx="53">
                  <c:v>39.700000000000003</c:v>
                </c:pt>
                <c:pt idx="54">
                  <c:v>40.44</c:v>
                </c:pt>
                <c:pt idx="55">
                  <c:v>41.2</c:v>
                </c:pt>
                <c:pt idx="56">
                  <c:v>41.93</c:v>
                </c:pt>
                <c:pt idx="57">
                  <c:v>42.69</c:v>
                </c:pt>
                <c:pt idx="58">
                  <c:v>43.42</c:v>
                </c:pt>
                <c:pt idx="59">
                  <c:v>44.17</c:v>
                </c:pt>
                <c:pt idx="60">
                  <c:v>44.9</c:v>
                </c:pt>
                <c:pt idx="61">
                  <c:v>45.63</c:v>
                </c:pt>
                <c:pt idx="62">
                  <c:v>46.38</c:v>
                </c:pt>
                <c:pt idx="63">
                  <c:v>47.11</c:v>
                </c:pt>
                <c:pt idx="64">
                  <c:v>47.86</c:v>
                </c:pt>
                <c:pt idx="65">
                  <c:v>48.58</c:v>
                </c:pt>
                <c:pt idx="66">
                  <c:v>49.33</c:v>
                </c:pt>
                <c:pt idx="67">
                  <c:v>50.06</c:v>
                </c:pt>
                <c:pt idx="68">
                  <c:v>50.83</c:v>
                </c:pt>
                <c:pt idx="69">
                  <c:v>51.56</c:v>
                </c:pt>
                <c:pt idx="70">
                  <c:v>52.32</c:v>
                </c:pt>
                <c:pt idx="71">
                  <c:v>53.09</c:v>
                </c:pt>
                <c:pt idx="72">
                  <c:v>53.84</c:v>
                </c:pt>
                <c:pt idx="73">
                  <c:v>54.6</c:v>
                </c:pt>
                <c:pt idx="74">
                  <c:v>55.33</c:v>
                </c:pt>
                <c:pt idx="75">
                  <c:v>56.08</c:v>
                </c:pt>
                <c:pt idx="76">
                  <c:v>56.82</c:v>
                </c:pt>
                <c:pt idx="77">
                  <c:v>57.57</c:v>
                </c:pt>
                <c:pt idx="78">
                  <c:v>58.3</c:v>
                </c:pt>
                <c:pt idx="79">
                  <c:v>59.05</c:v>
                </c:pt>
                <c:pt idx="80">
                  <c:v>59.81</c:v>
                </c:pt>
                <c:pt idx="81">
                  <c:v>60.55</c:v>
                </c:pt>
                <c:pt idx="82">
                  <c:v>61.3</c:v>
                </c:pt>
                <c:pt idx="83">
                  <c:v>62.03</c:v>
                </c:pt>
                <c:pt idx="84">
                  <c:v>62.78</c:v>
                </c:pt>
                <c:pt idx="85">
                  <c:v>63.53</c:v>
                </c:pt>
                <c:pt idx="86">
                  <c:v>64.28</c:v>
                </c:pt>
                <c:pt idx="87">
                  <c:v>65.010000000000005</c:v>
                </c:pt>
                <c:pt idx="88">
                  <c:v>65.760000000000005</c:v>
                </c:pt>
                <c:pt idx="89">
                  <c:v>66.5</c:v>
                </c:pt>
                <c:pt idx="90">
                  <c:v>67.23</c:v>
                </c:pt>
                <c:pt idx="91">
                  <c:v>67.959999999999994</c:v>
                </c:pt>
                <c:pt idx="92">
                  <c:v>68.66</c:v>
                </c:pt>
                <c:pt idx="93">
                  <c:v>69.34</c:v>
                </c:pt>
                <c:pt idx="94">
                  <c:v>69.97</c:v>
                </c:pt>
              </c:numCache>
            </c:numRef>
          </c:xVal>
          <c:yVal>
            <c:numRef>
              <c:f>Curve!$S$2:$S$96</c:f>
              <c:numCache>
                <c:formatCode>General</c:formatCode>
                <c:ptCount val="95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0.2</c:v>
                </c:pt>
                <c:pt idx="32">
                  <c:v>0.2</c:v>
                </c:pt>
                <c:pt idx="33">
                  <c:v>0.2</c:v>
                </c:pt>
                <c:pt idx="34">
                  <c:v>0.2</c:v>
                </c:pt>
                <c:pt idx="35">
                  <c:v>0.2</c:v>
                </c:pt>
                <c:pt idx="36">
                  <c:v>0.2</c:v>
                </c:pt>
                <c:pt idx="37">
                  <c:v>0.2</c:v>
                </c:pt>
                <c:pt idx="38">
                  <c:v>0.2</c:v>
                </c:pt>
                <c:pt idx="39">
                  <c:v>0.2</c:v>
                </c:pt>
                <c:pt idx="40">
                  <c:v>0.2</c:v>
                </c:pt>
                <c:pt idx="41">
                  <c:v>0.2</c:v>
                </c:pt>
                <c:pt idx="42">
                  <c:v>0.2</c:v>
                </c:pt>
                <c:pt idx="43">
                  <c:v>0.2</c:v>
                </c:pt>
                <c:pt idx="44">
                  <c:v>0.2</c:v>
                </c:pt>
                <c:pt idx="45">
                  <c:v>0.2</c:v>
                </c:pt>
                <c:pt idx="46">
                  <c:v>0.2</c:v>
                </c:pt>
                <c:pt idx="47">
                  <c:v>0.2</c:v>
                </c:pt>
                <c:pt idx="48">
                  <c:v>0.2</c:v>
                </c:pt>
                <c:pt idx="49">
                  <c:v>0.2</c:v>
                </c:pt>
                <c:pt idx="50">
                  <c:v>0.2</c:v>
                </c:pt>
                <c:pt idx="51">
                  <c:v>0.2</c:v>
                </c:pt>
                <c:pt idx="52">
                  <c:v>0.2</c:v>
                </c:pt>
                <c:pt idx="53">
                  <c:v>0.2</c:v>
                </c:pt>
                <c:pt idx="54">
                  <c:v>0.2</c:v>
                </c:pt>
                <c:pt idx="55">
                  <c:v>0.2</c:v>
                </c:pt>
                <c:pt idx="56">
                  <c:v>0.2</c:v>
                </c:pt>
                <c:pt idx="57">
                  <c:v>0.2</c:v>
                </c:pt>
                <c:pt idx="58">
                  <c:v>0.2</c:v>
                </c:pt>
                <c:pt idx="59">
                  <c:v>0.2</c:v>
                </c:pt>
                <c:pt idx="60">
                  <c:v>0.2</c:v>
                </c:pt>
                <c:pt idx="61">
                  <c:v>0.2</c:v>
                </c:pt>
                <c:pt idx="62">
                  <c:v>0.2</c:v>
                </c:pt>
                <c:pt idx="63">
                  <c:v>0.2</c:v>
                </c:pt>
                <c:pt idx="64">
                  <c:v>0.2</c:v>
                </c:pt>
                <c:pt idx="65">
                  <c:v>0.2</c:v>
                </c:pt>
                <c:pt idx="66">
                  <c:v>0.2</c:v>
                </c:pt>
                <c:pt idx="67">
                  <c:v>0.2</c:v>
                </c:pt>
                <c:pt idx="68">
                  <c:v>0.2</c:v>
                </c:pt>
                <c:pt idx="69">
                  <c:v>0.2</c:v>
                </c:pt>
                <c:pt idx="70">
                  <c:v>0.2</c:v>
                </c:pt>
                <c:pt idx="71">
                  <c:v>0.2</c:v>
                </c:pt>
                <c:pt idx="72">
                  <c:v>0.2</c:v>
                </c:pt>
                <c:pt idx="73">
                  <c:v>0.2</c:v>
                </c:pt>
                <c:pt idx="74">
                  <c:v>0.2</c:v>
                </c:pt>
                <c:pt idx="75">
                  <c:v>0.2</c:v>
                </c:pt>
                <c:pt idx="76">
                  <c:v>0.2</c:v>
                </c:pt>
                <c:pt idx="77">
                  <c:v>0.2</c:v>
                </c:pt>
                <c:pt idx="78">
                  <c:v>0.2</c:v>
                </c:pt>
                <c:pt idx="79">
                  <c:v>0.2</c:v>
                </c:pt>
                <c:pt idx="80">
                  <c:v>0.2</c:v>
                </c:pt>
                <c:pt idx="81">
                  <c:v>0.2</c:v>
                </c:pt>
                <c:pt idx="82">
                  <c:v>0.2</c:v>
                </c:pt>
                <c:pt idx="83">
                  <c:v>0.2</c:v>
                </c:pt>
                <c:pt idx="84">
                  <c:v>0.2</c:v>
                </c:pt>
                <c:pt idx="85">
                  <c:v>0.2</c:v>
                </c:pt>
                <c:pt idx="86">
                  <c:v>0.2</c:v>
                </c:pt>
                <c:pt idx="87">
                  <c:v>0.2</c:v>
                </c:pt>
                <c:pt idx="88">
                  <c:v>0.2</c:v>
                </c:pt>
                <c:pt idx="89">
                  <c:v>0.2</c:v>
                </c:pt>
                <c:pt idx="90">
                  <c:v>0.2</c:v>
                </c:pt>
                <c:pt idx="91">
                  <c:v>0.2</c:v>
                </c:pt>
                <c:pt idx="92">
                  <c:v>0.2</c:v>
                </c:pt>
                <c:pt idx="93">
                  <c:v>0.2</c:v>
                </c:pt>
                <c:pt idx="94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01-46FE-B9DD-0365075DB9C7}"/>
            </c:ext>
          </c:extLst>
        </c:ser>
        <c:ser>
          <c:idx val="1"/>
          <c:order val="1"/>
          <c:tx>
            <c:strRef>
              <c:f>Curve!$T$1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Curve!$A$2:$A$96</c:f>
              <c:numCache>
                <c:formatCode>General</c:formatCode>
                <c:ptCount val="95"/>
                <c:pt idx="0">
                  <c:v>0.2</c:v>
                </c:pt>
                <c:pt idx="1">
                  <c:v>0.96</c:v>
                </c:pt>
                <c:pt idx="2">
                  <c:v>1.7</c:v>
                </c:pt>
                <c:pt idx="3">
                  <c:v>2.4300000000000002</c:v>
                </c:pt>
                <c:pt idx="4">
                  <c:v>3.16</c:v>
                </c:pt>
                <c:pt idx="5">
                  <c:v>3.91</c:v>
                </c:pt>
                <c:pt idx="6">
                  <c:v>4.6399999999999997</c:v>
                </c:pt>
                <c:pt idx="7">
                  <c:v>5.39</c:v>
                </c:pt>
                <c:pt idx="8">
                  <c:v>6.13</c:v>
                </c:pt>
                <c:pt idx="9">
                  <c:v>6.87</c:v>
                </c:pt>
                <c:pt idx="10">
                  <c:v>7.63</c:v>
                </c:pt>
                <c:pt idx="11">
                  <c:v>8.36</c:v>
                </c:pt>
                <c:pt idx="12">
                  <c:v>9.1199999999999992</c:v>
                </c:pt>
                <c:pt idx="13">
                  <c:v>9.85</c:v>
                </c:pt>
                <c:pt idx="14">
                  <c:v>10.61</c:v>
                </c:pt>
                <c:pt idx="15">
                  <c:v>11.33</c:v>
                </c:pt>
                <c:pt idx="16">
                  <c:v>12.06</c:v>
                </c:pt>
                <c:pt idx="17">
                  <c:v>12.8</c:v>
                </c:pt>
                <c:pt idx="18">
                  <c:v>13.57</c:v>
                </c:pt>
                <c:pt idx="19">
                  <c:v>14.33</c:v>
                </c:pt>
                <c:pt idx="20">
                  <c:v>15.07</c:v>
                </c:pt>
                <c:pt idx="21">
                  <c:v>15.84</c:v>
                </c:pt>
                <c:pt idx="22">
                  <c:v>16.579999999999998</c:v>
                </c:pt>
                <c:pt idx="23">
                  <c:v>17.350000000000001</c:v>
                </c:pt>
                <c:pt idx="24">
                  <c:v>18.079999999999998</c:v>
                </c:pt>
                <c:pt idx="25">
                  <c:v>18.84</c:v>
                </c:pt>
                <c:pt idx="26">
                  <c:v>19.559999999999999</c:v>
                </c:pt>
                <c:pt idx="27">
                  <c:v>20.32</c:v>
                </c:pt>
                <c:pt idx="28">
                  <c:v>21.09</c:v>
                </c:pt>
                <c:pt idx="29">
                  <c:v>21.83</c:v>
                </c:pt>
                <c:pt idx="30">
                  <c:v>22.58</c:v>
                </c:pt>
                <c:pt idx="31">
                  <c:v>23.31</c:v>
                </c:pt>
                <c:pt idx="32">
                  <c:v>24.04</c:v>
                </c:pt>
                <c:pt idx="33">
                  <c:v>24.75</c:v>
                </c:pt>
                <c:pt idx="34">
                  <c:v>25.5</c:v>
                </c:pt>
                <c:pt idx="35">
                  <c:v>26.26</c:v>
                </c:pt>
                <c:pt idx="36">
                  <c:v>26.99</c:v>
                </c:pt>
                <c:pt idx="37">
                  <c:v>27.74</c:v>
                </c:pt>
                <c:pt idx="38">
                  <c:v>28.47</c:v>
                </c:pt>
                <c:pt idx="39">
                  <c:v>29.24</c:v>
                </c:pt>
                <c:pt idx="40">
                  <c:v>29.97</c:v>
                </c:pt>
                <c:pt idx="41">
                  <c:v>30.73</c:v>
                </c:pt>
                <c:pt idx="42">
                  <c:v>31.47</c:v>
                </c:pt>
                <c:pt idx="43">
                  <c:v>32.22</c:v>
                </c:pt>
                <c:pt idx="44">
                  <c:v>32.979999999999997</c:v>
                </c:pt>
                <c:pt idx="45">
                  <c:v>33.729999999999997</c:v>
                </c:pt>
                <c:pt idx="46">
                  <c:v>34.49</c:v>
                </c:pt>
                <c:pt idx="47">
                  <c:v>35.22</c:v>
                </c:pt>
                <c:pt idx="48">
                  <c:v>35.97</c:v>
                </c:pt>
                <c:pt idx="49">
                  <c:v>36.700000000000003</c:v>
                </c:pt>
                <c:pt idx="50">
                  <c:v>37.450000000000003</c:v>
                </c:pt>
                <c:pt idx="51">
                  <c:v>38.18</c:v>
                </c:pt>
                <c:pt idx="52">
                  <c:v>38.950000000000003</c:v>
                </c:pt>
                <c:pt idx="53">
                  <c:v>39.700000000000003</c:v>
                </c:pt>
                <c:pt idx="54">
                  <c:v>40.44</c:v>
                </c:pt>
                <c:pt idx="55">
                  <c:v>41.2</c:v>
                </c:pt>
                <c:pt idx="56">
                  <c:v>41.93</c:v>
                </c:pt>
                <c:pt idx="57">
                  <c:v>42.69</c:v>
                </c:pt>
                <c:pt idx="58">
                  <c:v>43.42</c:v>
                </c:pt>
                <c:pt idx="59">
                  <c:v>44.17</c:v>
                </c:pt>
                <c:pt idx="60">
                  <c:v>44.9</c:v>
                </c:pt>
                <c:pt idx="61">
                  <c:v>45.63</c:v>
                </c:pt>
                <c:pt idx="62">
                  <c:v>46.38</c:v>
                </c:pt>
                <c:pt idx="63">
                  <c:v>47.11</c:v>
                </c:pt>
                <c:pt idx="64">
                  <c:v>47.86</c:v>
                </c:pt>
                <c:pt idx="65">
                  <c:v>48.58</c:v>
                </c:pt>
                <c:pt idx="66">
                  <c:v>49.33</c:v>
                </c:pt>
                <c:pt idx="67">
                  <c:v>50.06</c:v>
                </c:pt>
                <c:pt idx="68">
                  <c:v>50.83</c:v>
                </c:pt>
                <c:pt idx="69">
                  <c:v>51.56</c:v>
                </c:pt>
                <c:pt idx="70">
                  <c:v>52.32</c:v>
                </c:pt>
                <c:pt idx="71">
                  <c:v>53.09</c:v>
                </c:pt>
                <c:pt idx="72">
                  <c:v>53.84</c:v>
                </c:pt>
                <c:pt idx="73">
                  <c:v>54.6</c:v>
                </c:pt>
                <c:pt idx="74">
                  <c:v>55.33</c:v>
                </c:pt>
                <c:pt idx="75">
                  <c:v>56.08</c:v>
                </c:pt>
                <c:pt idx="76">
                  <c:v>56.82</c:v>
                </c:pt>
                <c:pt idx="77">
                  <c:v>57.57</c:v>
                </c:pt>
                <c:pt idx="78">
                  <c:v>58.3</c:v>
                </c:pt>
                <c:pt idx="79">
                  <c:v>59.05</c:v>
                </c:pt>
                <c:pt idx="80">
                  <c:v>59.81</c:v>
                </c:pt>
                <c:pt idx="81">
                  <c:v>60.55</c:v>
                </c:pt>
                <c:pt idx="82">
                  <c:v>61.3</c:v>
                </c:pt>
                <c:pt idx="83">
                  <c:v>62.03</c:v>
                </c:pt>
                <c:pt idx="84">
                  <c:v>62.78</c:v>
                </c:pt>
                <c:pt idx="85">
                  <c:v>63.53</c:v>
                </c:pt>
                <c:pt idx="86">
                  <c:v>64.28</c:v>
                </c:pt>
                <c:pt idx="87">
                  <c:v>65.010000000000005</c:v>
                </c:pt>
                <c:pt idx="88">
                  <c:v>65.760000000000005</c:v>
                </c:pt>
                <c:pt idx="89">
                  <c:v>66.5</c:v>
                </c:pt>
                <c:pt idx="90">
                  <c:v>67.23</c:v>
                </c:pt>
                <c:pt idx="91">
                  <c:v>67.959999999999994</c:v>
                </c:pt>
                <c:pt idx="92">
                  <c:v>68.66</c:v>
                </c:pt>
                <c:pt idx="93">
                  <c:v>69.34</c:v>
                </c:pt>
                <c:pt idx="94">
                  <c:v>69.97</c:v>
                </c:pt>
              </c:numCache>
            </c:numRef>
          </c:xVal>
          <c:yVal>
            <c:numRef>
              <c:f>Curve!$T$2:$T$96</c:f>
              <c:numCache>
                <c:formatCode>General</c:formatCode>
                <c:ptCount val="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01-46FE-B9DD-0365075DB9C7}"/>
            </c:ext>
          </c:extLst>
        </c:ser>
        <c:ser>
          <c:idx val="2"/>
          <c:order val="2"/>
          <c:tx>
            <c:strRef>
              <c:f>Curve!$R$1</c:f>
              <c:strCache>
                <c:ptCount val="1"/>
                <c:pt idx="0">
                  <c:v>[5_Max_dW/dT]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Curve!$E$2:$E$95</c:f>
              <c:numCache>
                <c:formatCode>General</c:formatCode>
                <c:ptCount val="94"/>
                <c:pt idx="0">
                  <c:v>69.760000000000005</c:v>
                </c:pt>
                <c:pt idx="1">
                  <c:v>69.010000000000005</c:v>
                </c:pt>
                <c:pt idx="2">
                  <c:v>68.260000000000005</c:v>
                </c:pt>
                <c:pt idx="3">
                  <c:v>67.510000000000005</c:v>
                </c:pt>
                <c:pt idx="4">
                  <c:v>66.78</c:v>
                </c:pt>
                <c:pt idx="5">
                  <c:v>66.040000000000006</c:v>
                </c:pt>
                <c:pt idx="6">
                  <c:v>65.31</c:v>
                </c:pt>
                <c:pt idx="7">
                  <c:v>64.569999999999993</c:v>
                </c:pt>
                <c:pt idx="8">
                  <c:v>63.84</c:v>
                </c:pt>
                <c:pt idx="9">
                  <c:v>63.09</c:v>
                </c:pt>
                <c:pt idx="10">
                  <c:v>62.37</c:v>
                </c:pt>
                <c:pt idx="11">
                  <c:v>61.62</c:v>
                </c:pt>
                <c:pt idx="12">
                  <c:v>60.89</c:v>
                </c:pt>
                <c:pt idx="13">
                  <c:v>60.12</c:v>
                </c:pt>
                <c:pt idx="14">
                  <c:v>59.35</c:v>
                </c:pt>
                <c:pt idx="15">
                  <c:v>58.59</c:v>
                </c:pt>
                <c:pt idx="16">
                  <c:v>57.84</c:v>
                </c:pt>
                <c:pt idx="17">
                  <c:v>57.11</c:v>
                </c:pt>
                <c:pt idx="18">
                  <c:v>56.35</c:v>
                </c:pt>
                <c:pt idx="19">
                  <c:v>55.61</c:v>
                </c:pt>
                <c:pt idx="20">
                  <c:v>54.86</c:v>
                </c:pt>
                <c:pt idx="21">
                  <c:v>54.1</c:v>
                </c:pt>
                <c:pt idx="22">
                  <c:v>53.36</c:v>
                </c:pt>
                <c:pt idx="23">
                  <c:v>52.6</c:v>
                </c:pt>
                <c:pt idx="24">
                  <c:v>51.88</c:v>
                </c:pt>
                <c:pt idx="25">
                  <c:v>51.12</c:v>
                </c:pt>
                <c:pt idx="26">
                  <c:v>50.38</c:v>
                </c:pt>
                <c:pt idx="27">
                  <c:v>49.64</c:v>
                </c:pt>
                <c:pt idx="28">
                  <c:v>48.91</c:v>
                </c:pt>
                <c:pt idx="29">
                  <c:v>48.15</c:v>
                </c:pt>
                <c:pt idx="30">
                  <c:v>47.4</c:v>
                </c:pt>
                <c:pt idx="31">
                  <c:v>46.65</c:v>
                </c:pt>
                <c:pt idx="32">
                  <c:v>45.9</c:v>
                </c:pt>
                <c:pt idx="33">
                  <c:v>45.17</c:v>
                </c:pt>
                <c:pt idx="34">
                  <c:v>44.44</c:v>
                </c:pt>
                <c:pt idx="35">
                  <c:v>43.72</c:v>
                </c:pt>
                <c:pt idx="36">
                  <c:v>42.98</c:v>
                </c:pt>
                <c:pt idx="37">
                  <c:v>42.25</c:v>
                </c:pt>
                <c:pt idx="38">
                  <c:v>41.5</c:v>
                </c:pt>
                <c:pt idx="39">
                  <c:v>40.74</c:v>
                </c:pt>
                <c:pt idx="40">
                  <c:v>40</c:v>
                </c:pt>
                <c:pt idx="41">
                  <c:v>39.24</c:v>
                </c:pt>
                <c:pt idx="42">
                  <c:v>38.51</c:v>
                </c:pt>
                <c:pt idx="43">
                  <c:v>37.74</c:v>
                </c:pt>
                <c:pt idx="44">
                  <c:v>37.01</c:v>
                </c:pt>
                <c:pt idx="45">
                  <c:v>36.26</c:v>
                </c:pt>
                <c:pt idx="46">
                  <c:v>35.53</c:v>
                </c:pt>
                <c:pt idx="47">
                  <c:v>34.78</c:v>
                </c:pt>
                <c:pt idx="48">
                  <c:v>34</c:v>
                </c:pt>
                <c:pt idx="49">
                  <c:v>33.26</c:v>
                </c:pt>
                <c:pt idx="50">
                  <c:v>32.51</c:v>
                </c:pt>
                <c:pt idx="51">
                  <c:v>31.78</c:v>
                </c:pt>
                <c:pt idx="52">
                  <c:v>31.03</c:v>
                </c:pt>
                <c:pt idx="53">
                  <c:v>30.3</c:v>
                </c:pt>
                <c:pt idx="54">
                  <c:v>29.54</c:v>
                </c:pt>
                <c:pt idx="55">
                  <c:v>28.81</c:v>
                </c:pt>
                <c:pt idx="56">
                  <c:v>28.06</c:v>
                </c:pt>
                <c:pt idx="57">
                  <c:v>27.3</c:v>
                </c:pt>
                <c:pt idx="58">
                  <c:v>26.57</c:v>
                </c:pt>
                <c:pt idx="59">
                  <c:v>25.81</c:v>
                </c:pt>
                <c:pt idx="60">
                  <c:v>25.09</c:v>
                </c:pt>
                <c:pt idx="61">
                  <c:v>24.32</c:v>
                </c:pt>
                <c:pt idx="62">
                  <c:v>23.61</c:v>
                </c:pt>
                <c:pt idx="63">
                  <c:v>22.89</c:v>
                </c:pt>
                <c:pt idx="64">
                  <c:v>22.15</c:v>
                </c:pt>
                <c:pt idx="65">
                  <c:v>21.39</c:v>
                </c:pt>
                <c:pt idx="66">
                  <c:v>20.63</c:v>
                </c:pt>
                <c:pt idx="67">
                  <c:v>19.899999999999999</c:v>
                </c:pt>
                <c:pt idx="68">
                  <c:v>19.149999999999999</c:v>
                </c:pt>
                <c:pt idx="69">
                  <c:v>18.420000000000002</c:v>
                </c:pt>
                <c:pt idx="70">
                  <c:v>17.66</c:v>
                </c:pt>
                <c:pt idx="71">
                  <c:v>16.920000000000002</c:v>
                </c:pt>
                <c:pt idx="72">
                  <c:v>16.149999999999999</c:v>
                </c:pt>
                <c:pt idx="73">
                  <c:v>15.42</c:v>
                </c:pt>
                <c:pt idx="74">
                  <c:v>14.67</c:v>
                </c:pt>
                <c:pt idx="75">
                  <c:v>13.9</c:v>
                </c:pt>
                <c:pt idx="76">
                  <c:v>13.17</c:v>
                </c:pt>
                <c:pt idx="77">
                  <c:v>12.41</c:v>
                </c:pt>
                <c:pt idx="78">
                  <c:v>11.69</c:v>
                </c:pt>
                <c:pt idx="79">
                  <c:v>10.94</c:v>
                </c:pt>
                <c:pt idx="80">
                  <c:v>10.210000000000001</c:v>
                </c:pt>
                <c:pt idx="81">
                  <c:v>9.4499999999999993</c:v>
                </c:pt>
                <c:pt idx="82">
                  <c:v>8.7200000000000006</c:v>
                </c:pt>
                <c:pt idx="83">
                  <c:v>7.97</c:v>
                </c:pt>
                <c:pt idx="84">
                  <c:v>7.21</c:v>
                </c:pt>
                <c:pt idx="85">
                  <c:v>6.48</c:v>
                </c:pt>
                <c:pt idx="86">
                  <c:v>5.73</c:v>
                </c:pt>
                <c:pt idx="87">
                  <c:v>4.99</c:v>
                </c:pt>
                <c:pt idx="88">
                  <c:v>4.24</c:v>
                </c:pt>
                <c:pt idx="89">
                  <c:v>3.51</c:v>
                </c:pt>
                <c:pt idx="90">
                  <c:v>2.76</c:v>
                </c:pt>
                <c:pt idx="91">
                  <c:v>2.0299999999999998</c:v>
                </c:pt>
                <c:pt idx="92">
                  <c:v>1.3</c:v>
                </c:pt>
                <c:pt idx="93">
                  <c:v>0.54</c:v>
                </c:pt>
              </c:numCache>
            </c:numRef>
          </c:xVal>
          <c:yVal>
            <c:numRef>
              <c:f>Curve!$R$2:$R$96</c:f>
              <c:numCache>
                <c:formatCode>General</c:formatCode>
                <c:ptCount val="95"/>
                <c:pt idx="0">
                  <c:v>0.1</c:v>
                </c:pt>
                <c:pt idx="1">
                  <c:v>0.08</c:v>
                </c:pt>
                <c:pt idx="2">
                  <c:v>0.09</c:v>
                </c:pt>
                <c:pt idx="3">
                  <c:v>0.09</c:v>
                </c:pt>
                <c:pt idx="4">
                  <c:v>0.1</c:v>
                </c:pt>
                <c:pt idx="5">
                  <c:v>0.1</c:v>
                </c:pt>
                <c:pt idx="6">
                  <c:v>0.09</c:v>
                </c:pt>
                <c:pt idx="7">
                  <c:v>0.1</c:v>
                </c:pt>
                <c:pt idx="8">
                  <c:v>0.11</c:v>
                </c:pt>
                <c:pt idx="9">
                  <c:v>0.09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0.09</c:v>
                </c:pt>
                <c:pt idx="14">
                  <c:v>0.1</c:v>
                </c:pt>
                <c:pt idx="15">
                  <c:v>0.09</c:v>
                </c:pt>
                <c:pt idx="16">
                  <c:v>0.1</c:v>
                </c:pt>
                <c:pt idx="17">
                  <c:v>0.1</c:v>
                </c:pt>
                <c:pt idx="18">
                  <c:v>0.09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0.09</c:v>
                </c:pt>
                <c:pt idx="24">
                  <c:v>0.09</c:v>
                </c:pt>
                <c:pt idx="25">
                  <c:v>0.11</c:v>
                </c:pt>
                <c:pt idx="26">
                  <c:v>0.09</c:v>
                </c:pt>
                <c:pt idx="27">
                  <c:v>0.1</c:v>
                </c:pt>
                <c:pt idx="28">
                  <c:v>0.1</c:v>
                </c:pt>
                <c:pt idx="29">
                  <c:v>0.09</c:v>
                </c:pt>
                <c:pt idx="30">
                  <c:v>0.11</c:v>
                </c:pt>
                <c:pt idx="31">
                  <c:v>0.09</c:v>
                </c:pt>
                <c:pt idx="32">
                  <c:v>0.1</c:v>
                </c:pt>
                <c:pt idx="33">
                  <c:v>0.1</c:v>
                </c:pt>
                <c:pt idx="34">
                  <c:v>0.11</c:v>
                </c:pt>
                <c:pt idx="35">
                  <c:v>0.09</c:v>
                </c:pt>
                <c:pt idx="36">
                  <c:v>0.1</c:v>
                </c:pt>
                <c:pt idx="37">
                  <c:v>0.11</c:v>
                </c:pt>
                <c:pt idx="38">
                  <c:v>0.09</c:v>
                </c:pt>
                <c:pt idx="39">
                  <c:v>0.1</c:v>
                </c:pt>
                <c:pt idx="40">
                  <c:v>0.1</c:v>
                </c:pt>
                <c:pt idx="41">
                  <c:v>0.09</c:v>
                </c:pt>
                <c:pt idx="42">
                  <c:v>0.1</c:v>
                </c:pt>
                <c:pt idx="43">
                  <c:v>0.1</c:v>
                </c:pt>
                <c:pt idx="44">
                  <c:v>0.09</c:v>
                </c:pt>
                <c:pt idx="45">
                  <c:v>0.1</c:v>
                </c:pt>
                <c:pt idx="46">
                  <c:v>0.11</c:v>
                </c:pt>
                <c:pt idx="47">
                  <c:v>0.09</c:v>
                </c:pt>
                <c:pt idx="48">
                  <c:v>0.09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0.11</c:v>
                </c:pt>
                <c:pt idx="55">
                  <c:v>0.09</c:v>
                </c:pt>
                <c:pt idx="56">
                  <c:v>0.09</c:v>
                </c:pt>
                <c:pt idx="57">
                  <c:v>0.09</c:v>
                </c:pt>
                <c:pt idx="58">
                  <c:v>0.11</c:v>
                </c:pt>
                <c:pt idx="59">
                  <c:v>0.08</c:v>
                </c:pt>
                <c:pt idx="60">
                  <c:v>0.1</c:v>
                </c:pt>
                <c:pt idx="61">
                  <c:v>0.09</c:v>
                </c:pt>
                <c:pt idx="62">
                  <c:v>0.1</c:v>
                </c:pt>
                <c:pt idx="63">
                  <c:v>0.11</c:v>
                </c:pt>
                <c:pt idx="64">
                  <c:v>0.09</c:v>
                </c:pt>
                <c:pt idx="65">
                  <c:v>0.09</c:v>
                </c:pt>
                <c:pt idx="66">
                  <c:v>0.09</c:v>
                </c:pt>
                <c:pt idx="67">
                  <c:v>0.1</c:v>
                </c:pt>
                <c:pt idx="68">
                  <c:v>0.09</c:v>
                </c:pt>
                <c:pt idx="69">
                  <c:v>0.1</c:v>
                </c:pt>
                <c:pt idx="70">
                  <c:v>0.1</c:v>
                </c:pt>
                <c:pt idx="71">
                  <c:v>0.09</c:v>
                </c:pt>
                <c:pt idx="72">
                  <c:v>0.09</c:v>
                </c:pt>
                <c:pt idx="73">
                  <c:v>0.1</c:v>
                </c:pt>
                <c:pt idx="74">
                  <c:v>0.1</c:v>
                </c:pt>
                <c:pt idx="75">
                  <c:v>0.09</c:v>
                </c:pt>
                <c:pt idx="76">
                  <c:v>0.1</c:v>
                </c:pt>
                <c:pt idx="77">
                  <c:v>0.08</c:v>
                </c:pt>
                <c:pt idx="78">
                  <c:v>0.1</c:v>
                </c:pt>
                <c:pt idx="79">
                  <c:v>0.09</c:v>
                </c:pt>
                <c:pt idx="80">
                  <c:v>0.1</c:v>
                </c:pt>
                <c:pt idx="81">
                  <c:v>0.09</c:v>
                </c:pt>
                <c:pt idx="82">
                  <c:v>0.1</c:v>
                </c:pt>
                <c:pt idx="83">
                  <c:v>0.09</c:v>
                </c:pt>
                <c:pt idx="84">
                  <c:v>0.09</c:v>
                </c:pt>
                <c:pt idx="85">
                  <c:v>0.1</c:v>
                </c:pt>
                <c:pt idx="86">
                  <c:v>0.09</c:v>
                </c:pt>
                <c:pt idx="87">
                  <c:v>0.09</c:v>
                </c:pt>
                <c:pt idx="88">
                  <c:v>0.1</c:v>
                </c:pt>
                <c:pt idx="89">
                  <c:v>0.09</c:v>
                </c:pt>
                <c:pt idx="90">
                  <c:v>0.09</c:v>
                </c:pt>
                <c:pt idx="91">
                  <c:v>0.1</c:v>
                </c:pt>
                <c:pt idx="92">
                  <c:v>0.11</c:v>
                </c:pt>
                <c:pt idx="93">
                  <c:v>0.08</c:v>
                </c:pt>
                <c:pt idx="9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01-46FE-B9DD-0365075DB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088032"/>
        <c:axId val="141777696"/>
      </c:scatterChart>
      <c:valAx>
        <c:axId val="350088032"/>
        <c:scaling>
          <c:orientation val="minMax"/>
          <c:max val="7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Case_Temp (℃)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77696"/>
        <c:crossesAt val="-0.60000000000000009"/>
        <c:crossBetween val="midCat"/>
        <c:majorUnit val="5"/>
      </c:valAx>
      <c:valAx>
        <c:axId val="141777696"/>
        <c:scaling>
          <c:orientation val="minMax"/>
          <c:max val="0.60000000000000009"/>
          <c:min val="-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dWL/dT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088032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403860</xdr:colOff>
      <xdr:row>2</xdr:row>
      <xdr:rowOff>53340</xdr:rowOff>
    </xdr:from>
    <xdr:to>
      <xdr:col>29</xdr:col>
      <xdr:colOff>217393</xdr:colOff>
      <xdr:row>16</xdr:row>
      <xdr:rowOff>160322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441960</xdr:colOff>
      <xdr:row>17</xdr:row>
      <xdr:rowOff>0</xdr:rowOff>
    </xdr:from>
    <xdr:to>
      <xdr:col>29</xdr:col>
      <xdr:colOff>243840</xdr:colOff>
      <xdr:row>32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457200</xdr:colOff>
      <xdr:row>32</xdr:row>
      <xdr:rowOff>83820</xdr:rowOff>
    </xdr:from>
    <xdr:to>
      <xdr:col>29</xdr:col>
      <xdr:colOff>213360</xdr:colOff>
      <xdr:row>47</xdr:row>
      <xdr:rowOff>182880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472440</xdr:colOff>
      <xdr:row>48</xdr:row>
      <xdr:rowOff>68580</xdr:rowOff>
    </xdr:from>
    <xdr:to>
      <xdr:col>29</xdr:col>
      <xdr:colOff>243840</xdr:colOff>
      <xdr:row>64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365760</xdr:colOff>
      <xdr:row>2</xdr:row>
      <xdr:rowOff>53340</xdr:rowOff>
    </xdr:from>
    <xdr:to>
      <xdr:col>38</xdr:col>
      <xdr:colOff>175260</xdr:colOff>
      <xdr:row>16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358140</xdr:colOff>
      <xdr:row>17</xdr:row>
      <xdr:rowOff>7620</xdr:rowOff>
    </xdr:from>
    <xdr:to>
      <xdr:col>38</xdr:col>
      <xdr:colOff>167640</xdr:colOff>
      <xdr:row>32</xdr:row>
      <xdr:rowOff>60960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29</xdr:col>
      <xdr:colOff>365760</xdr:colOff>
      <xdr:row>32</xdr:row>
      <xdr:rowOff>106680</xdr:rowOff>
    </xdr:from>
    <xdr:to>
      <xdr:col>38</xdr:col>
      <xdr:colOff>175260</xdr:colOff>
      <xdr:row>47</xdr:row>
      <xdr:rowOff>175260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381000</xdr:colOff>
      <xdr:row>48</xdr:row>
      <xdr:rowOff>68580</xdr:rowOff>
    </xdr:from>
    <xdr:to>
      <xdr:col>38</xdr:col>
      <xdr:colOff>190500</xdr:colOff>
      <xdr:row>63</xdr:row>
      <xdr:rowOff>190500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"/>
  <sheetViews>
    <sheetView tabSelected="1" topLeftCell="U1" zoomScaleNormal="100" workbookViewId="0">
      <pane ySplit="1" topLeftCell="A8" activePane="bottomLeft" state="frozen"/>
      <selection pane="bottomLeft" activeCell="N9" sqref="N9"/>
    </sheetView>
  </sheetViews>
  <sheetFormatPr defaultRowHeight="15.6"/>
  <cols>
    <col min="1" max="1" width="11.796875" style="10" customWidth="1"/>
    <col min="3" max="3" width="11.09765625" style="1" customWidth="1"/>
    <col min="4" max="4" width="11.8984375" style="1" customWidth="1"/>
    <col min="5" max="5" width="11.8984375" style="11" customWidth="1"/>
    <col min="6" max="7" width="11.8984375" style="1" customWidth="1"/>
    <col min="8" max="8" width="10.69921875" style="1" customWidth="1"/>
    <col min="9" max="10" width="9.69921875" style="1" customWidth="1"/>
    <col min="11" max="11" width="8.8984375" style="8" customWidth="1"/>
    <col min="12" max="12" width="13.296875" style="1" customWidth="1"/>
    <col min="15" max="15" width="8.296875" style="12" customWidth="1"/>
    <col min="19" max="19" width="4.796875" style="1" customWidth="1"/>
    <col min="20" max="20" width="4.3984375" style="1" customWidth="1"/>
  </cols>
  <sheetData>
    <row r="1" spans="1:20">
      <c r="A1" s="9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4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5" t="s">
        <v>18</v>
      </c>
      <c r="T1" s="5" t="s">
        <v>19</v>
      </c>
    </row>
    <row r="2" spans="1:20">
      <c r="A2" s="9">
        <f>'1_Operational'!C2</f>
        <v>0.2</v>
      </c>
      <c r="B2">
        <f>'5_Operational'!C2</f>
        <v>0.2</v>
      </c>
      <c r="C2">
        <f>'1_Operational'!D2</f>
        <v>1307.3050000000001</v>
      </c>
      <c r="D2">
        <f>'5_Operational'!D2</f>
        <v>1307.3889999999999</v>
      </c>
      <c r="E2" s="2">
        <f>'1_Maximum'!C2</f>
        <v>69.760000000000005</v>
      </c>
      <c r="F2">
        <f>'1_Maximum'!D2</f>
        <v>1314.8579999999999</v>
      </c>
      <c r="G2">
        <f>'5_Maximum'!D2</f>
        <v>1314.6469999999999</v>
      </c>
      <c r="H2">
        <f>'1_Operational'!F2</f>
        <v>271.12</v>
      </c>
      <c r="I2">
        <f>'5_Operational'!J2</f>
        <v>352.24</v>
      </c>
      <c r="J2">
        <f>'1_Maximum'!F2:F95</f>
        <v>399</v>
      </c>
      <c r="K2" s="7">
        <f>'1_Operational'!E2</f>
        <v>3.46</v>
      </c>
      <c r="L2">
        <f>'5_Operational'!E2</f>
        <v>-0.51</v>
      </c>
      <c r="M2">
        <f>'1_Maximum'!E2</f>
        <v>-2.15</v>
      </c>
      <c r="N2">
        <f>'5_Maximum'!E2</f>
        <v>0.32</v>
      </c>
      <c r="O2" s="6">
        <f>'1_Operational'!N2</f>
        <v>0.06</v>
      </c>
      <c r="P2">
        <f>'5_Operational'!N2</f>
        <v>7.0000000000000007E-2</v>
      </c>
      <c r="Q2">
        <f>'1_Maximum'!N2</f>
        <v>0.08</v>
      </c>
      <c r="R2">
        <f>'5_Maximum'!N2</f>
        <v>0.1</v>
      </c>
      <c r="S2">
        <v>0.2</v>
      </c>
      <c r="T2">
        <v>0</v>
      </c>
    </row>
    <row r="3" spans="1:20">
      <c r="A3" s="9">
        <f>'1_Operational'!C3</f>
        <v>0.96</v>
      </c>
      <c r="B3">
        <f>'5_Operational'!C3</f>
        <v>0.96</v>
      </c>
      <c r="C3">
        <f>'1_Operational'!D3</f>
        <v>1307.3520000000001</v>
      </c>
      <c r="D3">
        <f>'5_Operational'!D3</f>
        <v>1307.443</v>
      </c>
      <c r="E3" s="2">
        <f>'1_Maximum'!C3</f>
        <v>69.010000000000005</v>
      </c>
      <c r="F3">
        <f>'1_Maximum'!D3</f>
        <v>1314.7840000000001</v>
      </c>
      <c r="G3">
        <f>'5_Maximum'!D3</f>
        <v>1314.586</v>
      </c>
      <c r="H3">
        <f>'1_Operational'!F3</f>
        <v>269.60000000000002</v>
      </c>
      <c r="I3">
        <f>'5_Operational'!J3</f>
        <v>351.84</v>
      </c>
      <c r="J3">
        <f>'1_Maximum'!F3:F96</f>
        <v>399</v>
      </c>
      <c r="K3" s="7">
        <f>'1_Operational'!E3</f>
        <v>3.51</v>
      </c>
      <c r="L3">
        <f>'5_Operational'!E3</f>
        <v>-0.52</v>
      </c>
      <c r="M3">
        <f>'1_Maximum'!E3</f>
        <v>-1.9</v>
      </c>
      <c r="N3">
        <f>'5_Maximum'!E3</f>
        <v>0.51</v>
      </c>
      <c r="O3" s="6">
        <f>'1_Operational'!N3</f>
        <v>0.06</v>
      </c>
      <c r="P3">
        <f>'5_Operational'!N3</f>
        <v>7.0000000000000007E-2</v>
      </c>
      <c r="Q3">
        <f>'1_Maximum'!N3</f>
        <v>0.1</v>
      </c>
      <c r="R3">
        <f>'5_Maximum'!N3</f>
        <v>0.08</v>
      </c>
      <c r="S3">
        <v>0.2</v>
      </c>
      <c r="T3">
        <v>0</v>
      </c>
    </row>
    <row r="4" spans="1:20">
      <c r="A4" s="9">
        <f>'1_Operational'!C4</f>
        <v>1.7</v>
      </c>
      <c r="B4">
        <f>'5_Operational'!C4</f>
        <v>1.7</v>
      </c>
      <c r="C4">
        <f>'1_Operational'!D4</f>
        <v>1307.402</v>
      </c>
      <c r="D4">
        <f>'5_Operational'!D4</f>
        <v>1307.4970000000001</v>
      </c>
      <c r="E4" s="2">
        <f>'1_Maximum'!C4</f>
        <v>68.260000000000005</v>
      </c>
      <c r="F4">
        <f>'1_Maximum'!D4</f>
        <v>1314.7180000000001</v>
      </c>
      <c r="G4">
        <f>'5_Maximum'!D4</f>
        <v>1314.5160000000001</v>
      </c>
      <c r="H4">
        <f>'1_Operational'!F4</f>
        <v>267.83999999999997</v>
      </c>
      <c r="I4">
        <f>'5_Operational'!J4</f>
        <v>351.28</v>
      </c>
      <c r="J4">
        <f>'1_Maximum'!F4:F97</f>
        <v>399</v>
      </c>
      <c r="K4" s="7">
        <f>'1_Operational'!E4</f>
        <v>3.55</v>
      </c>
      <c r="L4">
        <f>'5_Operational'!E4</f>
        <v>-0.6</v>
      </c>
      <c r="M4">
        <f>'1_Maximum'!E4</f>
        <v>-1.7</v>
      </c>
      <c r="N4">
        <f>'5_Maximum'!E4</f>
        <v>0.7</v>
      </c>
      <c r="O4" s="6">
        <f>'1_Operational'!N4</f>
        <v>7.0000000000000007E-2</v>
      </c>
      <c r="P4">
        <f>'5_Operational'!N4</f>
        <v>7.0000000000000007E-2</v>
      </c>
      <c r="Q4">
        <f>'1_Maximum'!N4</f>
        <v>0.09</v>
      </c>
      <c r="R4">
        <f>'5_Maximum'!N4</f>
        <v>0.09</v>
      </c>
      <c r="S4">
        <v>0.2</v>
      </c>
      <c r="T4">
        <v>0</v>
      </c>
    </row>
    <row r="5" spans="1:20">
      <c r="A5" s="9">
        <f>'1_Operational'!C5</f>
        <v>2.4300000000000002</v>
      </c>
      <c r="B5">
        <f>'5_Operational'!C5</f>
        <v>2.4300000000000002</v>
      </c>
      <c r="C5">
        <f>'1_Operational'!D5</f>
        <v>1307.4459999999999</v>
      </c>
      <c r="D5">
        <f>'5_Operational'!D5</f>
        <v>1307.557</v>
      </c>
      <c r="E5" s="2">
        <f>'1_Maximum'!C5</f>
        <v>67.510000000000005</v>
      </c>
      <c r="F5">
        <f>'1_Maximum'!D5</f>
        <v>1314.6479999999999</v>
      </c>
      <c r="G5">
        <f>'5_Maximum'!D5</f>
        <v>1314.4480000000001</v>
      </c>
      <c r="H5">
        <f>'1_Operational'!F5</f>
        <v>265.8</v>
      </c>
      <c r="I5">
        <f>'5_Operational'!J5</f>
        <v>350.48</v>
      </c>
      <c r="J5">
        <f>'1_Maximum'!F5:F98</f>
        <v>399</v>
      </c>
      <c r="K5" s="7">
        <f>'1_Operational'!E5</f>
        <v>3.52</v>
      </c>
      <c r="L5">
        <f>'5_Operational'!E5</f>
        <v>-0.54</v>
      </c>
      <c r="M5">
        <f>'1_Maximum'!E5</f>
        <v>-1.47</v>
      </c>
      <c r="N5">
        <f>'5_Maximum'!E5</f>
        <v>1.02</v>
      </c>
      <c r="O5" s="6">
        <f>'1_Operational'!N5</f>
        <v>0.06</v>
      </c>
      <c r="P5">
        <f>'5_Operational'!N5</f>
        <v>0.08</v>
      </c>
      <c r="Q5">
        <f>'1_Maximum'!N5</f>
        <v>0.09</v>
      </c>
      <c r="R5">
        <f>'5_Maximum'!N5</f>
        <v>0.09</v>
      </c>
      <c r="S5">
        <v>0.2</v>
      </c>
      <c r="T5">
        <v>0</v>
      </c>
    </row>
    <row r="6" spans="1:20">
      <c r="A6" s="9">
        <f>'1_Operational'!C6</f>
        <v>3.16</v>
      </c>
      <c r="B6">
        <f>'5_Operational'!C6</f>
        <v>3.16</v>
      </c>
      <c r="C6">
        <f>'1_Operational'!D6</f>
        <v>1307.502</v>
      </c>
      <c r="D6">
        <f>'5_Operational'!D6</f>
        <v>1307.607</v>
      </c>
      <c r="E6" s="2">
        <f>'1_Maximum'!C6</f>
        <v>66.78</v>
      </c>
      <c r="F6">
        <f>'1_Maximum'!D6</f>
        <v>1314.579</v>
      </c>
      <c r="G6">
        <f>'5_Maximum'!D6</f>
        <v>1314.3779999999999</v>
      </c>
      <c r="H6">
        <f>'1_Operational'!F6</f>
        <v>264</v>
      </c>
      <c r="I6">
        <f>'5_Operational'!J6</f>
        <v>349.64</v>
      </c>
      <c r="J6">
        <f>'1_Maximum'!F6:F99</f>
        <v>399</v>
      </c>
      <c r="K6" s="7">
        <f>'1_Operational'!E6</f>
        <v>3.51</v>
      </c>
      <c r="L6">
        <f>'5_Operational'!E6</f>
        <v>-0.54</v>
      </c>
      <c r="M6">
        <f>'1_Maximum'!E6</f>
        <v>-1.23</v>
      </c>
      <c r="N6">
        <f>'5_Maximum'!E6</f>
        <v>1.17</v>
      </c>
      <c r="O6" s="6">
        <f>'1_Operational'!N6</f>
        <v>0.08</v>
      </c>
      <c r="P6">
        <f>'5_Operational'!N6</f>
        <v>7.0000000000000007E-2</v>
      </c>
      <c r="Q6">
        <f>'1_Maximum'!N6</f>
        <v>0.09</v>
      </c>
      <c r="R6">
        <f>'5_Maximum'!N6</f>
        <v>0.1</v>
      </c>
      <c r="S6">
        <v>0.2</v>
      </c>
      <c r="T6">
        <v>0</v>
      </c>
    </row>
    <row r="7" spans="1:20">
      <c r="A7" s="9">
        <f>'1_Operational'!C7</f>
        <v>3.91</v>
      </c>
      <c r="B7">
        <f>'5_Operational'!C7</f>
        <v>3.91</v>
      </c>
      <c r="C7">
        <f>'1_Operational'!D7</f>
        <v>1307.5540000000001</v>
      </c>
      <c r="D7">
        <f>'5_Operational'!D7</f>
        <v>1307.663</v>
      </c>
      <c r="E7" s="2">
        <f>'1_Maximum'!C7</f>
        <v>66.040000000000006</v>
      </c>
      <c r="F7">
        <f>'1_Maximum'!D7</f>
        <v>1314.5150000000001</v>
      </c>
      <c r="G7">
        <f>'5_Maximum'!D7</f>
        <v>1314.3009999999999</v>
      </c>
      <c r="H7">
        <f>'1_Operational'!F7</f>
        <v>261.8</v>
      </c>
      <c r="I7">
        <f>'5_Operational'!J7</f>
        <v>348.64</v>
      </c>
      <c r="J7">
        <f>'1_Maximum'!F7:F100</f>
        <v>399</v>
      </c>
      <c r="K7" s="7">
        <f>'1_Operational'!E7</f>
        <v>3.56</v>
      </c>
      <c r="L7">
        <f>'5_Operational'!E7</f>
        <v>-0.46</v>
      </c>
      <c r="M7">
        <f>'1_Maximum'!E7</f>
        <v>-0.98</v>
      </c>
      <c r="N7">
        <f>'5_Maximum'!E7</f>
        <v>1.69</v>
      </c>
      <c r="O7" s="6">
        <f>'1_Operational'!N7</f>
        <v>7.0000000000000007E-2</v>
      </c>
      <c r="P7">
        <f>'5_Operational'!N7</f>
        <v>7.0000000000000007E-2</v>
      </c>
      <c r="Q7">
        <f>'1_Maximum'!N7</f>
        <v>0.09</v>
      </c>
      <c r="R7">
        <f>'5_Maximum'!N7</f>
        <v>0.1</v>
      </c>
      <c r="S7">
        <v>0.2</v>
      </c>
      <c r="T7">
        <v>0</v>
      </c>
    </row>
    <row r="8" spans="1:20">
      <c r="A8" s="9">
        <f>'1_Operational'!C8</f>
        <v>4.6399999999999997</v>
      </c>
      <c r="B8">
        <f>'5_Operational'!C8</f>
        <v>4.6399999999999997</v>
      </c>
      <c r="C8">
        <f>'1_Operational'!D8</f>
        <v>1307.607</v>
      </c>
      <c r="D8">
        <f>'5_Operational'!D8</f>
        <v>1307.7190000000001</v>
      </c>
      <c r="E8" s="2">
        <f>'1_Maximum'!C8</f>
        <v>65.31</v>
      </c>
      <c r="F8">
        <f>'1_Maximum'!D8</f>
        <v>1314.4359999999999</v>
      </c>
      <c r="G8">
        <f>'5_Maximum'!D8</f>
        <v>1314.2380000000001</v>
      </c>
      <c r="H8">
        <f>'1_Operational'!F8</f>
        <v>259.72000000000003</v>
      </c>
      <c r="I8">
        <f>'5_Operational'!J8</f>
        <v>347.64</v>
      </c>
      <c r="J8">
        <f>'1_Maximum'!F8:F101</f>
        <v>399</v>
      </c>
      <c r="K8" s="7">
        <f>'1_Operational'!E8</f>
        <v>3.57</v>
      </c>
      <c r="L8">
        <f>'5_Operational'!E8</f>
        <v>-0.52</v>
      </c>
      <c r="M8">
        <f>'1_Maximum'!E8</f>
        <v>-0.66</v>
      </c>
      <c r="N8">
        <f>'5_Maximum'!E8</f>
        <v>1.97</v>
      </c>
      <c r="O8" s="6">
        <f>'1_Operational'!N8</f>
        <v>7.0000000000000007E-2</v>
      </c>
      <c r="P8">
        <f>'5_Operational'!N8</f>
        <v>0.08</v>
      </c>
      <c r="Q8">
        <f>'1_Maximum'!N8</f>
        <v>0.11</v>
      </c>
      <c r="R8">
        <f>'5_Maximum'!N8</f>
        <v>0.09</v>
      </c>
      <c r="S8">
        <v>0.2</v>
      </c>
      <c r="T8">
        <v>0</v>
      </c>
    </row>
    <row r="9" spans="1:20">
      <c r="A9" s="9">
        <f>'1_Operational'!C9</f>
        <v>5.39</v>
      </c>
      <c r="B9">
        <f>'5_Operational'!C9</f>
        <v>5.39</v>
      </c>
      <c r="C9">
        <f>'1_Operational'!D9</f>
        <v>1307.6600000000001</v>
      </c>
      <c r="D9">
        <f>'5_Operational'!D9</f>
        <v>1307.7750000000001</v>
      </c>
      <c r="E9" s="2">
        <f>'1_Maximum'!C9</f>
        <v>64.569999999999993</v>
      </c>
      <c r="F9">
        <f>'1_Maximum'!D9</f>
        <v>1314.364</v>
      </c>
      <c r="G9">
        <f>'5_Maximum'!D9</f>
        <v>1314.1659999999999</v>
      </c>
      <c r="H9">
        <f>'1_Operational'!F9</f>
        <v>257.64</v>
      </c>
      <c r="I9">
        <f>'5_Operational'!J9</f>
        <v>346.6</v>
      </c>
      <c r="J9">
        <f>'1_Maximum'!F9:F102</f>
        <v>399</v>
      </c>
      <c r="K9" s="7">
        <f>'1_Operational'!E9</f>
        <v>3.57</v>
      </c>
      <c r="L9">
        <f>'5_Operational'!E9</f>
        <v>-0.43</v>
      </c>
      <c r="M9">
        <f>'1_Maximum'!E9</f>
        <v>-0.51</v>
      </c>
      <c r="N9">
        <f>'5_Maximum'!E9</f>
        <v>2.2599999999999998</v>
      </c>
      <c r="O9" s="6">
        <f>'1_Operational'!N9</f>
        <v>7.0000000000000007E-2</v>
      </c>
      <c r="P9">
        <f>'5_Operational'!N9</f>
        <v>7.0000000000000007E-2</v>
      </c>
      <c r="Q9">
        <f>'1_Maximum'!N9</f>
        <v>0.1</v>
      </c>
      <c r="R9">
        <f>'5_Maximum'!N9</f>
        <v>0.1</v>
      </c>
      <c r="S9">
        <v>0.2</v>
      </c>
      <c r="T9">
        <v>0</v>
      </c>
    </row>
    <row r="10" spans="1:20">
      <c r="A10" s="9">
        <f>'1_Operational'!C10</f>
        <v>6.13</v>
      </c>
      <c r="B10">
        <f>'5_Operational'!C10</f>
        <v>6.13</v>
      </c>
      <c r="C10">
        <f>'1_Operational'!D10</f>
        <v>1307.713</v>
      </c>
      <c r="D10">
        <f>'5_Operational'!D10</f>
        <v>1307.8320000000001</v>
      </c>
      <c r="E10" s="2">
        <f>'1_Maximum'!C10</f>
        <v>63.84</v>
      </c>
      <c r="F10">
        <f>'1_Maximum'!D10</f>
        <v>1314.3</v>
      </c>
      <c r="G10">
        <f>'5_Maximum'!D10</f>
        <v>1314.088</v>
      </c>
      <c r="H10">
        <f>'1_Operational'!F10</f>
        <v>255.4</v>
      </c>
      <c r="I10">
        <f>'5_Operational'!J10</f>
        <v>345.36</v>
      </c>
      <c r="J10">
        <f>'1_Maximum'!F10:F103</f>
        <v>399</v>
      </c>
      <c r="K10" s="7">
        <f>'1_Operational'!E10</f>
        <v>3.58</v>
      </c>
      <c r="L10">
        <f>'5_Operational'!E10</f>
        <v>-0.34</v>
      </c>
      <c r="M10">
        <f>'1_Maximum'!E10</f>
        <v>-0.35</v>
      </c>
      <c r="N10">
        <f>'5_Maximum'!E10</f>
        <v>2.68</v>
      </c>
      <c r="O10" s="6">
        <f>'1_Operational'!N10</f>
        <v>7.0000000000000007E-2</v>
      </c>
      <c r="P10">
        <f>'5_Operational'!N10</f>
        <v>0.08</v>
      </c>
      <c r="Q10">
        <f>'1_Maximum'!N10</f>
        <v>0.09</v>
      </c>
      <c r="R10">
        <f>'5_Maximum'!N10</f>
        <v>0.11</v>
      </c>
      <c r="S10">
        <v>0.2</v>
      </c>
      <c r="T10">
        <v>0</v>
      </c>
    </row>
    <row r="11" spans="1:20">
      <c r="A11" s="9">
        <f>'1_Operational'!C11</f>
        <v>6.87</v>
      </c>
      <c r="B11">
        <f>'5_Operational'!C11</f>
        <v>6.87</v>
      </c>
      <c r="C11">
        <f>'1_Operational'!D11</f>
        <v>1307.768</v>
      </c>
      <c r="D11">
        <f>'5_Operational'!D11</f>
        <v>1307.8910000000001</v>
      </c>
      <c r="E11" s="2">
        <f>'1_Maximum'!C11</f>
        <v>63.09</v>
      </c>
      <c r="F11">
        <f>'1_Maximum'!D11</f>
        <v>1314.221</v>
      </c>
      <c r="G11">
        <f>'5_Maximum'!D11</f>
        <v>1314.0229999999999</v>
      </c>
      <c r="H11">
        <f>'1_Operational'!F11</f>
        <v>253.48</v>
      </c>
      <c r="I11">
        <f>'5_Operational'!J11</f>
        <v>344.08</v>
      </c>
      <c r="J11">
        <f>'1_Maximum'!F11:F104</f>
        <v>399</v>
      </c>
      <c r="K11" s="7">
        <f>'1_Operational'!E11</f>
        <v>3.58</v>
      </c>
      <c r="L11">
        <f>'5_Operational'!E11</f>
        <v>-0.27</v>
      </c>
      <c r="M11">
        <f>'1_Maximum'!E11</f>
        <v>-0.1</v>
      </c>
      <c r="N11">
        <f>'5_Maximum'!E11</f>
        <v>2.81</v>
      </c>
      <c r="O11" s="6">
        <f>'1_Operational'!N11</f>
        <v>7.0000000000000007E-2</v>
      </c>
      <c r="P11">
        <f>'5_Operational'!N11</f>
        <v>0.08</v>
      </c>
      <c r="Q11">
        <f>'1_Maximum'!N11</f>
        <v>0.11</v>
      </c>
      <c r="R11">
        <f>'5_Maximum'!N11</f>
        <v>0.09</v>
      </c>
      <c r="S11">
        <v>0.2</v>
      </c>
      <c r="T11">
        <v>0</v>
      </c>
    </row>
    <row r="12" spans="1:20">
      <c r="A12" s="9">
        <f>'1_Operational'!C12</f>
        <v>7.63</v>
      </c>
      <c r="B12">
        <f>'5_Operational'!C12</f>
        <v>7.63</v>
      </c>
      <c r="C12">
        <f>'1_Operational'!D12</f>
        <v>1307.816</v>
      </c>
      <c r="D12">
        <f>'5_Operational'!D12</f>
        <v>1307.954</v>
      </c>
      <c r="E12" s="2">
        <f>'1_Maximum'!C12</f>
        <v>62.37</v>
      </c>
      <c r="F12">
        <f>'1_Maximum'!D12</f>
        <v>1314.1510000000001</v>
      </c>
      <c r="G12">
        <f>'5_Maximum'!D12</f>
        <v>1313.953</v>
      </c>
      <c r="H12">
        <f>'1_Operational'!F12</f>
        <v>251.36</v>
      </c>
      <c r="I12">
        <f>'5_Operational'!J12</f>
        <v>342.72</v>
      </c>
      <c r="J12">
        <f>'1_Maximum'!F12:F105</f>
        <v>399</v>
      </c>
      <c r="K12" s="7">
        <f>'1_Operational'!E12</f>
        <v>3.65</v>
      </c>
      <c r="L12">
        <f>'5_Operational'!E12</f>
        <v>-0.31</v>
      </c>
      <c r="M12">
        <f>'1_Maximum'!E12</f>
        <v>0.13</v>
      </c>
      <c r="N12">
        <f>'5_Maximum'!E12</f>
        <v>3.15</v>
      </c>
      <c r="O12" s="6">
        <f>'1_Operational'!N12</f>
        <v>0.06</v>
      </c>
      <c r="P12">
        <f>'5_Operational'!N12</f>
        <v>0.08</v>
      </c>
      <c r="Q12">
        <f>'1_Maximum'!N12</f>
        <v>0.1</v>
      </c>
      <c r="R12">
        <f>'5_Maximum'!N12</f>
        <v>0.1</v>
      </c>
      <c r="S12">
        <v>0.2</v>
      </c>
      <c r="T12">
        <v>0</v>
      </c>
    </row>
    <row r="13" spans="1:20">
      <c r="A13" s="9">
        <f>'1_Operational'!C13</f>
        <v>8.36</v>
      </c>
      <c r="B13">
        <f>'5_Operational'!C13</f>
        <v>8.36</v>
      </c>
      <c r="C13">
        <f>'1_Operational'!D13</f>
        <v>1307.873</v>
      </c>
      <c r="D13">
        <f>'5_Operational'!D13</f>
        <v>1308.0129999999999</v>
      </c>
      <c r="E13" s="2">
        <f>'1_Maximum'!C13</f>
        <v>61.62</v>
      </c>
      <c r="F13">
        <f>'1_Maximum'!D13</f>
        <v>1314.077</v>
      </c>
      <c r="G13">
        <f>'5_Maximum'!D13</f>
        <v>1313.8810000000001</v>
      </c>
      <c r="H13">
        <f>'1_Operational'!F13</f>
        <v>249.72</v>
      </c>
      <c r="I13">
        <f>'5_Operational'!J13</f>
        <v>341.36</v>
      </c>
      <c r="J13">
        <f>'1_Maximum'!F13:F106</f>
        <v>399</v>
      </c>
      <c r="K13" s="7">
        <f>'1_Operational'!E13</f>
        <v>3.64</v>
      </c>
      <c r="L13">
        <f>'5_Operational'!E13</f>
        <v>-0.33</v>
      </c>
      <c r="M13">
        <f>'1_Maximum'!E13</f>
        <v>0.31</v>
      </c>
      <c r="N13">
        <f>'5_Maximum'!E13</f>
        <v>3.62</v>
      </c>
      <c r="O13" s="6">
        <f>'1_Operational'!N13</f>
        <v>0.08</v>
      </c>
      <c r="P13">
        <f>'5_Operational'!N13</f>
        <v>0.08</v>
      </c>
      <c r="Q13">
        <f>'1_Maximum'!N13</f>
        <v>0.1</v>
      </c>
      <c r="R13">
        <f>'5_Maximum'!N13</f>
        <v>0.1</v>
      </c>
      <c r="S13">
        <v>0.2</v>
      </c>
      <c r="T13">
        <v>0</v>
      </c>
    </row>
    <row r="14" spans="1:20">
      <c r="A14" s="9">
        <f>'1_Operational'!C14</f>
        <v>9.1199999999999992</v>
      </c>
      <c r="B14">
        <f>'5_Operational'!C14</f>
        <v>9.1199999999999992</v>
      </c>
      <c r="C14">
        <f>'1_Operational'!D14</f>
        <v>1307.934</v>
      </c>
      <c r="D14">
        <f>'5_Operational'!D14</f>
        <v>1308.0640000000001</v>
      </c>
      <c r="E14" s="2">
        <f>'1_Maximum'!C14</f>
        <v>60.89</v>
      </c>
      <c r="F14">
        <f>'1_Maximum'!D14</f>
        <v>1314.0060000000001</v>
      </c>
      <c r="G14">
        <f>'5_Maximum'!D14</f>
        <v>1313.809</v>
      </c>
      <c r="H14">
        <f>'1_Operational'!F14</f>
        <v>247.68</v>
      </c>
      <c r="I14">
        <f>'5_Operational'!J14</f>
        <v>339.88</v>
      </c>
      <c r="J14">
        <f>'1_Maximum'!F14:F107</f>
        <v>399</v>
      </c>
      <c r="K14" s="7">
        <f>'1_Operational'!E14</f>
        <v>3.61</v>
      </c>
      <c r="L14">
        <f>'5_Operational'!E14</f>
        <v>-0.28000000000000003</v>
      </c>
      <c r="M14">
        <f>'1_Maximum'!E14</f>
        <v>0.48</v>
      </c>
      <c r="N14">
        <f>'5_Maximum'!E14</f>
        <v>3.98</v>
      </c>
      <c r="O14" s="6">
        <f>'1_Operational'!N14</f>
        <v>0.08</v>
      </c>
      <c r="P14">
        <f>'5_Operational'!N14</f>
        <v>7.0000000000000007E-2</v>
      </c>
      <c r="Q14">
        <f>'1_Maximum'!N14</f>
        <v>0.1</v>
      </c>
      <c r="R14">
        <f>'5_Maximum'!N14</f>
        <v>0.1</v>
      </c>
      <c r="S14">
        <v>0.2</v>
      </c>
      <c r="T14">
        <v>0</v>
      </c>
    </row>
    <row r="15" spans="1:20">
      <c r="A15" s="9">
        <f>'1_Operational'!C15</f>
        <v>9.85</v>
      </c>
      <c r="B15">
        <f>'5_Operational'!C15</f>
        <v>9.85</v>
      </c>
      <c r="C15">
        <f>'1_Operational'!D15</f>
        <v>1307.991</v>
      </c>
      <c r="D15">
        <f>'5_Operational'!D15</f>
        <v>1308.1220000000001</v>
      </c>
      <c r="E15" s="2">
        <f>'1_Maximum'!C15</f>
        <v>60.12</v>
      </c>
      <c r="F15">
        <f>'1_Maximum'!D15</f>
        <v>1313.9349999999999</v>
      </c>
      <c r="G15">
        <f>'5_Maximum'!D15</f>
        <v>1313.7370000000001</v>
      </c>
      <c r="H15">
        <f>'1_Operational'!F15</f>
        <v>246.04</v>
      </c>
      <c r="I15">
        <f>'5_Operational'!J15</f>
        <v>338.36</v>
      </c>
      <c r="J15">
        <f>'1_Maximum'!F15:F108</f>
        <v>399</v>
      </c>
      <c r="K15" s="7">
        <f>'1_Operational'!E15</f>
        <v>3.59</v>
      </c>
      <c r="L15">
        <f>'5_Operational'!E15</f>
        <v>-0.21</v>
      </c>
      <c r="M15">
        <f>'1_Maximum'!E15</f>
        <v>0.77</v>
      </c>
      <c r="N15">
        <f>'5_Maximum'!E15</f>
        <v>4.33</v>
      </c>
      <c r="O15" s="6">
        <f>'1_Operational'!N15</f>
        <v>0.08</v>
      </c>
      <c r="P15">
        <f>'5_Operational'!N15</f>
        <v>0.08</v>
      </c>
      <c r="Q15">
        <f>'1_Maximum'!N15</f>
        <v>0.09</v>
      </c>
      <c r="R15">
        <f>'5_Maximum'!N15</f>
        <v>0.09</v>
      </c>
      <c r="S15">
        <v>0.2</v>
      </c>
      <c r="T15">
        <v>0</v>
      </c>
    </row>
    <row r="16" spans="1:20">
      <c r="A16" s="9">
        <f>'1_Operational'!C16</f>
        <v>10.61</v>
      </c>
      <c r="B16">
        <f>'5_Operational'!C16</f>
        <v>10.61</v>
      </c>
      <c r="C16">
        <f>'1_Operational'!D16</f>
        <v>1308.048</v>
      </c>
      <c r="D16">
        <f>'5_Operational'!D16</f>
        <v>1308.181</v>
      </c>
      <c r="E16" s="2">
        <f>'1_Maximum'!C16</f>
        <v>59.35</v>
      </c>
      <c r="F16">
        <f>'1_Maximum'!D16</f>
        <v>1313.8620000000001</v>
      </c>
      <c r="G16">
        <f>'5_Maximum'!D16</f>
        <v>1313.663</v>
      </c>
      <c r="H16">
        <f>'1_Operational'!F16</f>
        <v>244.28</v>
      </c>
      <c r="I16">
        <f>'5_Operational'!J16</f>
        <v>336.8</v>
      </c>
      <c r="J16">
        <f>'1_Maximum'!F16:F109</f>
        <v>399</v>
      </c>
      <c r="K16" s="7">
        <f>'1_Operational'!E16</f>
        <v>3.6</v>
      </c>
      <c r="L16">
        <f>'5_Operational'!E16</f>
        <v>-0.15</v>
      </c>
      <c r="M16">
        <f>'1_Maximum'!E16</f>
        <v>1.02</v>
      </c>
      <c r="N16">
        <f>'5_Maximum'!E16</f>
        <v>4.6500000000000004</v>
      </c>
      <c r="O16" s="6">
        <f>'1_Operational'!N16</f>
        <v>0.08</v>
      </c>
      <c r="P16">
        <f>'5_Operational'!N16</f>
        <v>0.08</v>
      </c>
      <c r="Q16">
        <f>'1_Maximum'!N16</f>
        <v>0.09</v>
      </c>
      <c r="R16">
        <f>'5_Maximum'!N16</f>
        <v>0.1</v>
      </c>
      <c r="S16">
        <v>0.2</v>
      </c>
      <c r="T16">
        <v>0</v>
      </c>
    </row>
    <row r="17" spans="1:20">
      <c r="A17" s="9">
        <f>'1_Operational'!C17</f>
        <v>11.33</v>
      </c>
      <c r="B17">
        <f>'5_Operational'!C17</f>
        <v>11.33</v>
      </c>
      <c r="C17">
        <f>'1_Operational'!D17</f>
        <v>1308.107</v>
      </c>
      <c r="D17">
        <f>'5_Operational'!D17</f>
        <v>1308.239</v>
      </c>
      <c r="E17" s="2">
        <f>'1_Maximum'!C17</f>
        <v>58.59</v>
      </c>
      <c r="F17">
        <f>'1_Maximum'!D17</f>
        <v>1313.789</v>
      </c>
      <c r="G17">
        <f>'5_Maximum'!D17</f>
        <v>1313.5909999999999</v>
      </c>
      <c r="H17">
        <f>'1_Operational'!F17</f>
        <v>242.4</v>
      </c>
      <c r="I17">
        <f>'5_Operational'!J17</f>
        <v>335.44</v>
      </c>
      <c r="J17">
        <f>'1_Maximum'!F17:F110</f>
        <v>399</v>
      </c>
      <c r="K17" s="7">
        <f>'1_Operational'!E17</f>
        <v>3.56</v>
      </c>
      <c r="L17">
        <f>'5_Operational'!E17</f>
        <v>-0.12</v>
      </c>
      <c r="M17">
        <f>'1_Maximum'!E17</f>
        <v>1.25</v>
      </c>
      <c r="N17">
        <f>'5_Maximum'!E17</f>
        <v>5.0199999999999996</v>
      </c>
      <c r="O17" s="6">
        <f>'1_Operational'!N17</f>
        <v>0.08</v>
      </c>
      <c r="P17">
        <f>'5_Operational'!N17</f>
        <v>0.08</v>
      </c>
      <c r="Q17">
        <f>'1_Maximum'!N17</f>
        <v>0.1</v>
      </c>
      <c r="R17">
        <f>'5_Maximum'!N17</f>
        <v>0.09</v>
      </c>
      <c r="S17">
        <v>0.2</v>
      </c>
      <c r="T17">
        <v>0</v>
      </c>
    </row>
    <row r="18" spans="1:20">
      <c r="A18" s="9">
        <f>'1_Operational'!C18</f>
        <v>12.06</v>
      </c>
      <c r="B18">
        <f>'5_Operational'!C18</f>
        <v>12.06</v>
      </c>
      <c r="C18">
        <f>'1_Operational'!D18</f>
        <v>1308.164</v>
      </c>
      <c r="D18">
        <f>'5_Operational'!D18</f>
        <v>1308.298</v>
      </c>
      <c r="E18" s="2">
        <f>'1_Maximum'!C18</f>
        <v>57.84</v>
      </c>
      <c r="F18">
        <f>'1_Maximum'!D18</f>
        <v>1313.7149999999999</v>
      </c>
      <c r="G18">
        <f>'5_Maximum'!D18</f>
        <v>1313.519</v>
      </c>
      <c r="H18">
        <f>'1_Operational'!F18</f>
        <v>240.96</v>
      </c>
      <c r="I18">
        <f>'5_Operational'!J18</f>
        <v>334.04</v>
      </c>
      <c r="J18">
        <f>'1_Maximum'!F18:F111</f>
        <v>399</v>
      </c>
      <c r="K18" s="7">
        <f>'1_Operational'!E18</f>
        <v>3.48</v>
      </c>
      <c r="L18">
        <f>'5_Operational'!E18</f>
        <v>-0.1</v>
      </c>
      <c r="M18">
        <f>'1_Maximum'!E18</f>
        <v>1.41</v>
      </c>
      <c r="N18">
        <f>'5_Maximum'!E18</f>
        <v>5.34</v>
      </c>
      <c r="O18" s="6">
        <f>'1_Operational'!N18</f>
        <v>0.08</v>
      </c>
      <c r="P18">
        <f>'5_Operational'!N18</f>
        <v>0.08</v>
      </c>
      <c r="Q18">
        <f>'1_Maximum'!N18</f>
        <v>0.1</v>
      </c>
      <c r="R18">
        <f>'5_Maximum'!N18</f>
        <v>0.1</v>
      </c>
      <c r="S18">
        <v>0.2</v>
      </c>
      <c r="T18">
        <v>0</v>
      </c>
    </row>
    <row r="19" spans="1:20">
      <c r="A19" s="9">
        <f>'1_Operational'!C19</f>
        <v>12.8</v>
      </c>
      <c r="B19">
        <f>'5_Operational'!C19</f>
        <v>12.8</v>
      </c>
      <c r="C19">
        <f>'1_Operational'!D19</f>
        <v>1308.221</v>
      </c>
      <c r="D19">
        <f>'5_Operational'!D19</f>
        <v>1308.3579999999999</v>
      </c>
      <c r="E19" s="2">
        <f>'1_Maximum'!C19</f>
        <v>57.11</v>
      </c>
      <c r="F19">
        <f>'1_Maximum'!D19</f>
        <v>1313.6420000000001</v>
      </c>
      <c r="G19">
        <f>'5_Maximum'!D19</f>
        <v>1313.4449999999999</v>
      </c>
      <c r="H19">
        <f>'1_Operational'!F19</f>
        <v>239.2</v>
      </c>
      <c r="I19">
        <f>'5_Operational'!J19</f>
        <v>332.68</v>
      </c>
      <c r="J19">
        <f>'1_Maximum'!F19:F112</f>
        <v>399</v>
      </c>
      <c r="K19" s="7">
        <f>'1_Operational'!E19</f>
        <v>3.5</v>
      </c>
      <c r="L19">
        <f>'5_Operational'!E19</f>
        <v>-0.05</v>
      </c>
      <c r="M19">
        <f>'1_Maximum'!E19</f>
        <v>1.62</v>
      </c>
      <c r="N19">
        <f>'5_Maximum'!E19</f>
        <v>5.62</v>
      </c>
      <c r="O19" s="6">
        <f>'1_Operational'!N19</f>
        <v>0.08</v>
      </c>
      <c r="P19">
        <f>'5_Operational'!N19</f>
        <v>0.08</v>
      </c>
      <c r="Q19">
        <f>'1_Maximum'!N19</f>
        <v>0.1</v>
      </c>
      <c r="R19">
        <f>'5_Maximum'!N19</f>
        <v>0.1</v>
      </c>
      <c r="S19">
        <v>0.2</v>
      </c>
      <c r="T19">
        <v>0</v>
      </c>
    </row>
    <row r="20" spans="1:20">
      <c r="A20" s="9">
        <f>'1_Operational'!C20</f>
        <v>13.57</v>
      </c>
      <c r="B20">
        <f>'5_Operational'!C20</f>
        <v>13.57</v>
      </c>
      <c r="C20">
        <f>'1_Operational'!D20</f>
        <v>1308.278</v>
      </c>
      <c r="D20">
        <f>'5_Operational'!D20</f>
        <v>1308.4169999999999</v>
      </c>
      <c r="E20" s="2">
        <f>'1_Maximum'!C20</f>
        <v>56.35</v>
      </c>
      <c r="F20">
        <f>'1_Maximum'!D20</f>
        <v>1313.57</v>
      </c>
      <c r="G20">
        <f>'5_Maximum'!D20</f>
        <v>1313.373</v>
      </c>
      <c r="H20">
        <f>'1_Operational'!F20</f>
        <v>237.68</v>
      </c>
      <c r="I20">
        <f>'5_Operational'!J20</f>
        <v>331.4</v>
      </c>
      <c r="J20">
        <f>'1_Maximum'!F20:F113</f>
        <v>399</v>
      </c>
      <c r="K20" s="7">
        <f>'1_Operational'!E20</f>
        <v>3.56</v>
      </c>
      <c r="L20">
        <f>'5_Operational'!E20</f>
        <v>-0.04</v>
      </c>
      <c r="M20">
        <f>'1_Maximum'!E20</f>
        <v>1.75</v>
      </c>
      <c r="N20">
        <f>'5_Maximum'!E20</f>
        <v>5.91</v>
      </c>
      <c r="O20" s="6">
        <f>'1_Operational'!N20</f>
        <v>7.0000000000000007E-2</v>
      </c>
      <c r="P20">
        <f>'5_Operational'!N20</f>
        <v>0.08</v>
      </c>
      <c r="Q20">
        <f>'1_Maximum'!N20</f>
        <v>0.09</v>
      </c>
      <c r="R20">
        <f>'5_Maximum'!N20</f>
        <v>0.09</v>
      </c>
      <c r="S20">
        <v>0.2</v>
      </c>
      <c r="T20">
        <v>0</v>
      </c>
    </row>
    <row r="21" spans="1:20">
      <c r="A21" s="9">
        <f>'1_Operational'!C21</f>
        <v>14.33</v>
      </c>
      <c r="B21">
        <f>'5_Operational'!C21</f>
        <v>14.33</v>
      </c>
      <c r="C21">
        <f>'1_Operational'!D21</f>
        <v>1308.337</v>
      </c>
      <c r="D21">
        <f>'5_Operational'!D21</f>
        <v>1308.4770000000001</v>
      </c>
      <c r="E21" s="2">
        <f>'1_Maximum'!C21</f>
        <v>55.61</v>
      </c>
      <c r="F21">
        <f>'1_Maximum'!D21</f>
        <v>1313.5</v>
      </c>
      <c r="G21">
        <f>'5_Maximum'!D21</f>
        <v>1313.3009999999999</v>
      </c>
      <c r="H21">
        <f>'1_Operational'!F21</f>
        <v>236.08</v>
      </c>
      <c r="I21">
        <f>'5_Operational'!J21</f>
        <v>330.16</v>
      </c>
      <c r="J21">
        <f>'1_Maximum'!F21:F114</f>
        <v>399</v>
      </c>
      <c r="K21" s="7">
        <f>'1_Operational'!E21</f>
        <v>3.63</v>
      </c>
      <c r="L21">
        <f>'5_Operational'!E21</f>
        <v>-0.03</v>
      </c>
      <c r="M21">
        <f>'1_Maximum'!E21</f>
        <v>1.93</v>
      </c>
      <c r="N21">
        <f>'5_Maximum'!E21</f>
        <v>6.13</v>
      </c>
      <c r="O21" s="6">
        <f>'1_Operational'!N21</f>
        <v>0.08</v>
      </c>
      <c r="P21">
        <f>'5_Operational'!N21</f>
        <v>0.08</v>
      </c>
      <c r="Q21">
        <f>'1_Maximum'!N21</f>
        <v>0.09</v>
      </c>
      <c r="R21">
        <f>'5_Maximum'!N21</f>
        <v>0.1</v>
      </c>
      <c r="S21">
        <v>0.2</v>
      </c>
      <c r="T21">
        <v>0</v>
      </c>
    </row>
    <row r="22" spans="1:20">
      <c r="A22" s="9">
        <f>'1_Operational'!C22</f>
        <v>15.07</v>
      </c>
      <c r="B22">
        <f>'5_Operational'!C22</f>
        <v>15.07</v>
      </c>
      <c r="C22">
        <f>'1_Operational'!D22</f>
        <v>1308.3979999999999</v>
      </c>
      <c r="D22">
        <f>'5_Operational'!D22</f>
        <v>1308.538</v>
      </c>
      <c r="E22" s="2">
        <f>'1_Maximum'!C22</f>
        <v>54.86</v>
      </c>
      <c r="F22">
        <f>'1_Maximum'!D22</f>
        <v>1313.4259999999999</v>
      </c>
      <c r="G22">
        <f>'5_Maximum'!D22</f>
        <v>1313.2270000000001</v>
      </c>
      <c r="H22">
        <f>'1_Operational'!F22</f>
        <v>234.68</v>
      </c>
      <c r="I22">
        <f>'5_Operational'!J22</f>
        <v>328.96</v>
      </c>
      <c r="J22">
        <f>'1_Maximum'!F22:F115</f>
        <v>399</v>
      </c>
      <c r="K22" s="7">
        <f>'1_Operational'!E22</f>
        <v>3.64</v>
      </c>
      <c r="L22">
        <f>'5_Operational'!E22</f>
        <v>-7.0000000000000007E-2</v>
      </c>
      <c r="M22">
        <f>'1_Maximum'!E22</f>
        <v>2.17</v>
      </c>
      <c r="N22">
        <f>'5_Maximum'!E22</f>
        <v>6.26</v>
      </c>
      <c r="O22" s="6">
        <f>'1_Operational'!N22</f>
        <v>0.08</v>
      </c>
      <c r="P22">
        <f>'5_Operational'!N22</f>
        <v>0.08</v>
      </c>
      <c r="Q22">
        <f>'1_Maximum'!N22</f>
        <v>0.1</v>
      </c>
      <c r="R22">
        <f>'5_Maximum'!N22</f>
        <v>0.1</v>
      </c>
      <c r="S22">
        <v>0.2</v>
      </c>
      <c r="T22">
        <v>0</v>
      </c>
    </row>
    <row r="23" spans="1:20">
      <c r="A23" s="9">
        <f>'1_Operational'!C23</f>
        <v>15.84</v>
      </c>
      <c r="B23">
        <f>'5_Operational'!C23</f>
        <v>15.84</v>
      </c>
      <c r="C23">
        <f>'1_Operational'!D23</f>
        <v>1308.4590000000001</v>
      </c>
      <c r="D23">
        <f>'5_Operational'!D23</f>
        <v>1308.5989999999999</v>
      </c>
      <c r="E23" s="2">
        <f>'1_Maximum'!C23</f>
        <v>54.1</v>
      </c>
      <c r="F23">
        <f>'1_Maximum'!D23</f>
        <v>1313.3610000000001</v>
      </c>
      <c r="G23">
        <f>'5_Maximum'!D23</f>
        <v>1313.1489999999999</v>
      </c>
      <c r="H23">
        <f>'1_Operational'!F23</f>
        <v>233.32</v>
      </c>
      <c r="I23">
        <f>'5_Operational'!J23</f>
        <v>327.8</v>
      </c>
      <c r="J23">
        <f>'1_Maximum'!F23:F116</f>
        <v>399</v>
      </c>
      <c r="K23" s="7">
        <f>'1_Operational'!E23</f>
        <v>3.63</v>
      </c>
      <c r="L23">
        <f>'5_Operational'!E23</f>
        <v>-0.09</v>
      </c>
      <c r="M23">
        <f>'1_Maximum'!E23</f>
        <v>2.37</v>
      </c>
      <c r="N23">
        <f>'5_Maximum'!E23</f>
        <v>6.51</v>
      </c>
      <c r="O23" s="6">
        <f>'1_Operational'!N23</f>
        <v>0.08</v>
      </c>
      <c r="P23">
        <f>'5_Operational'!N23</f>
        <v>0.08</v>
      </c>
      <c r="Q23">
        <f>'1_Maximum'!N23</f>
        <v>0.09</v>
      </c>
      <c r="R23">
        <f>'5_Maximum'!N23</f>
        <v>0.1</v>
      </c>
      <c r="S23">
        <v>0.2</v>
      </c>
      <c r="T23">
        <v>0</v>
      </c>
    </row>
    <row r="24" spans="1:20">
      <c r="A24" s="9">
        <f>'1_Operational'!C24</f>
        <v>16.579999999999998</v>
      </c>
      <c r="B24">
        <f>'5_Operational'!C24</f>
        <v>16.579999999999998</v>
      </c>
      <c r="C24">
        <f>'1_Operational'!D24</f>
        <v>1308.52</v>
      </c>
      <c r="D24">
        <f>'5_Operational'!D24</f>
        <v>1308.6610000000001</v>
      </c>
      <c r="E24" s="2">
        <f>'1_Maximum'!C24</f>
        <v>53.36</v>
      </c>
      <c r="F24">
        <f>'1_Maximum'!D24</f>
        <v>1313.289</v>
      </c>
      <c r="G24">
        <f>'5_Maximum'!D24</f>
        <v>1313.077</v>
      </c>
      <c r="H24">
        <f>'1_Operational'!F24</f>
        <v>232</v>
      </c>
      <c r="I24">
        <f>'5_Operational'!J24</f>
        <v>326.72000000000003</v>
      </c>
      <c r="J24">
        <f>'1_Maximum'!F24:F117</f>
        <v>399</v>
      </c>
      <c r="K24" s="7">
        <f>'1_Operational'!E24</f>
        <v>3.63</v>
      </c>
      <c r="L24">
        <f>'5_Operational'!E24</f>
        <v>-0.04</v>
      </c>
      <c r="M24">
        <f>'1_Maximum'!E24</f>
        <v>2.5099999999999998</v>
      </c>
      <c r="N24">
        <f>'5_Maximum'!E24</f>
        <v>6.62</v>
      </c>
      <c r="O24" s="6">
        <f>'1_Operational'!N24</f>
        <v>0.08</v>
      </c>
      <c r="P24">
        <f>'5_Operational'!N24</f>
        <v>0.08</v>
      </c>
      <c r="Q24">
        <f>'1_Maximum'!N24</f>
        <v>0.1</v>
      </c>
      <c r="R24">
        <f>'5_Maximum'!N24</f>
        <v>0.1</v>
      </c>
      <c r="S24">
        <v>0.2</v>
      </c>
      <c r="T24">
        <v>0</v>
      </c>
    </row>
    <row r="25" spans="1:20">
      <c r="A25" s="9">
        <f>'1_Operational'!C25</f>
        <v>17.350000000000001</v>
      </c>
      <c r="B25">
        <f>'5_Operational'!C25</f>
        <v>17.350000000000001</v>
      </c>
      <c r="C25">
        <f>'1_Operational'!D25</f>
        <v>1308.576</v>
      </c>
      <c r="D25">
        <f>'5_Operational'!D25</f>
        <v>1308.729</v>
      </c>
      <c r="E25" s="2">
        <f>'1_Maximum'!C25</f>
        <v>52.6</v>
      </c>
      <c r="F25">
        <f>'1_Maximum'!D25</f>
        <v>1313.2170000000001</v>
      </c>
      <c r="G25">
        <f>'5_Maximum'!D25</f>
        <v>1313.0050000000001</v>
      </c>
      <c r="H25">
        <f>'1_Operational'!F25</f>
        <v>230.88</v>
      </c>
      <c r="I25">
        <f>'5_Operational'!J25</f>
        <v>325.68</v>
      </c>
      <c r="J25">
        <f>'1_Maximum'!F25:F118</f>
        <v>399</v>
      </c>
      <c r="K25" s="7">
        <f>'1_Operational'!E25</f>
        <v>3.57</v>
      </c>
      <c r="L25">
        <f>'5_Operational'!E25</f>
        <v>0.06</v>
      </c>
      <c r="M25">
        <f>'1_Maximum'!E25</f>
        <v>2.74</v>
      </c>
      <c r="N25">
        <f>'5_Maximum'!E25</f>
        <v>6.79</v>
      </c>
      <c r="O25" s="6">
        <f>'1_Operational'!N25</f>
        <v>7.0000000000000007E-2</v>
      </c>
      <c r="P25">
        <f>'5_Operational'!N25</f>
        <v>0.09</v>
      </c>
      <c r="Q25">
        <f>'1_Maximum'!N25</f>
        <v>0.09</v>
      </c>
      <c r="R25">
        <f>'5_Maximum'!N25</f>
        <v>0.09</v>
      </c>
      <c r="S25">
        <v>0.2</v>
      </c>
      <c r="T25">
        <v>0</v>
      </c>
    </row>
    <row r="26" spans="1:20">
      <c r="A26" s="9">
        <f>'1_Operational'!C26</f>
        <v>18.079999999999998</v>
      </c>
      <c r="B26">
        <f>'5_Operational'!C26</f>
        <v>18.079999999999998</v>
      </c>
      <c r="C26">
        <f>'1_Operational'!D26</f>
        <v>1308.6369999999999</v>
      </c>
      <c r="D26">
        <f>'5_Operational'!D26</f>
        <v>1308.7929999999999</v>
      </c>
      <c r="E26" s="2">
        <f>'1_Maximum'!C26</f>
        <v>51.88</v>
      </c>
      <c r="F26">
        <f>'1_Maximum'!D26</f>
        <v>1313.1369999999999</v>
      </c>
      <c r="G26">
        <f>'5_Maximum'!D26</f>
        <v>1312.942</v>
      </c>
      <c r="H26">
        <f>'1_Operational'!F26</f>
        <v>229.76</v>
      </c>
      <c r="I26">
        <f>'5_Operational'!J26</f>
        <v>324.76</v>
      </c>
      <c r="J26">
        <f>'1_Maximum'!F26:F119</f>
        <v>399</v>
      </c>
      <c r="K26" s="7">
        <f>'1_Operational'!E26</f>
        <v>3.46</v>
      </c>
      <c r="L26">
        <f>'5_Operational'!E26</f>
        <v>0.09</v>
      </c>
      <c r="M26">
        <f>'1_Maximum'!E26</f>
        <v>2.94</v>
      </c>
      <c r="N26">
        <f>'5_Maximum'!E26</f>
        <v>6.93</v>
      </c>
      <c r="O26" s="6">
        <f>'1_Operational'!N26</f>
        <v>0.08</v>
      </c>
      <c r="P26">
        <f>'5_Operational'!N26</f>
        <v>0.09</v>
      </c>
      <c r="Q26">
        <f>'1_Maximum'!N26</f>
        <v>0.11</v>
      </c>
      <c r="R26">
        <f>'5_Maximum'!N26</f>
        <v>0.09</v>
      </c>
      <c r="S26">
        <v>0.2</v>
      </c>
      <c r="T26">
        <v>0</v>
      </c>
    </row>
    <row r="27" spans="1:20">
      <c r="A27" s="9">
        <f>'1_Operational'!C27</f>
        <v>18.84</v>
      </c>
      <c r="B27">
        <f>'5_Operational'!C27</f>
        <v>18.84</v>
      </c>
      <c r="C27">
        <f>'1_Operational'!D27</f>
        <v>1308.704</v>
      </c>
      <c r="D27">
        <f>'5_Operational'!D27</f>
        <v>1308.8510000000001</v>
      </c>
      <c r="E27" s="2">
        <f>'1_Maximum'!C27</f>
        <v>51.12</v>
      </c>
      <c r="F27">
        <f>'1_Maximum'!D27</f>
        <v>1313.0719999999999</v>
      </c>
      <c r="G27">
        <f>'5_Maximum'!D27</f>
        <v>1312.8620000000001</v>
      </c>
      <c r="H27">
        <f>'1_Operational'!F27</f>
        <v>228.8</v>
      </c>
      <c r="I27">
        <f>'5_Operational'!J27</f>
        <v>323.88</v>
      </c>
      <c r="J27">
        <f>'1_Maximum'!F27:F120</f>
        <v>399</v>
      </c>
      <c r="K27" s="7">
        <f>'1_Operational'!E27</f>
        <v>3.45</v>
      </c>
      <c r="L27">
        <f>'5_Operational'!E27</f>
        <v>0.13</v>
      </c>
      <c r="M27">
        <f>'1_Maximum'!E27</f>
        <v>3.05</v>
      </c>
      <c r="N27">
        <f>'5_Maximum'!E27</f>
        <v>7.13</v>
      </c>
      <c r="O27" s="6">
        <f>'1_Operational'!N27</f>
        <v>0.09</v>
      </c>
      <c r="P27">
        <f>'5_Operational'!N27</f>
        <v>0.08</v>
      </c>
      <c r="Q27">
        <f>'1_Maximum'!N27</f>
        <v>0.09</v>
      </c>
      <c r="R27">
        <f>'5_Maximum'!N27</f>
        <v>0.11</v>
      </c>
      <c r="S27">
        <v>0.2</v>
      </c>
      <c r="T27">
        <v>0</v>
      </c>
    </row>
    <row r="28" spans="1:20">
      <c r="A28" s="9">
        <f>'1_Operational'!C28</f>
        <v>19.559999999999999</v>
      </c>
      <c r="B28">
        <f>'5_Operational'!C28</f>
        <v>19.559999999999999</v>
      </c>
      <c r="C28">
        <f>'1_Operational'!D28</f>
        <v>1308.76</v>
      </c>
      <c r="D28">
        <f>'5_Operational'!D28</f>
        <v>1308.921</v>
      </c>
      <c r="E28" s="2">
        <f>'1_Maximum'!C28</f>
        <v>50.38</v>
      </c>
      <c r="F28">
        <f>'1_Maximum'!D28</f>
        <v>1312.9949999999999</v>
      </c>
      <c r="G28">
        <f>'5_Maximum'!D28</f>
        <v>1312.798</v>
      </c>
      <c r="H28">
        <f>'1_Operational'!F28</f>
        <v>227.8</v>
      </c>
      <c r="I28">
        <f>'5_Operational'!J28</f>
        <v>323.12</v>
      </c>
      <c r="J28">
        <f>'1_Maximum'!F28:F121</f>
        <v>399</v>
      </c>
      <c r="K28" s="7">
        <f>'1_Operational'!E28</f>
        <v>3.51</v>
      </c>
      <c r="L28">
        <f>'5_Operational'!E28</f>
        <v>0.15</v>
      </c>
      <c r="M28">
        <f>'1_Maximum'!E28</f>
        <v>3.24</v>
      </c>
      <c r="N28">
        <f>'5_Maximum'!E28</f>
        <v>7.3</v>
      </c>
      <c r="O28" s="6">
        <f>'1_Operational'!N28</f>
        <v>0.08</v>
      </c>
      <c r="P28">
        <f>'5_Operational'!N28</f>
        <v>0.1</v>
      </c>
      <c r="Q28">
        <f>'1_Maximum'!N28</f>
        <v>0.1</v>
      </c>
      <c r="R28">
        <f>'5_Maximum'!N28</f>
        <v>0.09</v>
      </c>
      <c r="S28">
        <v>0.2</v>
      </c>
      <c r="T28">
        <v>0</v>
      </c>
    </row>
    <row r="29" spans="1:20">
      <c r="A29" s="9">
        <f>'1_Operational'!C29</f>
        <v>20.32</v>
      </c>
      <c r="B29">
        <f>'5_Operational'!C29</f>
        <v>20.32</v>
      </c>
      <c r="C29">
        <f>'1_Operational'!D29</f>
        <v>1308.8230000000001</v>
      </c>
      <c r="D29">
        <f>'5_Operational'!D29</f>
        <v>1308.9860000000001</v>
      </c>
      <c r="E29" s="2">
        <f>'1_Maximum'!C29</f>
        <v>49.64</v>
      </c>
      <c r="F29">
        <f>'1_Maximum'!D29</f>
        <v>1312.921</v>
      </c>
      <c r="G29">
        <f>'5_Maximum'!D29</f>
        <v>1312.7260000000001</v>
      </c>
      <c r="H29">
        <f>'1_Operational'!F29</f>
        <v>227</v>
      </c>
      <c r="I29">
        <f>'5_Operational'!J29</f>
        <v>322.32</v>
      </c>
      <c r="J29">
        <f>'1_Maximum'!F29:F122</f>
        <v>399</v>
      </c>
      <c r="K29" s="7">
        <f>'1_Operational'!E29</f>
        <v>3.54</v>
      </c>
      <c r="L29">
        <f>'5_Operational'!E29</f>
        <v>0.13</v>
      </c>
      <c r="M29">
        <f>'1_Maximum'!E29</f>
        <v>3.36</v>
      </c>
      <c r="N29">
        <f>'5_Maximum'!E29</f>
        <v>7.41</v>
      </c>
      <c r="O29" s="6">
        <f>'1_Operational'!N29</f>
        <v>0.08</v>
      </c>
      <c r="P29">
        <f>'5_Operational'!N29</f>
        <v>0.09</v>
      </c>
      <c r="Q29">
        <f>'1_Maximum'!N29</f>
        <v>0.1</v>
      </c>
      <c r="R29">
        <f>'5_Maximum'!N29</f>
        <v>0.1</v>
      </c>
      <c r="S29">
        <v>0.2</v>
      </c>
      <c r="T29">
        <v>0</v>
      </c>
    </row>
    <row r="30" spans="1:20">
      <c r="A30" s="9">
        <f>'1_Operational'!C30</f>
        <v>21.09</v>
      </c>
      <c r="B30">
        <f>'5_Operational'!C30</f>
        <v>21.09</v>
      </c>
      <c r="C30">
        <f>'1_Operational'!D30</f>
        <v>1308.893</v>
      </c>
      <c r="D30">
        <f>'5_Operational'!D30</f>
        <v>1309.0440000000001</v>
      </c>
      <c r="E30" s="2">
        <f>'1_Maximum'!C30</f>
        <v>48.91</v>
      </c>
      <c r="F30">
        <f>'1_Maximum'!D30</f>
        <v>1312.85</v>
      </c>
      <c r="G30">
        <f>'5_Maximum'!D30</f>
        <v>1312.653</v>
      </c>
      <c r="H30">
        <f>'1_Operational'!F30</f>
        <v>226.16</v>
      </c>
      <c r="I30">
        <f>'5_Operational'!J30</f>
        <v>321.8</v>
      </c>
      <c r="J30">
        <f>'1_Maximum'!F30:F123</f>
        <v>399</v>
      </c>
      <c r="K30" s="7">
        <f>'1_Operational'!E30</f>
        <v>3.53</v>
      </c>
      <c r="L30">
        <f>'5_Operational'!E30</f>
        <v>0.14000000000000001</v>
      </c>
      <c r="M30">
        <f>'1_Maximum'!E30</f>
        <v>3.49</v>
      </c>
      <c r="N30">
        <f>'5_Maximum'!E30</f>
        <v>6.73</v>
      </c>
      <c r="O30" s="6">
        <f>'1_Operational'!N30</f>
        <v>0.09</v>
      </c>
      <c r="P30">
        <f>'5_Operational'!N30</f>
        <v>0.08</v>
      </c>
      <c r="Q30">
        <f>'1_Maximum'!N30</f>
        <v>0.1</v>
      </c>
      <c r="R30">
        <f>'5_Maximum'!N30</f>
        <v>0.1</v>
      </c>
      <c r="S30">
        <v>0.2</v>
      </c>
      <c r="T30">
        <v>0</v>
      </c>
    </row>
    <row r="31" spans="1:20">
      <c r="A31" s="9">
        <f>'1_Operational'!C31</f>
        <v>21.83</v>
      </c>
      <c r="B31">
        <f>'5_Operational'!C31</f>
        <v>21.83</v>
      </c>
      <c r="C31">
        <f>'1_Operational'!D31</f>
        <v>1308.95</v>
      </c>
      <c r="D31">
        <f>'5_Operational'!D31</f>
        <v>1309.116</v>
      </c>
      <c r="E31" s="2">
        <f>'1_Maximum'!C31</f>
        <v>48.15</v>
      </c>
      <c r="F31">
        <f>'1_Maximum'!D31</f>
        <v>1312.777</v>
      </c>
      <c r="G31">
        <f>'5_Maximum'!D31</f>
        <v>1312.5820000000001</v>
      </c>
      <c r="H31">
        <f>'1_Operational'!F31</f>
        <v>225.48</v>
      </c>
      <c r="I31">
        <f>'5_Operational'!J31</f>
        <v>321.32</v>
      </c>
      <c r="J31">
        <f>'1_Maximum'!F31:F124</f>
        <v>399</v>
      </c>
      <c r="K31" s="7">
        <f>'1_Operational'!E31</f>
        <v>3.48</v>
      </c>
      <c r="L31">
        <f>'5_Operational'!E31</f>
        <v>0.18</v>
      </c>
      <c r="M31">
        <f>'1_Maximum'!E31</f>
        <v>3.72</v>
      </c>
      <c r="N31">
        <f>'5_Maximum'!E31</f>
        <v>6.91</v>
      </c>
      <c r="O31" s="6">
        <f>'1_Operational'!N31</f>
        <v>0.08</v>
      </c>
      <c r="P31">
        <f>'5_Operational'!N31</f>
        <v>0.1</v>
      </c>
      <c r="Q31">
        <f>'1_Maximum'!N31</f>
        <v>0.1</v>
      </c>
      <c r="R31">
        <f>'5_Maximum'!N31</f>
        <v>0.09</v>
      </c>
      <c r="S31">
        <v>0.2</v>
      </c>
      <c r="T31">
        <v>0</v>
      </c>
    </row>
    <row r="32" spans="1:20">
      <c r="A32" s="9">
        <f>'1_Operational'!C32</f>
        <v>22.58</v>
      </c>
      <c r="B32">
        <f>'5_Operational'!C32</f>
        <v>22.58</v>
      </c>
      <c r="C32">
        <f>'1_Operational'!D32</f>
        <v>1309.021</v>
      </c>
      <c r="D32">
        <f>'5_Operational'!D32</f>
        <v>1309.175</v>
      </c>
      <c r="E32" s="2">
        <f>'1_Maximum'!C32</f>
        <v>47.4</v>
      </c>
      <c r="F32">
        <f>'1_Maximum'!D32</f>
        <v>1312.712</v>
      </c>
      <c r="G32">
        <f>'5_Maximum'!D32</f>
        <v>1312.501</v>
      </c>
      <c r="H32">
        <f>'1_Operational'!F32</f>
        <v>224.8</v>
      </c>
      <c r="I32">
        <f>'5_Operational'!J32</f>
        <v>320.95999999999998</v>
      </c>
      <c r="J32">
        <f>'1_Maximum'!F32:F125</f>
        <v>399</v>
      </c>
      <c r="K32" s="7">
        <f>'1_Operational'!E32</f>
        <v>3.57</v>
      </c>
      <c r="L32">
        <f>'5_Operational'!E32</f>
        <v>0.26</v>
      </c>
      <c r="M32">
        <f>'1_Maximum'!E32</f>
        <v>3.9</v>
      </c>
      <c r="N32">
        <f>'5_Maximum'!E32</f>
        <v>7.18</v>
      </c>
      <c r="O32" s="6">
        <f>'1_Operational'!N32</f>
        <v>0.09</v>
      </c>
      <c r="P32">
        <f>'5_Operational'!N32</f>
        <v>0.08</v>
      </c>
      <c r="Q32">
        <f>'1_Maximum'!N32</f>
        <v>0.09</v>
      </c>
      <c r="R32">
        <f>'5_Maximum'!N32</f>
        <v>0.11</v>
      </c>
      <c r="S32">
        <v>0.2</v>
      </c>
      <c r="T32">
        <v>0</v>
      </c>
    </row>
    <row r="33" spans="1:20">
      <c r="A33" s="9">
        <f>'1_Operational'!C33</f>
        <v>23.31</v>
      </c>
      <c r="B33">
        <f>'5_Operational'!C33</f>
        <v>23.31</v>
      </c>
      <c r="C33">
        <f>'1_Operational'!D33</f>
        <v>1309.086</v>
      </c>
      <c r="D33">
        <f>'5_Operational'!D33</f>
        <v>1309.242</v>
      </c>
      <c r="E33" s="2">
        <f>'1_Maximum'!C33</f>
        <v>46.65</v>
      </c>
      <c r="F33">
        <f>'1_Maximum'!D33</f>
        <v>1312.6320000000001</v>
      </c>
      <c r="G33">
        <f>'5_Maximum'!D33</f>
        <v>1312.4359999999999</v>
      </c>
      <c r="H33">
        <f>'1_Operational'!F33</f>
        <v>224.2</v>
      </c>
      <c r="I33">
        <f>'5_Operational'!J33</f>
        <v>320.64</v>
      </c>
      <c r="J33">
        <f>'1_Maximum'!F33:F126</f>
        <v>399</v>
      </c>
      <c r="K33" s="7">
        <f>'1_Operational'!E33</f>
        <v>3.52</v>
      </c>
      <c r="L33">
        <f>'5_Operational'!E33</f>
        <v>0.37</v>
      </c>
      <c r="M33">
        <f>'1_Maximum'!E33</f>
        <v>4.05</v>
      </c>
      <c r="N33">
        <f>'5_Maximum'!E33</f>
        <v>7.28</v>
      </c>
      <c r="O33" s="6">
        <f>'1_Operational'!N33</f>
        <v>0.09</v>
      </c>
      <c r="P33">
        <f>'5_Operational'!N33</f>
        <v>0.09</v>
      </c>
      <c r="Q33">
        <f>'1_Maximum'!N33</f>
        <v>0.11</v>
      </c>
      <c r="R33">
        <f>'5_Maximum'!N33</f>
        <v>0.09</v>
      </c>
      <c r="S33">
        <v>0.2</v>
      </c>
      <c r="T33">
        <v>0</v>
      </c>
    </row>
    <row r="34" spans="1:20">
      <c r="A34" s="9">
        <f>'1_Operational'!C34</f>
        <v>24.04</v>
      </c>
      <c r="B34">
        <f>'5_Operational'!C34</f>
        <v>24.04</v>
      </c>
      <c r="C34">
        <f>'1_Operational'!D34</f>
        <v>1309.152</v>
      </c>
      <c r="D34">
        <f>'5_Operational'!D34</f>
        <v>1309.31</v>
      </c>
      <c r="E34" s="2">
        <f>'1_Maximum'!C34</f>
        <v>45.9</v>
      </c>
      <c r="F34">
        <f>'1_Maximum'!D34</f>
        <v>1312.56</v>
      </c>
      <c r="G34">
        <f>'5_Maximum'!D34</f>
        <v>1312.3630000000001</v>
      </c>
      <c r="H34">
        <f>'1_Operational'!F34</f>
        <v>223.64</v>
      </c>
      <c r="I34">
        <f>'5_Operational'!J34</f>
        <v>320.48</v>
      </c>
      <c r="J34">
        <f>'1_Maximum'!F34:F127</f>
        <v>399</v>
      </c>
      <c r="K34" s="7">
        <f>'1_Operational'!E34</f>
        <v>3.48</v>
      </c>
      <c r="L34">
        <f>'5_Operational'!E34</f>
        <v>0.28999999999999998</v>
      </c>
      <c r="M34">
        <f>'1_Maximum'!E34</f>
        <v>4.16</v>
      </c>
      <c r="N34">
        <f>'5_Maximum'!E34</f>
        <v>7.53</v>
      </c>
      <c r="O34" s="6">
        <f>'1_Operational'!N34</f>
        <v>0.09</v>
      </c>
      <c r="P34">
        <f>'5_Operational'!N34</f>
        <v>0.09</v>
      </c>
      <c r="Q34">
        <f>'1_Maximum'!N34</f>
        <v>0.1</v>
      </c>
      <c r="R34">
        <f>'5_Maximum'!N34</f>
        <v>0.1</v>
      </c>
      <c r="S34">
        <v>0.2</v>
      </c>
      <c r="T34">
        <v>0</v>
      </c>
    </row>
    <row r="35" spans="1:20">
      <c r="A35" s="9">
        <f>'1_Operational'!C35</f>
        <v>24.75</v>
      </c>
      <c r="B35">
        <f>'5_Operational'!C35</f>
        <v>24.75</v>
      </c>
      <c r="C35">
        <f>'1_Operational'!D35</f>
        <v>1309.2170000000001</v>
      </c>
      <c r="D35">
        <f>'5_Operational'!D35</f>
        <v>1309.377</v>
      </c>
      <c r="E35" s="2">
        <f>'1_Maximum'!C35</f>
        <v>45.17</v>
      </c>
      <c r="F35">
        <f>'1_Maximum'!D35</f>
        <v>1312.4860000000001</v>
      </c>
      <c r="G35">
        <f>'5_Maximum'!D35</f>
        <v>1312.2909999999999</v>
      </c>
      <c r="H35">
        <f>'1_Operational'!F35</f>
        <v>223.2</v>
      </c>
      <c r="I35">
        <f>'5_Operational'!J35</f>
        <v>320.44</v>
      </c>
      <c r="J35">
        <f>'1_Maximum'!F35:F128</f>
        <v>399</v>
      </c>
      <c r="K35" s="7">
        <f>'1_Operational'!E35</f>
        <v>3.39</v>
      </c>
      <c r="L35">
        <f>'5_Operational'!E35</f>
        <v>0.26</v>
      </c>
      <c r="M35">
        <f>'1_Maximum'!E35</f>
        <v>4.34</v>
      </c>
      <c r="N35">
        <f>'5_Maximum'!E35</f>
        <v>7.69</v>
      </c>
      <c r="O35" s="6">
        <f>'1_Operational'!N35</f>
        <v>0.09</v>
      </c>
      <c r="P35">
        <f>'5_Operational'!N35</f>
        <v>0.09</v>
      </c>
      <c r="Q35">
        <f>'1_Maximum'!N35</f>
        <v>0.1</v>
      </c>
      <c r="R35">
        <f>'5_Maximum'!N35</f>
        <v>0.1</v>
      </c>
      <c r="S35">
        <v>0.2</v>
      </c>
      <c r="T35">
        <v>0</v>
      </c>
    </row>
    <row r="36" spans="1:20">
      <c r="A36" s="9">
        <f>'1_Operational'!C36</f>
        <v>25.5</v>
      </c>
      <c r="B36">
        <f>'5_Operational'!C36</f>
        <v>25.5</v>
      </c>
      <c r="C36">
        <f>'1_Operational'!D36</f>
        <v>1309.2819999999999</v>
      </c>
      <c r="D36">
        <f>'5_Operational'!D36</f>
        <v>1309.444</v>
      </c>
      <c r="E36" s="2">
        <f>'1_Maximum'!C36</f>
        <v>44.44</v>
      </c>
      <c r="F36">
        <f>'1_Maximum'!D36</f>
        <v>1312.421</v>
      </c>
      <c r="G36">
        <f>'5_Maximum'!D36</f>
        <v>1312.211</v>
      </c>
      <c r="H36">
        <f>'1_Operational'!F36</f>
        <v>222.88</v>
      </c>
      <c r="I36">
        <f>'5_Operational'!J36</f>
        <v>320.48</v>
      </c>
      <c r="J36">
        <f>'1_Maximum'!F36:F129</f>
        <v>399</v>
      </c>
      <c r="K36" s="7">
        <f>'1_Operational'!E36</f>
        <v>3.41</v>
      </c>
      <c r="L36">
        <f>'5_Operational'!E36</f>
        <v>0.15</v>
      </c>
      <c r="M36">
        <f>'1_Maximum'!E36</f>
        <v>4.47</v>
      </c>
      <c r="N36">
        <f>'5_Maximum'!E36</f>
        <v>8.0399999999999991</v>
      </c>
      <c r="O36" s="6">
        <f>'1_Operational'!N36</f>
        <v>0.09</v>
      </c>
      <c r="P36">
        <f>'5_Operational'!N36</f>
        <v>0.09</v>
      </c>
      <c r="Q36">
        <f>'1_Maximum'!N36</f>
        <v>0.09</v>
      </c>
      <c r="R36">
        <f>'5_Maximum'!N36</f>
        <v>0.11</v>
      </c>
      <c r="S36">
        <v>0.2</v>
      </c>
      <c r="T36">
        <v>0</v>
      </c>
    </row>
    <row r="37" spans="1:20">
      <c r="A37" s="9">
        <f>'1_Operational'!C37</f>
        <v>26.26</v>
      </c>
      <c r="B37">
        <f>'5_Operational'!C37</f>
        <v>26.26</v>
      </c>
      <c r="C37">
        <f>'1_Operational'!D37</f>
        <v>1309.347</v>
      </c>
      <c r="D37">
        <f>'5_Operational'!D37</f>
        <v>1309.5119999999999</v>
      </c>
      <c r="E37" s="2">
        <f>'1_Maximum'!C37</f>
        <v>43.72</v>
      </c>
      <c r="F37">
        <f>'1_Maximum'!D37</f>
        <v>1312.3420000000001</v>
      </c>
      <c r="G37">
        <f>'5_Maximum'!D37</f>
        <v>1312.145</v>
      </c>
      <c r="H37">
        <f>'1_Operational'!F37</f>
        <v>222.72</v>
      </c>
      <c r="I37">
        <f>'5_Operational'!J37</f>
        <v>320.68</v>
      </c>
      <c r="J37">
        <f>'1_Maximum'!F37:F130</f>
        <v>399</v>
      </c>
      <c r="K37" s="7">
        <f>'1_Operational'!E37</f>
        <v>3.41</v>
      </c>
      <c r="L37">
        <f>'5_Operational'!E37</f>
        <v>0.22</v>
      </c>
      <c r="M37">
        <f>'1_Maximum'!E37</f>
        <v>4.59</v>
      </c>
      <c r="N37">
        <f>'5_Maximum'!E37</f>
        <v>8.2799999999999994</v>
      </c>
      <c r="O37" s="6">
        <f>'1_Operational'!N37</f>
        <v>0.09</v>
      </c>
      <c r="P37">
        <f>'5_Operational'!N37</f>
        <v>0.09</v>
      </c>
      <c r="Q37">
        <f>'1_Maximum'!N37</f>
        <v>0.11</v>
      </c>
      <c r="R37">
        <f>'5_Maximum'!N37</f>
        <v>0.09</v>
      </c>
      <c r="S37">
        <v>0.2</v>
      </c>
      <c r="T37">
        <v>0</v>
      </c>
    </row>
    <row r="38" spans="1:20">
      <c r="A38" s="9">
        <f>'1_Operational'!C38</f>
        <v>26.99</v>
      </c>
      <c r="B38">
        <f>'5_Operational'!C38</f>
        <v>26.99</v>
      </c>
      <c r="C38">
        <f>'1_Operational'!D38</f>
        <v>1309.413</v>
      </c>
      <c r="D38">
        <f>'5_Operational'!D38</f>
        <v>1309.5809999999999</v>
      </c>
      <c r="E38" s="2">
        <f>'1_Maximum'!C38</f>
        <v>42.98</v>
      </c>
      <c r="F38">
        <f>'1_Maximum'!D38</f>
        <v>1312.269</v>
      </c>
      <c r="G38">
        <f>'5_Maximum'!D38</f>
        <v>1312.0719999999999</v>
      </c>
      <c r="H38">
        <f>'1_Operational'!F38</f>
        <v>222.72</v>
      </c>
      <c r="I38">
        <f>'5_Operational'!J38</f>
        <v>321</v>
      </c>
      <c r="J38">
        <f>'1_Maximum'!F38:F131</f>
        <v>399</v>
      </c>
      <c r="K38" s="7">
        <f>'1_Operational'!E38</f>
        <v>3.38</v>
      </c>
      <c r="L38">
        <f>'5_Operational'!E38</f>
        <v>0.32</v>
      </c>
      <c r="M38">
        <f>'1_Maximum'!E38</f>
        <v>4.79</v>
      </c>
      <c r="N38">
        <f>'5_Maximum'!E38</f>
        <v>8.4600000000000009</v>
      </c>
      <c r="O38" s="6">
        <f>'1_Operational'!N38</f>
        <v>0.09</v>
      </c>
      <c r="P38">
        <f>'5_Operational'!N38</f>
        <v>0.09</v>
      </c>
      <c r="Q38">
        <f>'1_Maximum'!N38</f>
        <v>0.1</v>
      </c>
      <c r="R38">
        <f>'5_Maximum'!N38</f>
        <v>0.1</v>
      </c>
      <c r="S38">
        <v>0.2</v>
      </c>
      <c r="T38">
        <v>0</v>
      </c>
    </row>
    <row r="39" spans="1:20">
      <c r="A39" s="9">
        <f>'1_Operational'!C39</f>
        <v>27.74</v>
      </c>
      <c r="B39">
        <f>'5_Operational'!C39</f>
        <v>27.74</v>
      </c>
      <c r="C39">
        <f>'1_Operational'!D39</f>
        <v>1309.472</v>
      </c>
      <c r="D39">
        <f>'5_Operational'!D39</f>
        <v>1309.6579999999999</v>
      </c>
      <c r="E39" s="2">
        <f>'1_Maximum'!C39</f>
        <v>42.25</v>
      </c>
      <c r="F39">
        <f>'1_Maximum'!D39</f>
        <v>1312.202</v>
      </c>
      <c r="G39">
        <f>'5_Maximum'!D39</f>
        <v>1311.992</v>
      </c>
      <c r="H39">
        <f>'1_Operational'!F39</f>
        <v>222.76</v>
      </c>
      <c r="I39">
        <f>'5_Operational'!J39</f>
        <v>321.39999999999998</v>
      </c>
      <c r="J39">
        <f>'1_Maximum'!F39:F132</f>
        <v>399</v>
      </c>
      <c r="K39" s="7">
        <f>'1_Operational'!E39</f>
        <v>3.38</v>
      </c>
      <c r="L39">
        <f>'5_Operational'!E39</f>
        <v>0.32</v>
      </c>
      <c r="M39">
        <f>'1_Maximum'!E39</f>
        <v>4.9000000000000004</v>
      </c>
      <c r="N39">
        <f>'5_Maximum'!E39</f>
        <v>8.6999999999999993</v>
      </c>
      <c r="O39" s="6">
        <f>'1_Operational'!N39</f>
        <v>0.08</v>
      </c>
      <c r="P39">
        <f>'5_Operational'!N39</f>
        <v>0.1</v>
      </c>
      <c r="Q39">
        <f>'1_Maximum'!N39</f>
        <v>0.09</v>
      </c>
      <c r="R39">
        <f>'5_Maximum'!N39</f>
        <v>0.11</v>
      </c>
      <c r="S39">
        <v>0.2</v>
      </c>
      <c r="T39">
        <v>0</v>
      </c>
    </row>
    <row r="40" spans="1:20">
      <c r="A40" s="9">
        <f>'1_Operational'!C40</f>
        <v>28.47</v>
      </c>
      <c r="B40">
        <f>'5_Operational'!C40</f>
        <v>28.47</v>
      </c>
      <c r="C40">
        <f>'1_Operational'!D40</f>
        <v>1309.548</v>
      </c>
      <c r="D40">
        <f>'5_Operational'!D40</f>
        <v>1309.722</v>
      </c>
      <c r="E40" s="2">
        <f>'1_Maximum'!C40</f>
        <v>41.5</v>
      </c>
      <c r="F40">
        <f>'1_Maximum'!D40</f>
        <v>1312.125</v>
      </c>
      <c r="G40">
        <f>'5_Maximum'!D40</f>
        <v>1311.9269999999999</v>
      </c>
      <c r="H40">
        <f>'1_Operational'!F40</f>
        <v>222.88</v>
      </c>
      <c r="I40">
        <f>'5_Operational'!J40</f>
        <v>321.88</v>
      </c>
      <c r="J40">
        <f>'1_Maximum'!F40:F133</f>
        <v>399</v>
      </c>
      <c r="K40" s="7">
        <f>'1_Operational'!E40</f>
        <v>3.38</v>
      </c>
      <c r="L40">
        <f>'5_Operational'!E40</f>
        <v>0.28999999999999998</v>
      </c>
      <c r="M40">
        <f>'1_Maximum'!E40</f>
        <v>4.96</v>
      </c>
      <c r="N40">
        <f>'5_Maximum'!E40</f>
        <v>8.75</v>
      </c>
      <c r="O40" s="6">
        <f>'1_Operational'!N40</f>
        <v>0.1</v>
      </c>
      <c r="P40">
        <f>'5_Operational'!N40</f>
        <v>0.09</v>
      </c>
      <c r="Q40">
        <f>'1_Maximum'!N40</f>
        <v>0.1</v>
      </c>
      <c r="R40">
        <f>'5_Maximum'!N40</f>
        <v>0.09</v>
      </c>
      <c r="S40">
        <v>0.2</v>
      </c>
      <c r="T40">
        <v>0</v>
      </c>
    </row>
    <row r="41" spans="1:20">
      <c r="A41" s="9">
        <f>'1_Operational'!C41</f>
        <v>29.24</v>
      </c>
      <c r="B41">
        <f>'5_Operational'!C41</f>
        <v>29.24</v>
      </c>
      <c r="C41">
        <f>'1_Operational'!D41</f>
        <v>1309.6089999999999</v>
      </c>
      <c r="D41">
        <f>'5_Operational'!D41</f>
        <v>1309.799</v>
      </c>
      <c r="E41" s="2">
        <f>'1_Maximum'!C41</f>
        <v>40.74</v>
      </c>
      <c r="F41">
        <f>'1_Maximum'!D41</f>
        <v>1312.0519999999999</v>
      </c>
      <c r="G41">
        <f>'5_Maximum'!D41</f>
        <v>1311.854</v>
      </c>
      <c r="H41">
        <f>'1_Operational'!F41</f>
        <v>223.08</v>
      </c>
      <c r="I41">
        <f>'5_Operational'!J41</f>
        <v>322.52</v>
      </c>
      <c r="J41">
        <f>'1_Maximum'!F41:F134</f>
        <v>399</v>
      </c>
      <c r="K41" s="7">
        <f>'1_Operational'!E41</f>
        <v>3.33</v>
      </c>
      <c r="L41">
        <f>'5_Operational'!E41</f>
        <v>0.33</v>
      </c>
      <c r="M41">
        <f>'1_Maximum'!E41</f>
        <v>5.15</v>
      </c>
      <c r="N41">
        <f>'5_Maximum'!E41</f>
        <v>8.85</v>
      </c>
      <c r="O41" s="6">
        <f>'1_Operational'!N41</f>
        <v>0.08</v>
      </c>
      <c r="P41">
        <f>'5_Operational'!N41</f>
        <v>0.1</v>
      </c>
      <c r="Q41">
        <f>'1_Maximum'!N41</f>
        <v>0.1</v>
      </c>
      <c r="R41">
        <f>'5_Maximum'!N41</f>
        <v>0.1</v>
      </c>
      <c r="S41">
        <v>0.2</v>
      </c>
      <c r="T41">
        <v>0</v>
      </c>
    </row>
    <row r="42" spans="1:20">
      <c r="A42" s="9">
        <f>'1_Operational'!C42</f>
        <v>29.97</v>
      </c>
      <c r="B42">
        <f>'5_Operational'!C42</f>
        <v>29.97</v>
      </c>
      <c r="C42">
        <f>'1_Operational'!D42</f>
        <v>1309.6780000000001</v>
      </c>
      <c r="D42">
        <f>'5_Operational'!D42</f>
        <v>1309.8699999999999</v>
      </c>
      <c r="E42" s="2">
        <f>'1_Maximum'!C42</f>
        <v>40</v>
      </c>
      <c r="F42">
        <f>'1_Maximum'!D42</f>
        <v>1311.979</v>
      </c>
      <c r="G42">
        <f>'5_Maximum'!D42</f>
        <v>1311.7809999999999</v>
      </c>
      <c r="H42">
        <f>'1_Operational'!F42</f>
        <v>223.4</v>
      </c>
      <c r="I42">
        <f>'5_Operational'!J42</f>
        <v>323.16000000000003</v>
      </c>
      <c r="J42">
        <f>'1_Maximum'!F42:F135</f>
        <v>399</v>
      </c>
      <c r="K42" s="7">
        <f>'1_Operational'!E42</f>
        <v>3.23</v>
      </c>
      <c r="L42">
        <f>'5_Operational'!E42</f>
        <v>0.37</v>
      </c>
      <c r="M42">
        <f>'1_Maximum'!E42</f>
        <v>5.27</v>
      </c>
      <c r="N42">
        <f>'5_Maximum'!E42</f>
        <v>8.9700000000000006</v>
      </c>
      <c r="O42" s="6">
        <f>'1_Operational'!N42</f>
        <v>0.09</v>
      </c>
      <c r="P42">
        <f>'5_Operational'!N42</f>
        <v>0.1</v>
      </c>
      <c r="Q42">
        <f>'1_Maximum'!N42</f>
        <v>0.1</v>
      </c>
      <c r="R42">
        <f>'5_Maximum'!N42</f>
        <v>0.1</v>
      </c>
      <c r="S42">
        <v>0.2</v>
      </c>
      <c r="T42">
        <v>0</v>
      </c>
    </row>
    <row r="43" spans="1:20">
      <c r="A43" s="9">
        <f>'1_Operational'!C43</f>
        <v>30.73</v>
      </c>
      <c r="B43">
        <f>'5_Operational'!C43</f>
        <v>30.73</v>
      </c>
      <c r="C43">
        <f>'1_Operational'!D43</f>
        <v>1309.7449999999999</v>
      </c>
      <c r="D43">
        <f>'5_Operational'!D43</f>
        <v>1309.943</v>
      </c>
      <c r="E43" s="2">
        <f>'1_Maximum'!C43</f>
        <v>39.24</v>
      </c>
      <c r="F43">
        <f>'1_Maximum'!D43</f>
        <v>1311.9069999999999</v>
      </c>
      <c r="G43">
        <f>'5_Maximum'!D43</f>
        <v>1311.71</v>
      </c>
      <c r="H43">
        <f>'1_Operational'!F43</f>
        <v>223.88</v>
      </c>
      <c r="I43">
        <f>'5_Operational'!J43</f>
        <v>324</v>
      </c>
      <c r="J43">
        <f>'1_Maximum'!F43:F136</f>
        <v>399</v>
      </c>
      <c r="K43" s="7">
        <f>'1_Operational'!E43</f>
        <v>3.16</v>
      </c>
      <c r="L43">
        <f>'5_Operational'!E43</f>
        <v>0.36</v>
      </c>
      <c r="M43">
        <f>'1_Maximum'!E43</f>
        <v>5.35</v>
      </c>
      <c r="N43">
        <f>'5_Maximum'!E43</f>
        <v>9.11</v>
      </c>
      <c r="O43" s="6">
        <f>'1_Operational'!N43</f>
        <v>0.09</v>
      </c>
      <c r="P43">
        <f>'5_Operational'!N43</f>
        <v>0.1</v>
      </c>
      <c r="Q43">
        <f>'1_Maximum'!N43</f>
        <v>0.09</v>
      </c>
      <c r="R43">
        <f>'5_Maximum'!N43</f>
        <v>0.09</v>
      </c>
      <c r="S43">
        <v>0.2</v>
      </c>
      <c r="T43">
        <v>0</v>
      </c>
    </row>
    <row r="44" spans="1:20">
      <c r="A44" s="9">
        <f>'1_Operational'!C44</f>
        <v>31.47</v>
      </c>
      <c r="B44">
        <f>'5_Operational'!C44</f>
        <v>31.47</v>
      </c>
      <c r="C44">
        <f>'1_Operational'!D44</f>
        <v>1309.82</v>
      </c>
      <c r="D44">
        <f>'5_Operational'!D44</f>
        <v>1310.008</v>
      </c>
      <c r="E44" s="2">
        <f>'1_Maximum'!C44</f>
        <v>38.51</v>
      </c>
      <c r="F44">
        <f>'1_Maximum'!D44</f>
        <v>1311.835</v>
      </c>
      <c r="G44">
        <f>'5_Maximum'!D44</f>
        <v>1311.636</v>
      </c>
      <c r="H44">
        <f>'1_Operational'!F44</f>
        <v>224.28</v>
      </c>
      <c r="I44">
        <f>'5_Operational'!J44</f>
        <v>324.8</v>
      </c>
      <c r="J44">
        <f>'1_Maximum'!F44:F137</f>
        <v>399</v>
      </c>
      <c r="K44" s="7">
        <f>'1_Operational'!E44</f>
        <v>3.25</v>
      </c>
      <c r="L44">
        <f>'5_Operational'!E44</f>
        <v>0.33</v>
      </c>
      <c r="M44">
        <f>'1_Maximum'!E44</f>
        <v>5.48</v>
      </c>
      <c r="N44">
        <f>'5_Maximum'!E44</f>
        <v>9.19</v>
      </c>
      <c r="O44" s="6">
        <f>'1_Operational'!N44</f>
        <v>0.1</v>
      </c>
      <c r="P44">
        <f>'5_Operational'!N44</f>
        <v>0.09</v>
      </c>
      <c r="Q44">
        <f>'1_Maximum'!N44</f>
        <v>0.1</v>
      </c>
      <c r="R44">
        <f>'5_Maximum'!N44</f>
        <v>0.1</v>
      </c>
      <c r="S44">
        <v>0.2</v>
      </c>
      <c r="T44">
        <v>0</v>
      </c>
    </row>
    <row r="45" spans="1:20">
      <c r="A45" s="9">
        <f>'1_Operational'!C45</f>
        <v>32.22</v>
      </c>
      <c r="B45">
        <f>'5_Operational'!C45</f>
        <v>32.22</v>
      </c>
      <c r="C45">
        <f>'1_Operational'!D45</f>
        <v>1309.8889999999999</v>
      </c>
      <c r="D45">
        <f>'5_Operational'!D45</f>
        <v>1310.079</v>
      </c>
      <c r="E45" s="2">
        <f>'1_Maximum'!C45</f>
        <v>37.74</v>
      </c>
      <c r="F45">
        <f>'1_Maximum'!D45</f>
        <v>1311.77</v>
      </c>
      <c r="G45">
        <f>'5_Maximum'!D45</f>
        <v>1311.558</v>
      </c>
      <c r="H45">
        <f>'1_Operational'!F45</f>
        <v>224.84</v>
      </c>
      <c r="I45">
        <f>'5_Operational'!J45</f>
        <v>325.72000000000003</v>
      </c>
      <c r="J45">
        <f>'1_Maximum'!F45:F138</f>
        <v>399</v>
      </c>
      <c r="K45" s="7">
        <f>'1_Operational'!E45</f>
        <v>3.22</v>
      </c>
      <c r="L45">
        <f>'5_Operational'!E45</f>
        <v>0.35</v>
      </c>
      <c r="M45">
        <f>'1_Maximum'!E45</f>
        <v>5.6</v>
      </c>
      <c r="N45">
        <f>'5_Maximum'!E45</f>
        <v>9.27</v>
      </c>
      <c r="O45" s="6">
        <f>'1_Operational'!N45</f>
        <v>0.09</v>
      </c>
      <c r="P45">
        <f>'5_Operational'!N45</f>
        <v>0.09</v>
      </c>
      <c r="Q45">
        <f>'1_Maximum'!N45</f>
        <v>0.08</v>
      </c>
      <c r="R45">
        <f>'5_Maximum'!N45</f>
        <v>0.1</v>
      </c>
      <c r="S45">
        <v>0.2</v>
      </c>
      <c r="T45">
        <v>0</v>
      </c>
    </row>
    <row r="46" spans="1:20">
      <c r="A46" s="9">
        <f>'1_Operational'!C46</f>
        <v>32.979999999999997</v>
      </c>
      <c r="B46">
        <f>'5_Operational'!C46</f>
        <v>32.979999999999997</v>
      </c>
      <c r="C46">
        <f>'1_Operational'!D46</f>
        <v>1309.96</v>
      </c>
      <c r="D46">
        <f>'5_Operational'!D46</f>
        <v>1310.152</v>
      </c>
      <c r="E46" s="2">
        <f>'1_Maximum'!C46</f>
        <v>37.01</v>
      </c>
      <c r="F46">
        <f>'1_Maximum'!D46</f>
        <v>1311.691</v>
      </c>
      <c r="G46">
        <f>'5_Maximum'!D46</f>
        <v>1311.4939999999999</v>
      </c>
      <c r="H46">
        <f>'1_Operational'!F46</f>
        <v>225.32</v>
      </c>
      <c r="I46">
        <f>'5_Operational'!J46</f>
        <v>326.76</v>
      </c>
      <c r="J46">
        <f>'1_Maximum'!F46:F139</f>
        <v>399</v>
      </c>
      <c r="K46" s="7">
        <f>'1_Operational'!E46</f>
        <v>3.24</v>
      </c>
      <c r="L46">
        <f>'5_Operational'!E46</f>
        <v>0.33</v>
      </c>
      <c r="M46">
        <f>'1_Maximum'!E46</f>
        <v>5.67</v>
      </c>
      <c r="N46">
        <f>'5_Maximum'!E46</f>
        <v>9.34</v>
      </c>
      <c r="O46" s="6">
        <f>'1_Operational'!N46</f>
        <v>0.09</v>
      </c>
      <c r="P46">
        <f>'5_Operational'!N46</f>
        <v>0.1</v>
      </c>
      <c r="Q46">
        <f>'1_Maximum'!N46</f>
        <v>0.11</v>
      </c>
      <c r="R46">
        <f>'5_Maximum'!N46</f>
        <v>0.09</v>
      </c>
      <c r="S46">
        <v>0.2</v>
      </c>
      <c r="T46">
        <v>0</v>
      </c>
    </row>
    <row r="47" spans="1:20">
      <c r="A47" s="9">
        <f>'1_Operational'!C47</f>
        <v>33.729999999999997</v>
      </c>
      <c r="B47">
        <f>'5_Operational'!C47</f>
        <v>33.729999999999997</v>
      </c>
      <c r="C47">
        <f>'1_Operational'!D47</f>
        <v>1310.0239999999999</v>
      </c>
      <c r="D47">
        <f>'5_Operational'!D47</f>
        <v>1310.2329999999999</v>
      </c>
      <c r="E47" s="2">
        <f>'1_Maximum'!C47</f>
        <v>36.26</v>
      </c>
      <c r="F47">
        <f>'1_Maximum'!D47</f>
        <v>1311.6179999999999</v>
      </c>
      <c r="G47">
        <f>'5_Maximum'!D47</f>
        <v>1311.421</v>
      </c>
      <c r="H47">
        <f>'1_Operational'!F47</f>
        <v>225.92</v>
      </c>
      <c r="I47">
        <f>'5_Operational'!J47</f>
        <v>327.84</v>
      </c>
      <c r="J47">
        <f>'1_Maximum'!F47:F140</f>
        <v>399</v>
      </c>
      <c r="K47" s="7">
        <f>'1_Operational'!E47</f>
        <v>3.16</v>
      </c>
      <c r="L47">
        <f>'5_Operational'!E47</f>
        <v>0.35</v>
      </c>
      <c r="M47">
        <f>'1_Maximum'!E47</f>
        <v>5.75</v>
      </c>
      <c r="N47">
        <f>'5_Maximum'!E47</f>
        <v>9.43</v>
      </c>
      <c r="O47" s="6">
        <f>'1_Operational'!N47</f>
        <v>0.09</v>
      </c>
      <c r="P47">
        <f>'5_Operational'!N47</f>
        <v>0.11</v>
      </c>
      <c r="Q47">
        <f>'1_Maximum'!N47</f>
        <v>0.1</v>
      </c>
      <c r="R47">
        <f>'5_Maximum'!N47</f>
        <v>0.1</v>
      </c>
      <c r="S47">
        <v>0.2</v>
      </c>
      <c r="T47">
        <v>0</v>
      </c>
    </row>
    <row r="48" spans="1:20">
      <c r="A48" s="9">
        <f>'1_Operational'!C48</f>
        <v>34.49</v>
      </c>
      <c r="B48">
        <f>'5_Operational'!C48</f>
        <v>34.49</v>
      </c>
      <c r="C48">
        <f>'1_Operational'!D48</f>
        <v>1310.095</v>
      </c>
      <c r="D48">
        <f>'5_Operational'!D48</f>
        <v>1310.308</v>
      </c>
      <c r="E48" s="2">
        <f>'1_Maximum'!C48</f>
        <v>35.53</v>
      </c>
      <c r="F48">
        <f>'1_Maximum'!D48</f>
        <v>1311.5540000000001</v>
      </c>
      <c r="G48">
        <f>'5_Maximum'!D48</f>
        <v>1311.34</v>
      </c>
      <c r="H48">
        <f>'1_Operational'!F48</f>
        <v>226.48</v>
      </c>
      <c r="I48">
        <f>'5_Operational'!J48</f>
        <v>329.2</v>
      </c>
      <c r="J48">
        <f>'1_Maximum'!F48:F141</f>
        <v>399</v>
      </c>
      <c r="K48" s="7">
        <f>'1_Operational'!E48</f>
        <v>3.06</v>
      </c>
      <c r="L48">
        <f>'5_Operational'!E48</f>
        <v>0.41</v>
      </c>
      <c r="M48">
        <f>'1_Maximum'!E48</f>
        <v>5.8</v>
      </c>
      <c r="N48">
        <f>'5_Maximum'!E48</f>
        <v>9.5299999999999994</v>
      </c>
      <c r="O48" s="6">
        <f>'1_Operational'!N48</f>
        <v>0.09</v>
      </c>
      <c r="P48">
        <f>'5_Operational'!N48</f>
        <v>0.1</v>
      </c>
      <c r="Q48">
        <f>'1_Maximum'!N48</f>
        <v>0.09</v>
      </c>
      <c r="R48">
        <f>'5_Maximum'!N48</f>
        <v>0.11</v>
      </c>
      <c r="S48">
        <v>0.2</v>
      </c>
      <c r="T48">
        <v>0</v>
      </c>
    </row>
    <row r="49" spans="1:20">
      <c r="A49" s="9">
        <f>'1_Operational'!C49</f>
        <v>35.22</v>
      </c>
      <c r="B49">
        <f>'5_Operational'!C49</f>
        <v>35.22</v>
      </c>
      <c r="C49">
        <f>'1_Operational'!D49</f>
        <v>1310.172</v>
      </c>
      <c r="D49">
        <f>'5_Operational'!D49</f>
        <v>1310.376</v>
      </c>
      <c r="E49" s="2">
        <f>'1_Maximum'!C49</f>
        <v>34.78</v>
      </c>
      <c r="F49">
        <f>'1_Maximum'!D49</f>
        <v>1311.4749999999999</v>
      </c>
      <c r="G49">
        <f>'5_Maximum'!D49</f>
        <v>1311.2760000000001</v>
      </c>
      <c r="H49">
        <f>'1_Operational'!F49</f>
        <v>227.32</v>
      </c>
      <c r="I49">
        <f>'5_Operational'!J49</f>
        <v>330.6</v>
      </c>
      <c r="J49">
        <f>'1_Maximum'!F49:F142</f>
        <v>399</v>
      </c>
      <c r="K49" s="7">
        <f>'1_Operational'!E49</f>
        <v>3.03</v>
      </c>
      <c r="L49">
        <f>'5_Operational'!E49</f>
        <v>0.46</v>
      </c>
      <c r="M49">
        <f>'1_Maximum'!E49</f>
        <v>5.96</v>
      </c>
      <c r="N49">
        <f>'5_Maximum'!E49</f>
        <v>9.59</v>
      </c>
      <c r="O49" s="6">
        <f>'1_Operational'!N49</f>
        <v>0.11</v>
      </c>
      <c r="P49">
        <f>'5_Operational'!N49</f>
        <v>0.09</v>
      </c>
      <c r="Q49">
        <f>'1_Maximum'!N49</f>
        <v>0.11</v>
      </c>
      <c r="R49">
        <f>'5_Maximum'!N49</f>
        <v>0.09</v>
      </c>
      <c r="S49">
        <v>0.2</v>
      </c>
      <c r="T49">
        <v>0</v>
      </c>
    </row>
    <row r="50" spans="1:20">
      <c r="A50" s="9">
        <f>'1_Operational'!C50</f>
        <v>35.97</v>
      </c>
      <c r="B50">
        <f>'5_Operational'!C50</f>
        <v>35.97</v>
      </c>
      <c r="C50">
        <f>'1_Operational'!D50</f>
        <v>1310.242</v>
      </c>
      <c r="D50">
        <f>'5_Operational'!D50</f>
        <v>1310.452</v>
      </c>
      <c r="E50" s="2">
        <f>'1_Maximum'!C50</f>
        <v>34</v>
      </c>
      <c r="F50">
        <f>'1_Maximum'!D50</f>
        <v>1311.403</v>
      </c>
      <c r="G50">
        <f>'5_Maximum'!D50</f>
        <v>1311.204</v>
      </c>
      <c r="H50">
        <f>'1_Operational'!F50</f>
        <v>228.12</v>
      </c>
      <c r="I50">
        <f>'5_Operational'!J50</f>
        <v>332.24</v>
      </c>
      <c r="J50">
        <f>'1_Maximum'!F50:F143</f>
        <v>399</v>
      </c>
      <c r="K50" s="7">
        <f>'1_Operational'!E50</f>
        <v>3</v>
      </c>
      <c r="L50">
        <f>'5_Operational'!E50</f>
        <v>0.41</v>
      </c>
      <c r="M50">
        <f>'1_Maximum'!E50</f>
        <v>6.11</v>
      </c>
      <c r="N50">
        <f>'5_Maximum'!E50</f>
        <v>9.6199999999999992</v>
      </c>
      <c r="O50" s="6">
        <f>'1_Operational'!N50</f>
        <v>0.09</v>
      </c>
      <c r="P50">
        <f>'5_Operational'!N50</f>
        <v>0.1</v>
      </c>
      <c r="Q50">
        <f>'1_Maximum'!N50</f>
        <v>0.09</v>
      </c>
      <c r="R50">
        <f>'5_Maximum'!N50</f>
        <v>0.09</v>
      </c>
      <c r="S50">
        <v>0.2</v>
      </c>
      <c r="T50">
        <v>0</v>
      </c>
    </row>
    <row r="51" spans="1:20">
      <c r="A51" s="9">
        <f>'1_Operational'!C51</f>
        <v>36.700000000000003</v>
      </c>
      <c r="B51">
        <f>'5_Operational'!C51</f>
        <v>36.700000000000003</v>
      </c>
      <c r="C51">
        <f>'1_Operational'!D51</f>
        <v>1310.3130000000001</v>
      </c>
      <c r="D51">
        <f>'5_Operational'!D51</f>
        <v>1310.528</v>
      </c>
      <c r="E51" s="2">
        <f>'1_Maximum'!C51</f>
        <v>33.26</v>
      </c>
      <c r="F51">
        <f>'1_Maximum'!D51</f>
        <v>1311.3309999999999</v>
      </c>
      <c r="G51">
        <f>'5_Maximum'!D51</f>
        <v>1311.133</v>
      </c>
      <c r="H51">
        <f>'1_Operational'!F51</f>
        <v>229</v>
      </c>
      <c r="I51">
        <f>'5_Operational'!J51</f>
        <v>333.8</v>
      </c>
      <c r="J51">
        <f>'1_Maximum'!F51:F144</f>
        <v>399</v>
      </c>
      <c r="K51" s="7">
        <f>'1_Operational'!E51</f>
        <v>3.01</v>
      </c>
      <c r="L51">
        <f>'5_Operational'!E51</f>
        <v>0.35</v>
      </c>
      <c r="M51">
        <f>'1_Maximum'!E51</f>
        <v>6.19</v>
      </c>
      <c r="N51">
        <f>'5_Maximum'!E51</f>
        <v>9.69</v>
      </c>
      <c r="O51" s="6">
        <f>'1_Operational'!N51</f>
        <v>0.1</v>
      </c>
      <c r="P51">
        <f>'5_Operational'!N51</f>
        <v>0.1</v>
      </c>
      <c r="Q51">
        <f>'1_Maximum'!N51</f>
        <v>0.1</v>
      </c>
      <c r="R51">
        <f>'5_Maximum'!N51</f>
        <v>0.1</v>
      </c>
      <c r="S51">
        <v>0.2</v>
      </c>
      <c r="T51">
        <v>0</v>
      </c>
    </row>
    <row r="52" spans="1:20">
      <c r="A52" s="9">
        <f>'1_Operational'!C52</f>
        <v>37.450000000000003</v>
      </c>
      <c r="B52">
        <f>'5_Operational'!C52</f>
        <v>37.450000000000003</v>
      </c>
      <c r="C52">
        <f>'1_Operational'!D52</f>
        <v>1310.385</v>
      </c>
      <c r="D52">
        <f>'5_Operational'!D52</f>
        <v>1310.605</v>
      </c>
      <c r="E52" s="2">
        <f>'1_Maximum'!C52</f>
        <v>32.51</v>
      </c>
      <c r="F52">
        <f>'1_Maximum'!D52</f>
        <v>1311.26</v>
      </c>
      <c r="G52">
        <f>'5_Maximum'!D52</f>
        <v>1311.0609999999999</v>
      </c>
      <c r="H52">
        <f>'1_Operational'!F52</f>
        <v>230.12</v>
      </c>
      <c r="I52">
        <f>'5_Operational'!J52</f>
        <v>335.92</v>
      </c>
      <c r="J52">
        <f>'1_Maximum'!F52:F145</f>
        <v>399</v>
      </c>
      <c r="K52" s="7">
        <f>'1_Operational'!E52</f>
        <v>3.02</v>
      </c>
      <c r="L52">
        <f>'5_Operational'!E52</f>
        <v>0.26</v>
      </c>
      <c r="M52">
        <f>'1_Maximum'!E52</f>
        <v>6.28</v>
      </c>
      <c r="N52">
        <f>'5_Maximum'!E52</f>
        <v>9.74</v>
      </c>
      <c r="O52" s="6">
        <f>'1_Operational'!N52</f>
        <v>0.1</v>
      </c>
      <c r="P52">
        <f>'5_Operational'!N52</f>
        <v>0.1</v>
      </c>
      <c r="Q52">
        <f>'1_Maximum'!N52</f>
        <v>0.09</v>
      </c>
      <c r="R52">
        <f>'5_Maximum'!N52</f>
        <v>0.1</v>
      </c>
      <c r="S52">
        <v>0.2</v>
      </c>
      <c r="T52">
        <v>0</v>
      </c>
    </row>
    <row r="53" spans="1:20">
      <c r="A53" s="9">
        <f>'1_Operational'!C53</f>
        <v>38.18</v>
      </c>
      <c r="B53">
        <f>'5_Operational'!C53</f>
        <v>38.18</v>
      </c>
      <c r="C53">
        <f>'1_Operational'!D53</f>
        <v>1310.4570000000001</v>
      </c>
      <c r="D53">
        <f>'5_Operational'!D53</f>
        <v>1310.683</v>
      </c>
      <c r="E53" s="2">
        <f>'1_Maximum'!C53</f>
        <v>31.78</v>
      </c>
      <c r="F53">
        <f>'1_Maximum'!D53</f>
        <v>1311.1880000000001</v>
      </c>
      <c r="G53">
        <f>'5_Maximum'!D53</f>
        <v>1310.99</v>
      </c>
      <c r="H53">
        <f>'1_Operational'!F53</f>
        <v>231.48</v>
      </c>
      <c r="I53">
        <f>'5_Operational'!J53</f>
        <v>338.16</v>
      </c>
      <c r="J53">
        <f>'1_Maximum'!F53:F146</f>
        <v>399</v>
      </c>
      <c r="K53" s="7">
        <f>'1_Operational'!E53</f>
        <v>2.87</v>
      </c>
      <c r="L53">
        <f>'5_Operational'!E53</f>
        <v>0.34</v>
      </c>
      <c r="M53">
        <f>'1_Maximum'!E53</f>
        <v>6.3</v>
      </c>
      <c r="N53">
        <f>'5_Maximum'!E53</f>
        <v>9.7799999999999994</v>
      </c>
      <c r="O53" s="6">
        <f>'1_Operational'!N53</f>
        <v>0.1</v>
      </c>
      <c r="P53">
        <f>'5_Operational'!N53</f>
        <v>0.11</v>
      </c>
      <c r="Q53">
        <f>'1_Maximum'!N53</f>
        <v>0.1</v>
      </c>
      <c r="R53">
        <f>'5_Maximum'!N53</f>
        <v>0.1</v>
      </c>
      <c r="S53">
        <v>0.2</v>
      </c>
      <c r="T53">
        <v>0</v>
      </c>
    </row>
    <row r="54" spans="1:20">
      <c r="A54" s="9">
        <f>'1_Operational'!C54</f>
        <v>38.950000000000003</v>
      </c>
      <c r="B54">
        <f>'5_Operational'!C54</f>
        <v>38.950000000000003</v>
      </c>
      <c r="C54">
        <f>'1_Operational'!D54</f>
        <v>1310.53</v>
      </c>
      <c r="D54">
        <f>'5_Operational'!D54</f>
        <v>1310.7619999999999</v>
      </c>
      <c r="E54" s="2">
        <f>'1_Maximum'!C54</f>
        <v>31.03</v>
      </c>
      <c r="F54">
        <f>'1_Maximum'!D54</f>
        <v>1311.117</v>
      </c>
      <c r="G54">
        <f>'5_Maximum'!D54</f>
        <v>1310.9179999999999</v>
      </c>
      <c r="H54">
        <f>'1_Operational'!F54</f>
        <v>232.84</v>
      </c>
      <c r="I54">
        <f>'5_Operational'!J54</f>
        <v>340.36</v>
      </c>
      <c r="J54">
        <f>'1_Maximum'!F54:F147</f>
        <v>399</v>
      </c>
      <c r="K54" s="7">
        <f>'1_Operational'!E54</f>
        <v>2.87</v>
      </c>
      <c r="L54">
        <f>'5_Operational'!E54</f>
        <v>0.45</v>
      </c>
      <c r="M54">
        <f>'1_Maximum'!E54</f>
        <v>6.33</v>
      </c>
      <c r="N54">
        <f>'5_Maximum'!E54</f>
        <v>9.86</v>
      </c>
      <c r="O54" s="6">
        <f>'1_Operational'!N54</f>
        <v>0.09</v>
      </c>
      <c r="P54">
        <f>'5_Operational'!N54</f>
        <v>0.1</v>
      </c>
      <c r="Q54">
        <f>'1_Maximum'!N54</f>
        <v>0.09</v>
      </c>
      <c r="R54">
        <f>'5_Maximum'!N54</f>
        <v>0.1</v>
      </c>
      <c r="S54">
        <v>0.2</v>
      </c>
      <c r="T54">
        <v>0</v>
      </c>
    </row>
    <row r="55" spans="1:20">
      <c r="A55" s="9">
        <f>'1_Operational'!C55</f>
        <v>39.700000000000003</v>
      </c>
      <c r="B55">
        <f>'5_Operational'!C55</f>
        <v>39.700000000000003</v>
      </c>
      <c r="C55">
        <f>'1_Operational'!D55</f>
        <v>1310.597</v>
      </c>
      <c r="D55">
        <f>'5_Operational'!D55</f>
        <v>1310.8530000000001</v>
      </c>
      <c r="E55" s="2">
        <f>'1_Maximum'!C55</f>
        <v>30.3</v>
      </c>
      <c r="F55">
        <f>'1_Maximum'!D55</f>
        <v>1311.0450000000001</v>
      </c>
      <c r="G55">
        <f>'5_Maximum'!D55</f>
        <v>1310.847</v>
      </c>
      <c r="H55">
        <f>'1_Operational'!F55</f>
        <v>234.6</v>
      </c>
      <c r="I55">
        <f>'5_Operational'!J55</f>
        <v>343</v>
      </c>
      <c r="J55">
        <f>'1_Maximum'!F55:F148</f>
        <v>399</v>
      </c>
      <c r="K55" s="7">
        <f>'1_Operational'!E55</f>
        <v>2.86</v>
      </c>
      <c r="L55">
        <f>'5_Operational'!E55</f>
        <v>0.46</v>
      </c>
      <c r="M55">
        <f>'1_Maximum'!E55</f>
        <v>6.48</v>
      </c>
      <c r="N55">
        <f>'5_Maximum'!E55</f>
        <v>9.91</v>
      </c>
      <c r="O55" s="6">
        <f>'1_Operational'!N55</f>
        <v>0.09</v>
      </c>
      <c r="P55">
        <f>'5_Operational'!N55</f>
        <v>0.12</v>
      </c>
      <c r="Q55">
        <f>'1_Maximum'!N55</f>
        <v>0.1</v>
      </c>
      <c r="R55">
        <f>'5_Maximum'!N55</f>
        <v>0.1</v>
      </c>
      <c r="S55">
        <v>0.2</v>
      </c>
      <c r="T55">
        <v>0</v>
      </c>
    </row>
    <row r="56" spans="1:20">
      <c r="A56" s="9">
        <f>'1_Operational'!C56</f>
        <v>40.44</v>
      </c>
      <c r="B56">
        <f>'5_Operational'!C56</f>
        <v>40.44</v>
      </c>
      <c r="C56">
        <f>'1_Operational'!D56</f>
        <v>1310.672</v>
      </c>
      <c r="D56">
        <f>'5_Operational'!D56</f>
        <v>1310.933</v>
      </c>
      <c r="E56" s="2">
        <f>'1_Maximum'!C56</f>
        <v>29.54</v>
      </c>
      <c r="F56">
        <f>'1_Maximum'!D56</f>
        <v>1310.981</v>
      </c>
      <c r="G56">
        <f>'5_Maximum'!D56</f>
        <v>1310.7660000000001</v>
      </c>
      <c r="H56">
        <f>'1_Operational'!F56</f>
        <v>236.24</v>
      </c>
      <c r="I56">
        <f>'5_Operational'!J56</f>
        <v>345.6</v>
      </c>
      <c r="J56">
        <f>'1_Maximum'!F56:F149</f>
        <v>399</v>
      </c>
      <c r="K56" s="7">
        <f>'1_Operational'!E56</f>
        <v>2.85</v>
      </c>
      <c r="L56">
        <f>'5_Operational'!E56</f>
        <v>0.39</v>
      </c>
      <c r="M56">
        <f>'1_Maximum'!E56</f>
        <v>6.6</v>
      </c>
      <c r="N56">
        <f>'5_Maximum'!E56</f>
        <v>10.01</v>
      </c>
      <c r="O56" s="6">
        <f>'1_Operational'!N56</f>
        <v>0.1</v>
      </c>
      <c r="P56">
        <f>'5_Operational'!N56</f>
        <v>0.11</v>
      </c>
      <c r="Q56">
        <f>'1_Maximum'!N56</f>
        <v>0.08</v>
      </c>
      <c r="R56">
        <f>'5_Maximum'!N56</f>
        <v>0.11</v>
      </c>
      <c r="S56">
        <v>0.2</v>
      </c>
      <c r="T56">
        <v>0</v>
      </c>
    </row>
    <row r="57" spans="1:20">
      <c r="A57" s="9">
        <f>'1_Operational'!C57</f>
        <v>41.2</v>
      </c>
      <c r="B57">
        <f>'5_Operational'!C57</f>
        <v>41.2</v>
      </c>
      <c r="C57">
        <f>'1_Operational'!D57</f>
        <v>1310.7550000000001</v>
      </c>
      <c r="D57">
        <f>'5_Operational'!D57</f>
        <v>1311.008</v>
      </c>
      <c r="E57" s="2">
        <f>'1_Maximum'!C57</f>
        <v>28.81</v>
      </c>
      <c r="F57">
        <f>'1_Maximum'!D57</f>
        <v>1310.902</v>
      </c>
      <c r="G57">
        <f>'5_Maximum'!D57</f>
        <v>1310.701</v>
      </c>
      <c r="H57">
        <f>'1_Operational'!F57</f>
        <v>238.2</v>
      </c>
      <c r="I57">
        <f>'5_Operational'!J57</f>
        <v>348.52</v>
      </c>
      <c r="J57">
        <f>'1_Maximum'!F57:F150</f>
        <v>399</v>
      </c>
      <c r="K57" s="7">
        <f>'1_Operational'!E57</f>
        <v>2.86</v>
      </c>
      <c r="L57">
        <f>'5_Operational'!E57</f>
        <v>0.39</v>
      </c>
      <c r="M57">
        <f>'1_Maximum'!E57</f>
        <v>6.66</v>
      </c>
      <c r="N57">
        <f>'5_Maximum'!E57</f>
        <v>9.99</v>
      </c>
      <c r="O57" s="6">
        <f>'1_Operational'!N57</f>
        <v>0.11</v>
      </c>
      <c r="P57">
        <f>'5_Operational'!N57</f>
        <v>0.1</v>
      </c>
      <c r="Q57">
        <f>'1_Maximum'!N57</f>
        <v>0.11</v>
      </c>
      <c r="R57">
        <f>'5_Maximum'!N57</f>
        <v>0.09</v>
      </c>
      <c r="S57">
        <v>0.2</v>
      </c>
      <c r="T57">
        <v>0</v>
      </c>
    </row>
    <row r="58" spans="1:20">
      <c r="A58" s="9">
        <f>'1_Operational'!C58</f>
        <v>41.93</v>
      </c>
      <c r="B58">
        <f>'5_Operational'!C58</f>
        <v>41.93</v>
      </c>
      <c r="C58">
        <f>'1_Operational'!D58</f>
        <v>1310.8330000000001</v>
      </c>
      <c r="D58">
        <f>'5_Operational'!D58</f>
        <v>1311.0909999999999</v>
      </c>
      <c r="E58" s="2">
        <f>'1_Maximum'!C58</f>
        <v>28.06</v>
      </c>
      <c r="F58">
        <f>'1_Maximum'!D58</f>
        <v>1310.83</v>
      </c>
      <c r="G58">
        <f>'5_Maximum'!D58</f>
        <v>1310.6300000000001</v>
      </c>
      <c r="H58">
        <f>'1_Operational'!F58</f>
        <v>240.04</v>
      </c>
      <c r="I58">
        <f>'5_Operational'!J58</f>
        <v>351.32</v>
      </c>
      <c r="J58">
        <f>'1_Maximum'!F58:F151</f>
        <v>399</v>
      </c>
      <c r="K58" s="7">
        <f>'1_Operational'!E58</f>
        <v>2.77</v>
      </c>
      <c r="L58">
        <f>'5_Operational'!E58</f>
        <v>0.35</v>
      </c>
      <c r="M58">
        <f>'1_Maximum'!E58</f>
        <v>6.8</v>
      </c>
      <c r="N58">
        <f>'5_Maximum'!E58</f>
        <v>9.9499999999999993</v>
      </c>
      <c r="O58" s="6">
        <f>'1_Operational'!N58</f>
        <v>0.11</v>
      </c>
      <c r="P58">
        <f>'5_Operational'!N58</f>
        <v>0.11</v>
      </c>
      <c r="Q58">
        <f>'1_Maximum'!N58</f>
        <v>0.1</v>
      </c>
      <c r="R58">
        <f>'5_Maximum'!N58</f>
        <v>0.09</v>
      </c>
      <c r="S58">
        <v>0.2</v>
      </c>
      <c r="T58">
        <v>0</v>
      </c>
    </row>
    <row r="59" spans="1:20">
      <c r="A59" s="9">
        <f>'1_Operational'!C59</f>
        <v>42.69</v>
      </c>
      <c r="B59">
        <f>'5_Operational'!C59</f>
        <v>42.69</v>
      </c>
      <c r="C59">
        <f>'1_Operational'!D59</f>
        <v>1310.91</v>
      </c>
      <c r="D59">
        <f>'5_Operational'!D59</f>
        <v>1311.1769999999999</v>
      </c>
      <c r="E59" s="2">
        <f>'1_Maximum'!C59</f>
        <v>27.3</v>
      </c>
      <c r="F59">
        <f>'1_Maximum'!D59</f>
        <v>1310.759</v>
      </c>
      <c r="G59">
        <f>'5_Maximum'!D59</f>
        <v>1310.56</v>
      </c>
      <c r="H59">
        <f>'1_Operational'!F59</f>
        <v>242.2</v>
      </c>
      <c r="I59">
        <f>'5_Operational'!J59</f>
        <v>354.4</v>
      </c>
      <c r="J59">
        <f>'1_Maximum'!F59:F152</f>
        <v>399</v>
      </c>
      <c r="K59" s="7">
        <f>'1_Operational'!E59</f>
        <v>2.64</v>
      </c>
      <c r="L59">
        <f>'5_Operational'!E59</f>
        <v>0.27</v>
      </c>
      <c r="M59">
        <f>'1_Maximum'!E59</f>
        <v>6.9</v>
      </c>
      <c r="N59">
        <f>'5_Maximum'!E59</f>
        <v>9.99</v>
      </c>
      <c r="O59" s="6">
        <f>'1_Operational'!N59</f>
        <v>0.1</v>
      </c>
      <c r="P59">
        <f>'5_Operational'!N59</f>
        <v>0.11</v>
      </c>
      <c r="Q59">
        <f>'1_Maximum'!N59</f>
        <v>0.09</v>
      </c>
      <c r="R59">
        <f>'5_Maximum'!N59</f>
        <v>0.09</v>
      </c>
      <c r="S59">
        <v>0.2</v>
      </c>
      <c r="T59">
        <v>0</v>
      </c>
    </row>
    <row r="60" spans="1:20">
      <c r="A60" s="9">
        <f>'1_Operational'!C60</f>
        <v>43.42</v>
      </c>
      <c r="B60">
        <f>'5_Operational'!C60</f>
        <v>43.42</v>
      </c>
      <c r="C60">
        <f>'1_Operational'!D60</f>
        <v>1310.9870000000001</v>
      </c>
      <c r="D60">
        <f>'5_Operational'!D60</f>
        <v>1311.2629999999999</v>
      </c>
      <c r="E60" s="2">
        <f>'1_Maximum'!C60</f>
        <v>26.57</v>
      </c>
      <c r="F60">
        <f>'1_Maximum'!D60</f>
        <v>1310.694</v>
      </c>
      <c r="G60">
        <f>'5_Maximum'!D60</f>
        <v>1310.482</v>
      </c>
      <c r="H60">
        <f>'1_Operational'!F60</f>
        <v>244.36</v>
      </c>
      <c r="I60">
        <f>'5_Operational'!J60</f>
        <v>357.32</v>
      </c>
      <c r="J60">
        <f>'1_Maximum'!F60:F153</f>
        <v>399</v>
      </c>
      <c r="K60" s="7">
        <f>'1_Operational'!E60</f>
        <v>2.57</v>
      </c>
      <c r="L60">
        <f>'5_Operational'!E60</f>
        <v>0.3</v>
      </c>
      <c r="M60">
        <f>'1_Maximum'!E60</f>
        <v>6.92</v>
      </c>
      <c r="N60">
        <f>'5_Maximum'!E60</f>
        <v>10.02</v>
      </c>
      <c r="O60" s="6">
        <f>'1_Operational'!N60</f>
        <v>0.11</v>
      </c>
      <c r="P60">
        <f>'5_Operational'!N60</f>
        <v>0.12</v>
      </c>
      <c r="Q60">
        <f>'1_Maximum'!N60</f>
        <v>0.09</v>
      </c>
      <c r="R60">
        <f>'5_Maximum'!N60</f>
        <v>0.11</v>
      </c>
      <c r="S60">
        <v>0.2</v>
      </c>
      <c r="T60">
        <v>0</v>
      </c>
    </row>
    <row r="61" spans="1:20">
      <c r="A61" s="9">
        <f>'1_Operational'!C61</f>
        <v>44.17</v>
      </c>
      <c r="B61">
        <f>'5_Operational'!C61</f>
        <v>44.17</v>
      </c>
      <c r="C61">
        <f>'1_Operational'!D61</f>
        <v>1311.0650000000001</v>
      </c>
      <c r="D61">
        <f>'5_Operational'!D61</f>
        <v>1311.348</v>
      </c>
      <c r="E61" s="2">
        <f>'1_Maximum'!C61</f>
        <v>25.81</v>
      </c>
      <c r="F61">
        <f>'1_Maximum'!D61</f>
        <v>1310.614</v>
      </c>
      <c r="G61">
        <f>'5_Maximum'!D61</f>
        <v>1310.4179999999999</v>
      </c>
      <c r="H61">
        <f>'1_Operational'!F61</f>
        <v>246.28</v>
      </c>
      <c r="I61">
        <f>'5_Operational'!J61</f>
        <v>360.36</v>
      </c>
      <c r="J61">
        <f>'1_Maximum'!F61:F154</f>
        <v>399</v>
      </c>
      <c r="K61" s="7">
        <f>'1_Operational'!E61</f>
        <v>2.56</v>
      </c>
      <c r="L61">
        <f>'5_Operational'!E61</f>
        <v>0.28000000000000003</v>
      </c>
      <c r="M61">
        <f>'1_Maximum'!E61</f>
        <v>6.95</v>
      </c>
      <c r="N61">
        <f>'5_Maximum'!E61</f>
        <v>9.82</v>
      </c>
      <c r="O61" s="6">
        <f>'1_Operational'!N61</f>
        <v>0.1</v>
      </c>
      <c r="P61">
        <f>'5_Operational'!N61</f>
        <v>0.11</v>
      </c>
      <c r="Q61">
        <f>'1_Maximum'!N61</f>
        <v>0.11</v>
      </c>
      <c r="R61">
        <f>'5_Maximum'!N61</f>
        <v>0.08</v>
      </c>
      <c r="S61">
        <v>0.2</v>
      </c>
      <c r="T61">
        <v>0</v>
      </c>
    </row>
    <row r="62" spans="1:20">
      <c r="A62" s="9">
        <f>'1_Operational'!C62</f>
        <v>44.9</v>
      </c>
      <c r="B62">
        <f>'5_Operational'!C62</f>
        <v>44.9</v>
      </c>
      <c r="C62">
        <f>'1_Operational'!D62</f>
        <v>1311.135</v>
      </c>
      <c r="D62">
        <f>'5_Operational'!D62</f>
        <v>1311.444</v>
      </c>
      <c r="E62" s="2">
        <f>'1_Maximum'!C62</f>
        <v>25.09</v>
      </c>
      <c r="F62">
        <f>'1_Maximum'!D62</f>
        <v>1310.5419999999999</v>
      </c>
      <c r="G62">
        <f>'5_Maximum'!D62</f>
        <v>1310.346</v>
      </c>
      <c r="H62">
        <f>'1_Operational'!F62</f>
        <v>248.72</v>
      </c>
      <c r="I62">
        <f>'5_Operational'!J62</f>
        <v>364.04</v>
      </c>
      <c r="J62">
        <f>'1_Maximum'!F62:F155</f>
        <v>399</v>
      </c>
      <c r="K62" s="7">
        <f>'1_Operational'!E62</f>
        <v>2.5099999999999998</v>
      </c>
      <c r="L62">
        <f>'5_Operational'!E62</f>
        <v>0.34</v>
      </c>
      <c r="M62">
        <f>'1_Maximum'!E62</f>
        <v>7.05</v>
      </c>
      <c r="N62">
        <f>'5_Maximum'!E62</f>
        <v>9.73</v>
      </c>
      <c r="O62" s="6">
        <f>'1_Operational'!N62</f>
        <v>0.1</v>
      </c>
      <c r="P62">
        <f>'5_Operational'!N62</f>
        <v>0.13</v>
      </c>
      <c r="Q62">
        <f>'1_Maximum'!N62</f>
        <v>0.1</v>
      </c>
      <c r="R62">
        <f>'5_Maximum'!N62</f>
        <v>0.1</v>
      </c>
      <c r="S62">
        <v>0.2</v>
      </c>
      <c r="T62">
        <v>0</v>
      </c>
    </row>
    <row r="63" spans="1:20">
      <c r="A63" s="9">
        <f>'1_Operational'!C63</f>
        <v>45.63</v>
      </c>
      <c r="B63">
        <f>'5_Operational'!C63</f>
        <v>45.63</v>
      </c>
      <c r="C63">
        <f>'1_Operational'!D63</f>
        <v>1311.221</v>
      </c>
      <c r="D63">
        <f>'5_Operational'!D63</f>
        <v>1311.5219999999999</v>
      </c>
      <c r="E63" s="2">
        <f>'1_Maximum'!C63</f>
        <v>24.32</v>
      </c>
      <c r="F63">
        <f>'1_Maximum'!D63</f>
        <v>1310.472</v>
      </c>
      <c r="G63">
        <f>'5_Maximum'!D63</f>
        <v>1310.2750000000001</v>
      </c>
      <c r="H63">
        <f>'1_Operational'!F63</f>
        <v>251</v>
      </c>
      <c r="I63">
        <f>'5_Operational'!J63</f>
        <v>367.64</v>
      </c>
      <c r="J63">
        <f>'1_Maximum'!F63:F156</f>
        <v>399</v>
      </c>
      <c r="K63" s="7">
        <f>'1_Operational'!E63</f>
        <v>2.5499999999999998</v>
      </c>
      <c r="L63">
        <f>'5_Operational'!E63</f>
        <v>0.26</v>
      </c>
      <c r="M63">
        <f>'1_Maximum'!E63</f>
        <v>6.97</v>
      </c>
      <c r="N63">
        <f>'5_Maximum'!E63</f>
        <v>9.75</v>
      </c>
      <c r="O63" s="6">
        <f>'1_Operational'!N63</f>
        <v>0.12</v>
      </c>
      <c r="P63">
        <f>'5_Operational'!N63</f>
        <v>0.11</v>
      </c>
      <c r="Q63">
        <f>'1_Maximum'!N63</f>
        <v>0.09</v>
      </c>
      <c r="R63">
        <f>'5_Maximum'!N63</f>
        <v>0.09</v>
      </c>
      <c r="S63">
        <v>0.2</v>
      </c>
      <c r="T63">
        <v>0</v>
      </c>
    </row>
    <row r="64" spans="1:20">
      <c r="A64" s="9">
        <f>'1_Operational'!C64</f>
        <v>46.38</v>
      </c>
      <c r="B64">
        <f>'5_Operational'!C64</f>
        <v>46.38</v>
      </c>
      <c r="C64">
        <f>'1_Operational'!D64</f>
        <v>1311.3009999999999</v>
      </c>
      <c r="D64">
        <f>'5_Operational'!D64</f>
        <v>1311.614</v>
      </c>
      <c r="E64" s="2">
        <f>'1_Maximum'!C64</f>
        <v>23.61</v>
      </c>
      <c r="F64">
        <f>'1_Maximum'!D64</f>
        <v>1310.4010000000001</v>
      </c>
      <c r="G64">
        <f>'5_Maximum'!D64</f>
        <v>1310.203</v>
      </c>
      <c r="H64">
        <f>'1_Operational'!F64</f>
        <v>253.52</v>
      </c>
      <c r="I64">
        <f>'5_Operational'!J64</f>
        <v>371.6</v>
      </c>
      <c r="J64">
        <f>'1_Maximum'!F64:F157</f>
        <v>399</v>
      </c>
      <c r="K64" s="7">
        <f>'1_Operational'!E64</f>
        <v>2.42</v>
      </c>
      <c r="L64">
        <f>'5_Operational'!E64</f>
        <v>0.32</v>
      </c>
      <c r="M64">
        <f>'1_Maximum'!E64</f>
        <v>7.12</v>
      </c>
      <c r="N64">
        <f>'5_Maximum'!E64</f>
        <v>9.74</v>
      </c>
      <c r="O64" s="6">
        <f>'1_Operational'!N64</f>
        <v>0.11</v>
      </c>
      <c r="P64">
        <f>'5_Operational'!N64</f>
        <v>0.12</v>
      </c>
      <c r="Q64">
        <f>'1_Maximum'!N64</f>
        <v>0.1</v>
      </c>
      <c r="R64">
        <f>'5_Maximum'!N64</f>
        <v>0.1</v>
      </c>
      <c r="S64">
        <v>0.2</v>
      </c>
      <c r="T64">
        <v>0</v>
      </c>
    </row>
    <row r="65" spans="1:20">
      <c r="A65" s="9">
        <f>'1_Operational'!C65</f>
        <v>47.11</v>
      </c>
      <c r="B65">
        <f>'5_Operational'!C65</f>
        <v>47.11</v>
      </c>
      <c r="C65">
        <f>'1_Operational'!D65</f>
        <v>1311.3820000000001</v>
      </c>
      <c r="D65">
        <f>'5_Operational'!D65</f>
        <v>1311.703</v>
      </c>
      <c r="E65" s="2">
        <f>'1_Maximum'!C65</f>
        <v>22.89</v>
      </c>
      <c r="F65">
        <f>'1_Maximum'!D65</f>
        <v>1310.337</v>
      </c>
      <c r="G65">
        <f>'5_Maximum'!D65</f>
        <v>1310.126</v>
      </c>
      <c r="H65">
        <f>'1_Operational'!F65</f>
        <v>255.72</v>
      </c>
      <c r="I65">
        <f>'5_Operational'!J65</f>
        <v>375.68</v>
      </c>
      <c r="J65">
        <f>'1_Maximum'!F65:F158</f>
        <v>399</v>
      </c>
      <c r="K65" s="7">
        <f>'1_Operational'!E65</f>
        <v>2.39</v>
      </c>
      <c r="L65">
        <f>'5_Operational'!E65</f>
        <v>0.36</v>
      </c>
      <c r="M65">
        <f>'1_Maximum'!E65</f>
        <v>7.2</v>
      </c>
      <c r="N65">
        <f>'5_Maximum'!E65</f>
        <v>9.7100000000000009</v>
      </c>
      <c r="O65" s="6">
        <f>'1_Operational'!N65</f>
        <v>0.11</v>
      </c>
      <c r="P65">
        <f>'5_Operational'!N65</f>
        <v>0.12</v>
      </c>
      <c r="Q65">
        <f>'1_Maximum'!N65</f>
        <v>0.09</v>
      </c>
      <c r="R65">
        <f>'5_Maximum'!N65</f>
        <v>0.11</v>
      </c>
      <c r="S65">
        <v>0.2</v>
      </c>
      <c r="T65">
        <v>0</v>
      </c>
    </row>
    <row r="66" spans="1:20">
      <c r="A66" s="9">
        <f>'1_Operational'!C66</f>
        <v>47.86</v>
      </c>
      <c r="B66">
        <f>'5_Operational'!C66</f>
        <v>47.86</v>
      </c>
      <c r="C66">
        <f>'1_Operational'!D66</f>
        <v>1311.463</v>
      </c>
      <c r="D66">
        <f>'5_Operational'!D66</f>
        <v>1311.797</v>
      </c>
      <c r="E66" s="2">
        <f>'1_Maximum'!C66</f>
        <v>22.15</v>
      </c>
      <c r="F66">
        <f>'1_Maximum'!D66</f>
        <v>1310.258</v>
      </c>
      <c r="G66">
        <f>'5_Maximum'!D66</f>
        <v>1310.0619999999999</v>
      </c>
      <c r="H66">
        <f>'1_Operational'!F66</f>
        <v>258.44</v>
      </c>
      <c r="I66">
        <f>'5_Operational'!J66</f>
        <v>380.32</v>
      </c>
      <c r="J66">
        <f>'1_Maximum'!F66:F159</f>
        <v>399</v>
      </c>
      <c r="K66" s="7">
        <f>'1_Operational'!E66</f>
        <v>2.31</v>
      </c>
      <c r="L66">
        <f>'5_Operational'!E66</f>
        <v>0.28000000000000003</v>
      </c>
      <c r="M66">
        <f>'1_Maximum'!E66</f>
        <v>7.13</v>
      </c>
      <c r="N66">
        <f>'5_Maximum'!E66</f>
        <v>9.7799999999999994</v>
      </c>
      <c r="O66" s="6">
        <f>'1_Operational'!N66</f>
        <v>0.11</v>
      </c>
      <c r="P66">
        <f>'5_Operational'!N66</f>
        <v>0.13</v>
      </c>
      <c r="Q66">
        <f>'1_Maximum'!N66</f>
        <v>0.11</v>
      </c>
      <c r="R66">
        <f>'5_Maximum'!N66</f>
        <v>0.09</v>
      </c>
      <c r="S66">
        <v>0.2</v>
      </c>
      <c r="T66">
        <v>0</v>
      </c>
    </row>
    <row r="67" spans="1:20">
      <c r="A67" s="9">
        <f>'1_Operational'!C67</f>
        <v>48.58</v>
      </c>
      <c r="B67">
        <f>'5_Operational'!C67</f>
        <v>48.58</v>
      </c>
      <c r="C67">
        <f>'1_Operational'!D67</f>
        <v>1311.5360000000001</v>
      </c>
      <c r="D67">
        <f>'5_Operational'!D67</f>
        <v>1311.902</v>
      </c>
      <c r="E67" s="2">
        <f>'1_Maximum'!C67</f>
        <v>21.39</v>
      </c>
      <c r="F67">
        <f>'1_Maximum'!D67</f>
        <v>1310.19</v>
      </c>
      <c r="G67">
        <f>'5_Maximum'!D67</f>
        <v>1309.992</v>
      </c>
      <c r="H67">
        <f>'1_Operational'!F67</f>
        <v>261.27999999999997</v>
      </c>
      <c r="I67">
        <f>'5_Operational'!J67</f>
        <v>385.36</v>
      </c>
      <c r="J67">
        <f>'1_Maximum'!F67:F160</f>
        <v>399</v>
      </c>
      <c r="K67" s="7">
        <f>'1_Operational'!E67</f>
        <v>2.2200000000000002</v>
      </c>
      <c r="L67">
        <f>'5_Operational'!E67</f>
        <v>0.25</v>
      </c>
      <c r="M67">
        <f>'1_Maximum'!E67</f>
        <v>7.23</v>
      </c>
      <c r="N67">
        <f>'5_Maximum'!E67</f>
        <v>9.8000000000000007</v>
      </c>
      <c r="O67" s="6">
        <f>'1_Operational'!N67</f>
        <v>0.1</v>
      </c>
      <c r="P67">
        <f>'5_Operational'!N67</f>
        <v>0.15</v>
      </c>
      <c r="Q67">
        <f>'1_Maximum'!N67</f>
        <v>0.09</v>
      </c>
      <c r="R67">
        <f>'5_Maximum'!N67</f>
        <v>0.09</v>
      </c>
      <c r="S67">
        <v>0.2</v>
      </c>
      <c r="T67">
        <v>0</v>
      </c>
    </row>
    <row r="68" spans="1:20">
      <c r="A68" s="9">
        <f>'1_Operational'!C68</f>
        <v>49.33</v>
      </c>
      <c r="B68">
        <f>'5_Operational'!C68</f>
        <v>49.33</v>
      </c>
      <c r="C68">
        <f>'1_Operational'!D68</f>
        <v>1311.6179999999999</v>
      </c>
      <c r="D68">
        <f>'5_Operational'!D68</f>
        <v>1311.998</v>
      </c>
      <c r="E68" s="2">
        <f>'1_Maximum'!C68</f>
        <v>20.63</v>
      </c>
      <c r="F68">
        <f>'1_Maximum'!D68</f>
        <v>1310.1189999999999</v>
      </c>
      <c r="G68">
        <f>'5_Maximum'!D68</f>
        <v>1309.921</v>
      </c>
      <c r="H68">
        <f>'1_Operational'!F68</f>
        <v>264.39999999999998</v>
      </c>
      <c r="I68">
        <f>'5_Operational'!J68</f>
        <v>390.88</v>
      </c>
      <c r="J68">
        <f>'1_Maximum'!F68:F161</f>
        <v>399</v>
      </c>
      <c r="K68" s="7">
        <f>'1_Operational'!E68</f>
        <v>2.2000000000000002</v>
      </c>
      <c r="L68">
        <f>'5_Operational'!E68</f>
        <v>0.17</v>
      </c>
      <c r="M68">
        <f>'1_Maximum'!E68</f>
        <v>7.29</v>
      </c>
      <c r="N68">
        <f>'5_Maximum'!E68</f>
        <v>9.8699999999999992</v>
      </c>
      <c r="O68" s="6">
        <f>'1_Operational'!N68</f>
        <v>0.11</v>
      </c>
      <c r="P68">
        <f>'5_Operational'!N68</f>
        <v>0.13</v>
      </c>
      <c r="Q68">
        <f>'1_Maximum'!N68</f>
        <v>0.09</v>
      </c>
      <c r="R68">
        <f>'5_Maximum'!N68</f>
        <v>0.09</v>
      </c>
      <c r="S68">
        <v>0.2</v>
      </c>
      <c r="T68">
        <v>0</v>
      </c>
    </row>
    <row r="69" spans="1:20">
      <c r="A69" s="9">
        <f>'1_Operational'!C69</f>
        <v>50.06</v>
      </c>
      <c r="B69">
        <f>'5_Operational'!C69</f>
        <v>50.06</v>
      </c>
      <c r="C69">
        <f>'1_Operational'!D69</f>
        <v>1311.7090000000001</v>
      </c>
      <c r="D69">
        <f>'5_Operational'!D69</f>
        <v>1312.09</v>
      </c>
      <c r="E69" s="2">
        <f>'1_Maximum'!C69</f>
        <v>19.899999999999999</v>
      </c>
      <c r="F69">
        <f>'1_Maximum'!D69</f>
        <v>1310.047</v>
      </c>
      <c r="G69">
        <f>'5_Maximum'!D69</f>
        <v>1309.8489999999999</v>
      </c>
      <c r="H69">
        <f>'1_Operational'!F69</f>
        <v>267.76</v>
      </c>
      <c r="I69">
        <f>'5_Operational'!J69</f>
        <v>396.44</v>
      </c>
      <c r="J69">
        <f>'1_Maximum'!F69:F162</f>
        <v>399</v>
      </c>
      <c r="K69" s="7">
        <f>'1_Operational'!E69</f>
        <v>2.11</v>
      </c>
      <c r="L69">
        <f>'5_Operational'!E69</f>
        <v>0.2</v>
      </c>
      <c r="M69">
        <f>'1_Maximum'!E69</f>
        <v>7.39</v>
      </c>
      <c r="N69">
        <f>'5_Maximum'!E69</f>
        <v>9.82</v>
      </c>
      <c r="O69" s="6">
        <f>'1_Operational'!N69</f>
        <v>0.12</v>
      </c>
      <c r="P69">
        <f>'5_Operational'!N69</f>
        <v>0.13</v>
      </c>
      <c r="Q69">
        <f>'1_Maximum'!N69</f>
        <v>0.1</v>
      </c>
      <c r="R69">
        <f>'5_Maximum'!N69</f>
        <v>0.1</v>
      </c>
      <c r="S69">
        <v>0.2</v>
      </c>
      <c r="T69">
        <v>0</v>
      </c>
    </row>
    <row r="70" spans="1:20">
      <c r="A70" s="9">
        <f>'1_Operational'!C70</f>
        <v>50.83</v>
      </c>
      <c r="B70">
        <f>'5_Operational'!C70</f>
        <v>50.83</v>
      </c>
      <c r="C70">
        <f>'1_Operational'!D70</f>
        <v>1311.7950000000001</v>
      </c>
      <c r="D70">
        <f>'5_Operational'!D70</f>
        <v>1312.193</v>
      </c>
      <c r="E70" s="2">
        <f>'1_Maximum'!C70</f>
        <v>19.149999999999999</v>
      </c>
      <c r="F70">
        <f>'1_Maximum'!D70</f>
        <v>1309.9749999999999</v>
      </c>
      <c r="G70">
        <f>'5_Maximum'!D70</f>
        <v>1309.778</v>
      </c>
      <c r="H70">
        <f>'1_Operational'!F70</f>
        <v>270.95999999999998</v>
      </c>
      <c r="I70">
        <f>'5_Operational'!J70</f>
        <v>399</v>
      </c>
      <c r="J70">
        <f>'1_Maximum'!F70:F163</f>
        <v>399</v>
      </c>
      <c r="K70" s="7">
        <f>'1_Operational'!E70</f>
        <v>2.02</v>
      </c>
      <c r="L70">
        <f>'5_Operational'!E70</f>
        <v>0.17</v>
      </c>
      <c r="M70">
        <f>'1_Maximum'!E70</f>
        <v>7.47</v>
      </c>
      <c r="N70">
        <f>'5_Maximum'!E70</f>
        <v>9.82</v>
      </c>
      <c r="O70" s="6">
        <f>'1_Operational'!N70</f>
        <v>0.11</v>
      </c>
      <c r="P70">
        <f>'5_Operational'!N70</f>
        <v>0.13</v>
      </c>
      <c r="Q70">
        <f>'1_Maximum'!N70</f>
        <v>0.1</v>
      </c>
      <c r="R70">
        <f>'5_Maximum'!N70</f>
        <v>0.09</v>
      </c>
      <c r="S70">
        <v>0.2</v>
      </c>
      <c r="T70">
        <v>0</v>
      </c>
    </row>
    <row r="71" spans="1:20">
      <c r="A71" s="9">
        <f>'1_Operational'!C71</f>
        <v>51.56</v>
      </c>
      <c r="B71">
        <f>'5_Operational'!C71</f>
        <v>51.56</v>
      </c>
      <c r="C71">
        <f>'1_Operational'!D71</f>
        <v>1311.8810000000001</v>
      </c>
      <c r="D71">
        <f>'5_Operational'!D71</f>
        <v>1312.296</v>
      </c>
      <c r="E71" s="2">
        <f>'1_Maximum'!C71</f>
        <v>18.420000000000002</v>
      </c>
      <c r="F71">
        <f>'1_Maximum'!D71</f>
        <v>1309.903</v>
      </c>
      <c r="G71">
        <f>'5_Maximum'!D71</f>
        <v>1309.7070000000001</v>
      </c>
      <c r="H71">
        <f>'1_Operational'!F71</f>
        <v>274.60000000000002</v>
      </c>
      <c r="I71">
        <f>'5_Operational'!J71</f>
        <v>399</v>
      </c>
      <c r="J71">
        <f>'1_Maximum'!F71:F164</f>
        <v>399</v>
      </c>
      <c r="K71" s="7">
        <f>'1_Operational'!E71</f>
        <v>2.02</v>
      </c>
      <c r="L71">
        <f>'5_Operational'!E71</f>
        <v>0.19</v>
      </c>
      <c r="M71">
        <f>'1_Maximum'!E71</f>
        <v>7.49</v>
      </c>
      <c r="N71">
        <f>'5_Maximum'!E71</f>
        <v>9.86</v>
      </c>
      <c r="O71" s="6">
        <f>'1_Operational'!N71</f>
        <v>0.12</v>
      </c>
      <c r="P71">
        <f>'5_Operational'!N71</f>
        <v>0.14000000000000001</v>
      </c>
      <c r="Q71">
        <f>'1_Maximum'!N71</f>
        <v>0.1</v>
      </c>
      <c r="R71">
        <f>'5_Maximum'!N71</f>
        <v>0.1</v>
      </c>
      <c r="S71">
        <v>0.2</v>
      </c>
      <c r="T71">
        <v>0</v>
      </c>
    </row>
    <row r="72" spans="1:20">
      <c r="A72" s="9">
        <f>'1_Operational'!C72</f>
        <v>52.32</v>
      </c>
      <c r="B72">
        <f>'5_Operational'!C72</f>
        <v>52.32</v>
      </c>
      <c r="C72">
        <f>'1_Operational'!D72</f>
        <v>1311.9649999999999</v>
      </c>
      <c r="D72">
        <f>'5_Operational'!D72</f>
        <v>1312.376</v>
      </c>
      <c r="E72" s="2">
        <f>'1_Maximum'!C72</f>
        <v>17.66</v>
      </c>
      <c r="F72">
        <f>'1_Maximum'!D72</f>
        <v>1309.8389999999999</v>
      </c>
      <c r="G72">
        <f>'5_Maximum'!D72</f>
        <v>1309.6289999999999</v>
      </c>
      <c r="H72">
        <f>'1_Operational'!F72</f>
        <v>278.24</v>
      </c>
      <c r="I72">
        <f>'5_Operational'!J72</f>
        <v>399</v>
      </c>
      <c r="J72">
        <f>'1_Maximum'!F72:F165</f>
        <v>399</v>
      </c>
      <c r="K72" s="7">
        <f>'1_Operational'!E72</f>
        <v>1.94</v>
      </c>
      <c r="L72">
        <f>'5_Operational'!E72</f>
        <v>0.23</v>
      </c>
      <c r="M72">
        <f>'1_Maximum'!E72</f>
        <v>7.45</v>
      </c>
      <c r="N72">
        <f>'5_Maximum'!E72</f>
        <v>9.93</v>
      </c>
      <c r="O72" s="6">
        <f>'1_Operational'!N72</f>
        <v>0.11</v>
      </c>
      <c r="P72">
        <f>'5_Operational'!N72</f>
        <v>0.11</v>
      </c>
      <c r="Q72">
        <f>'1_Maximum'!N72</f>
        <v>0.08</v>
      </c>
      <c r="R72">
        <f>'5_Maximum'!N72</f>
        <v>0.1</v>
      </c>
      <c r="S72">
        <v>0.2</v>
      </c>
      <c r="T72">
        <v>0</v>
      </c>
    </row>
    <row r="73" spans="1:20">
      <c r="A73" s="9">
        <f>'1_Operational'!C73</f>
        <v>53.09</v>
      </c>
      <c r="B73">
        <f>'5_Operational'!C73</f>
        <v>53.09</v>
      </c>
      <c r="C73">
        <f>'1_Operational'!D73</f>
        <v>1312.0530000000001</v>
      </c>
      <c r="D73">
        <f>'5_Operational'!D73</f>
        <v>1312.4490000000001</v>
      </c>
      <c r="E73" s="2">
        <f>'1_Maximum'!C73</f>
        <v>16.920000000000002</v>
      </c>
      <c r="F73">
        <f>'1_Maximum'!D73</f>
        <v>1309.761</v>
      </c>
      <c r="G73">
        <f>'5_Maximum'!D73</f>
        <v>1309.5630000000001</v>
      </c>
      <c r="H73">
        <f>'1_Operational'!F73</f>
        <v>282.04000000000002</v>
      </c>
      <c r="I73">
        <f>'5_Operational'!J73</f>
        <v>399</v>
      </c>
      <c r="J73">
        <f>'1_Maximum'!F73:F166</f>
        <v>399</v>
      </c>
      <c r="K73" s="7">
        <f>'1_Operational'!E73</f>
        <v>1.91</v>
      </c>
      <c r="L73">
        <f>'5_Operational'!E73</f>
        <v>0.16</v>
      </c>
      <c r="M73">
        <f>'1_Maximum'!E73</f>
        <v>7.39</v>
      </c>
      <c r="N73">
        <f>'5_Maximum'!E73</f>
        <v>9.8699999999999992</v>
      </c>
      <c r="O73" s="6">
        <f>'1_Operational'!N73</f>
        <v>0.11</v>
      </c>
      <c r="P73">
        <f>'5_Operational'!N73</f>
        <v>0.09</v>
      </c>
      <c r="Q73">
        <f>'1_Maximum'!N73</f>
        <v>0.11</v>
      </c>
      <c r="R73">
        <f>'5_Maximum'!N73</f>
        <v>0.09</v>
      </c>
      <c r="S73">
        <v>0.2</v>
      </c>
      <c r="T73">
        <v>0</v>
      </c>
    </row>
    <row r="74" spans="1:20">
      <c r="A74" s="9">
        <f>'1_Operational'!C74</f>
        <v>53.84</v>
      </c>
      <c r="B74">
        <f>'5_Operational'!C74</f>
        <v>53.84</v>
      </c>
      <c r="C74">
        <f>'1_Operational'!D74</f>
        <v>1312.1420000000001</v>
      </c>
      <c r="D74">
        <f>'5_Operational'!D74</f>
        <v>1312.5239999999999</v>
      </c>
      <c r="E74" s="2">
        <f>'1_Maximum'!C74</f>
        <v>16.149999999999999</v>
      </c>
      <c r="F74">
        <f>'1_Maximum'!D74</f>
        <v>1309.69</v>
      </c>
      <c r="G74">
        <f>'5_Maximum'!D74</f>
        <v>1309.492</v>
      </c>
      <c r="H74">
        <f>'1_Operational'!F74</f>
        <v>285.95999999999998</v>
      </c>
      <c r="I74">
        <f>'5_Operational'!J74</f>
        <v>399</v>
      </c>
      <c r="J74">
        <f>'1_Maximum'!F74:F167</f>
        <v>399</v>
      </c>
      <c r="K74" s="7">
        <f>'1_Operational'!E74</f>
        <v>1.8</v>
      </c>
      <c r="L74">
        <f>'5_Operational'!E74</f>
        <v>0.14000000000000001</v>
      </c>
      <c r="M74">
        <f>'1_Maximum'!E74</f>
        <v>7.47</v>
      </c>
      <c r="N74">
        <f>'5_Maximum'!E74</f>
        <v>9.89</v>
      </c>
      <c r="O74" s="6">
        <f>'1_Operational'!N74</f>
        <v>0.12</v>
      </c>
      <c r="P74">
        <f>'5_Operational'!N74</f>
        <v>0.1</v>
      </c>
      <c r="Q74">
        <f>'1_Maximum'!N74</f>
        <v>0.09</v>
      </c>
      <c r="R74">
        <f>'5_Maximum'!N74</f>
        <v>0.09</v>
      </c>
      <c r="S74">
        <v>0.2</v>
      </c>
      <c r="T74">
        <v>0</v>
      </c>
    </row>
    <row r="75" spans="1:20">
      <c r="A75" s="9">
        <f>'1_Operational'!C75</f>
        <v>54.6</v>
      </c>
      <c r="B75">
        <f>'5_Operational'!C75</f>
        <v>54.6</v>
      </c>
      <c r="C75">
        <f>'1_Operational'!D75</f>
        <v>1312.229</v>
      </c>
      <c r="D75">
        <f>'5_Operational'!D75</f>
        <v>1312.597</v>
      </c>
      <c r="E75" s="2">
        <f>'1_Maximum'!C75</f>
        <v>15.42</v>
      </c>
      <c r="F75">
        <f>'1_Maximum'!D75</f>
        <v>1309.6199999999999</v>
      </c>
      <c r="G75">
        <f>'5_Maximum'!D75</f>
        <v>1309.421</v>
      </c>
      <c r="H75">
        <f>'1_Operational'!F75</f>
        <v>290.16000000000003</v>
      </c>
      <c r="I75">
        <f>'5_Operational'!J75</f>
        <v>399</v>
      </c>
      <c r="J75">
        <f>'1_Maximum'!F75:F168</f>
        <v>399</v>
      </c>
      <c r="K75" s="7">
        <f>'1_Operational'!E75</f>
        <v>1.7</v>
      </c>
      <c r="L75">
        <f>'5_Operational'!E75</f>
        <v>-0.04</v>
      </c>
      <c r="M75">
        <f>'1_Maximum'!E75</f>
        <v>7.53</v>
      </c>
      <c r="N75">
        <f>'5_Maximum'!E75</f>
        <v>9.84</v>
      </c>
      <c r="O75" s="6">
        <f>'1_Operational'!N75</f>
        <v>0.11</v>
      </c>
      <c r="P75">
        <f>'5_Operational'!N75</f>
        <v>0.1</v>
      </c>
      <c r="Q75">
        <f>'1_Maximum'!N75</f>
        <v>0.1</v>
      </c>
      <c r="R75">
        <f>'5_Maximum'!N75</f>
        <v>0.1</v>
      </c>
      <c r="S75">
        <v>0.2</v>
      </c>
      <c r="T75">
        <v>0</v>
      </c>
    </row>
    <row r="76" spans="1:20">
      <c r="A76" s="9">
        <f>'1_Operational'!C76</f>
        <v>55.33</v>
      </c>
      <c r="B76">
        <f>'5_Operational'!C76</f>
        <v>55.33</v>
      </c>
      <c r="C76">
        <f>'1_Operational'!D76</f>
        <v>1312.32</v>
      </c>
      <c r="D76">
        <f>'5_Operational'!D76</f>
        <v>1312.671</v>
      </c>
      <c r="E76" s="2">
        <f>'1_Maximum'!C76</f>
        <v>14.67</v>
      </c>
      <c r="F76">
        <f>'1_Maximum'!D76</f>
        <v>1309.5550000000001</v>
      </c>
      <c r="G76">
        <f>'5_Maximum'!D76</f>
        <v>1309.3430000000001</v>
      </c>
      <c r="H76">
        <f>'1_Operational'!F76</f>
        <v>294.64</v>
      </c>
      <c r="I76">
        <f>'5_Operational'!J76</f>
        <v>399</v>
      </c>
      <c r="J76">
        <f>'1_Maximum'!F76:F169</f>
        <v>399</v>
      </c>
      <c r="K76" s="7">
        <f>'1_Operational'!E76</f>
        <v>1.67</v>
      </c>
      <c r="L76">
        <f>'5_Operational'!E76</f>
        <v>-0.13</v>
      </c>
      <c r="M76">
        <f>'1_Maximum'!E76</f>
        <v>7.56</v>
      </c>
      <c r="N76">
        <f>'5_Maximum'!E76</f>
        <v>9.93</v>
      </c>
      <c r="O76" s="6">
        <f>'1_Operational'!N76</f>
        <v>0.12</v>
      </c>
      <c r="P76">
        <f>'5_Operational'!N76</f>
        <v>0.1</v>
      </c>
      <c r="Q76">
        <f>'1_Maximum'!N76</f>
        <v>0.09</v>
      </c>
      <c r="R76">
        <f>'5_Maximum'!N76</f>
        <v>0.1</v>
      </c>
      <c r="S76">
        <v>0.2</v>
      </c>
      <c r="T76">
        <v>0</v>
      </c>
    </row>
    <row r="77" spans="1:20">
      <c r="A77" s="9">
        <f>'1_Operational'!C77</f>
        <v>56.08</v>
      </c>
      <c r="B77">
        <f>'5_Operational'!C77</f>
        <v>56.08</v>
      </c>
      <c r="C77">
        <f>'1_Operational'!D77</f>
        <v>1312.4</v>
      </c>
      <c r="D77">
        <f>'5_Operational'!D77</f>
        <v>1312.752</v>
      </c>
      <c r="E77" s="2">
        <f>'1_Maximum'!C77</f>
        <v>13.9</v>
      </c>
      <c r="F77">
        <f>'1_Maximum'!D77</f>
        <v>1309.4839999999999</v>
      </c>
      <c r="G77">
        <f>'5_Maximum'!D77</f>
        <v>1309.271</v>
      </c>
      <c r="H77">
        <f>'1_Operational'!F77</f>
        <v>299.12</v>
      </c>
      <c r="I77">
        <f>'5_Operational'!J77</f>
        <v>399</v>
      </c>
      <c r="J77">
        <f>'1_Maximum'!F77:F170</f>
        <v>399</v>
      </c>
      <c r="K77" s="7">
        <f>'1_Operational'!E77</f>
        <v>1.52</v>
      </c>
      <c r="L77">
        <f>'5_Operational'!E77</f>
        <v>-0.15</v>
      </c>
      <c r="M77">
        <f>'1_Maximum'!E77</f>
        <v>7.58</v>
      </c>
      <c r="N77">
        <f>'5_Maximum'!E77</f>
        <v>9.94</v>
      </c>
      <c r="O77" s="6">
        <f>'1_Operational'!N77</f>
        <v>0.11</v>
      </c>
      <c r="P77">
        <f>'5_Operational'!N77</f>
        <v>0.11</v>
      </c>
      <c r="Q77">
        <f>'1_Maximum'!N77</f>
        <v>0.09</v>
      </c>
      <c r="R77">
        <f>'5_Maximum'!N77</f>
        <v>0.09</v>
      </c>
      <c r="S77">
        <v>0.2</v>
      </c>
      <c r="T77">
        <v>0</v>
      </c>
    </row>
    <row r="78" spans="1:20">
      <c r="A78" s="9">
        <f>'1_Operational'!C78</f>
        <v>56.82</v>
      </c>
      <c r="B78">
        <f>'5_Operational'!C78</f>
        <v>56.82</v>
      </c>
      <c r="C78">
        <f>'1_Operational'!D78</f>
        <v>1312.5029999999999</v>
      </c>
      <c r="D78">
        <f>'5_Operational'!D78</f>
        <v>1312.819</v>
      </c>
      <c r="E78" s="2">
        <f>'1_Maximum'!C78</f>
        <v>13.17</v>
      </c>
      <c r="F78">
        <f>'1_Maximum'!D78</f>
        <v>1309.414</v>
      </c>
      <c r="G78">
        <f>'5_Maximum'!D78</f>
        <v>1309.1990000000001</v>
      </c>
      <c r="H78">
        <f>'1_Operational'!F78</f>
        <v>304.27999999999997</v>
      </c>
      <c r="I78">
        <f>'5_Operational'!J78</f>
        <v>399</v>
      </c>
      <c r="J78">
        <f>'1_Maximum'!F78:F171</f>
        <v>399</v>
      </c>
      <c r="K78" s="7">
        <f>'1_Operational'!E78</f>
        <v>1.45</v>
      </c>
      <c r="L78">
        <f>'5_Operational'!E78</f>
        <v>-0.23</v>
      </c>
      <c r="M78">
        <f>'1_Maximum'!E78</f>
        <v>7.55</v>
      </c>
      <c r="N78">
        <f>'5_Maximum'!E78</f>
        <v>9.9499999999999993</v>
      </c>
      <c r="O78" s="6">
        <f>'1_Operational'!N78</f>
        <v>0.14000000000000001</v>
      </c>
      <c r="P78">
        <f>'5_Operational'!N78</f>
        <v>0.09</v>
      </c>
      <c r="Q78">
        <f>'1_Maximum'!N78</f>
        <v>0.1</v>
      </c>
      <c r="R78">
        <f>'5_Maximum'!N78</f>
        <v>0.1</v>
      </c>
      <c r="S78">
        <v>0.2</v>
      </c>
      <c r="T78">
        <v>0</v>
      </c>
    </row>
    <row r="79" spans="1:20">
      <c r="A79" s="9">
        <f>'1_Operational'!C79</f>
        <v>57.57</v>
      </c>
      <c r="B79">
        <f>'5_Operational'!C79</f>
        <v>57.57</v>
      </c>
      <c r="C79">
        <f>'1_Operational'!D79</f>
        <v>1312.598</v>
      </c>
      <c r="D79">
        <f>'5_Operational'!D79</f>
        <v>1312.893</v>
      </c>
      <c r="E79" s="2">
        <f>'1_Maximum'!C79</f>
        <v>12.41</v>
      </c>
      <c r="F79">
        <f>'1_Maximum'!D79</f>
        <v>1309.337</v>
      </c>
      <c r="G79">
        <f>'5_Maximum'!D79</f>
        <v>1309.135</v>
      </c>
      <c r="H79">
        <f>'1_Operational'!F79</f>
        <v>309.36</v>
      </c>
      <c r="I79">
        <f>'5_Operational'!J79</f>
        <v>399</v>
      </c>
      <c r="J79">
        <f>'1_Maximum'!F79:F172</f>
        <v>399</v>
      </c>
      <c r="K79" s="7">
        <f>'1_Operational'!E79</f>
        <v>1.4</v>
      </c>
      <c r="L79">
        <f>'5_Operational'!E79</f>
        <v>-0.46</v>
      </c>
      <c r="M79">
        <f>'1_Maximum'!E79</f>
        <v>7.55</v>
      </c>
      <c r="N79">
        <f>'5_Maximum'!E79</f>
        <v>9.86</v>
      </c>
      <c r="O79" s="6">
        <f>'1_Operational'!N79</f>
        <v>0.13</v>
      </c>
      <c r="P79">
        <f>'5_Operational'!N79</f>
        <v>0.1</v>
      </c>
      <c r="Q79">
        <f>'1_Maximum'!N79</f>
        <v>0.1</v>
      </c>
      <c r="R79">
        <f>'5_Maximum'!N79</f>
        <v>0.08</v>
      </c>
      <c r="S79">
        <v>0.2</v>
      </c>
      <c r="T79">
        <v>0</v>
      </c>
    </row>
    <row r="80" spans="1:20">
      <c r="A80" s="9">
        <f>'1_Operational'!C80</f>
        <v>58.3</v>
      </c>
      <c r="B80">
        <f>'5_Operational'!C80</f>
        <v>58.3</v>
      </c>
      <c r="C80">
        <f>'1_Operational'!D80</f>
        <v>1312.693</v>
      </c>
      <c r="D80">
        <f>'5_Operational'!D80</f>
        <v>1312.9659999999999</v>
      </c>
      <c r="E80" s="2">
        <f>'1_Maximum'!C80</f>
        <v>11.69</v>
      </c>
      <c r="F80">
        <f>'1_Maximum'!D80</f>
        <v>1309.2670000000001</v>
      </c>
      <c r="G80">
        <f>'5_Maximum'!D80</f>
        <v>1309.0650000000001</v>
      </c>
      <c r="H80">
        <f>'1_Operational'!F80</f>
        <v>314.88</v>
      </c>
      <c r="I80">
        <f>'5_Operational'!J80</f>
        <v>399</v>
      </c>
      <c r="J80">
        <f>'1_Maximum'!F80:F173</f>
        <v>399</v>
      </c>
      <c r="K80" s="7">
        <f>'1_Operational'!E80</f>
        <v>1.33</v>
      </c>
      <c r="L80">
        <f>'5_Operational'!E80</f>
        <v>-0.5</v>
      </c>
      <c r="M80">
        <f>'1_Maximum'!E80</f>
        <v>7.57</v>
      </c>
      <c r="N80">
        <f>'5_Maximum'!E80</f>
        <v>9.8800000000000008</v>
      </c>
      <c r="O80" s="6">
        <f>'1_Operational'!N80</f>
        <v>0.13</v>
      </c>
      <c r="P80">
        <f>'5_Operational'!N80</f>
        <v>0.1</v>
      </c>
      <c r="Q80">
        <f>'1_Maximum'!N80</f>
        <v>0.1</v>
      </c>
      <c r="R80">
        <f>'5_Maximum'!N80</f>
        <v>0.1</v>
      </c>
      <c r="S80">
        <v>0.2</v>
      </c>
      <c r="T80">
        <v>0</v>
      </c>
    </row>
    <row r="81" spans="1:20">
      <c r="A81" s="9">
        <f>'1_Operational'!C81</f>
        <v>59.05</v>
      </c>
      <c r="B81">
        <f>'5_Operational'!C81</f>
        <v>59.05</v>
      </c>
      <c r="C81">
        <f>'1_Operational'!D81</f>
        <v>1312.7829999999999</v>
      </c>
      <c r="D81">
        <f>'5_Operational'!D81</f>
        <v>1313.047</v>
      </c>
      <c r="E81" s="2">
        <f>'1_Maximum'!C81</f>
        <v>10.94</v>
      </c>
      <c r="F81">
        <f>'1_Maximum'!D81</f>
        <v>1309.1969999999999</v>
      </c>
      <c r="G81">
        <f>'5_Maximum'!D81</f>
        <v>1308.9949999999999</v>
      </c>
      <c r="H81">
        <f>'1_Operational'!F81</f>
        <v>320.88</v>
      </c>
      <c r="I81">
        <f>'5_Operational'!J81</f>
        <v>399</v>
      </c>
      <c r="J81">
        <f>'1_Maximum'!F81:F174</f>
        <v>399</v>
      </c>
      <c r="K81" s="7">
        <f>'1_Operational'!E81</f>
        <v>1.28</v>
      </c>
      <c r="L81">
        <f>'5_Operational'!E81</f>
        <v>-0.54</v>
      </c>
      <c r="M81">
        <f>'1_Maximum'!E81</f>
        <v>7.59</v>
      </c>
      <c r="N81">
        <f>'5_Maximum'!E81</f>
        <v>9.83</v>
      </c>
      <c r="O81" s="6">
        <f>'1_Operational'!N81</f>
        <v>0.12</v>
      </c>
      <c r="P81">
        <f>'5_Operational'!N81</f>
        <v>0.11</v>
      </c>
      <c r="Q81">
        <f>'1_Maximum'!N81</f>
        <v>0.09</v>
      </c>
      <c r="R81">
        <f>'5_Maximum'!N81</f>
        <v>0.09</v>
      </c>
      <c r="S81">
        <v>0.2</v>
      </c>
      <c r="T81">
        <v>0</v>
      </c>
    </row>
    <row r="82" spans="1:20">
      <c r="A82" s="9">
        <f>'1_Operational'!C82</f>
        <v>59.81</v>
      </c>
      <c r="B82">
        <f>'5_Operational'!C82</f>
        <v>59.81</v>
      </c>
      <c r="C82">
        <f>'1_Operational'!D82</f>
        <v>1312.8910000000001</v>
      </c>
      <c r="D82">
        <f>'5_Operational'!D82</f>
        <v>1313.114</v>
      </c>
      <c r="E82" s="2">
        <f>'1_Maximum'!C82</f>
        <v>10.210000000000001</v>
      </c>
      <c r="F82">
        <f>'1_Maximum'!D82</f>
        <v>1309.126</v>
      </c>
      <c r="G82">
        <f>'5_Maximum'!D82</f>
        <v>1308.924</v>
      </c>
      <c r="H82">
        <f>'1_Operational'!F82</f>
        <v>326.83999999999997</v>
      </c>
      <c r="I82">
        <f>'5_Operational'!J82</f>
        <v>399</v>
      </c>
      <c r="J82">
        <f>'1_Maximum'!F82:F175</f>
        <v>399</v>
      </c>
      <c r="K82" s="7">
        <f>'1_Operational'!E82</f>
        <v>1.0900000000000001</v>
      </c>
      <c r="L82">
        <f>'5_Operational'!E82</f>
        <v>-0.56999999999999995</v>
      </c>
      <c r="M82">
        <f>'1_Maximum'!E82</f>
        <v>7.58</v>
      </c>
      <c r="N82">
        <f>'5_Maximum'!E82</f>
        <v>9.86</v>
      </c>
      <c r="O82" s="6">
        <f>'1_Operational'!N82</f>
        <v>0.14000000000000001</v>
      </c>
      <c r="P82">
        <f>'5_Operational'!N82</f>
        <v>0.09</v>
      </c>
      <c r="Q82">
        <f>'1_Maximum'!N82</f>
        <v>0.1</v>
      </c>
      <c r="R82">
        <f>'5_Maximum'!N82</f>
        <v>0.1</v>
      </c>
      <c r="S82">
        <v>0.2</v>
      </c>
      <c r="T82">
        <v>0</v>
      </c>
    </row>
    <row r="83" spans="1:20">
      <c r="A83" s="9">
        <f>'1_Operational'!C83</f>
        <v>60.55</v>
      </c>
      <c r="B83">
        <f>'5_Operational'!C83</f>
        <v>60.55</v>
      </c>
      <c r="C83">
        <f>'1_Operational'!D83</f>
        <v>1312.9839999999999</v>
      </c>
      <c r="D83">
        <f>'5_Operational'!D83</f>
        <v>1313.1949999999999</v>
      </c>
      <c r="E83" s="2">
        <f>'1_Maximum'!C83</f>
        <v>9.4499999999999993</v>
      </c>
      <c r="F83">
        <f>'1_Maximum'!D83</f>
        <v>1309.056</v>
      </c>
      <c r="G83">
        <f>'5_Maximum'!D83</f>
        <v>1308.854</v>
      </c>
      <c r="H83">
        <f>'1_Operational'!F83</f>
        <v>333.64</v>
      </c>
      <c r="I83">
        <f>'5_Operational'!J83</f>
        <v>399</v>
      </c>
      <c r="J83">
        <f>'1_Maximum'!F83:F176</f>
        <v>399</v>
      </c>
      <c r="K83" s="7">
        <f>'1_Operational'!E83</f>
        <v>1.06</v>
      </c>
      <c r="L83">
        <f>'5_Operational'!E83</f>
        <v>-0.68</v>
      </c>
      <c r="M83">
        <f>'1_Maximum'!E83</f>
        <v>7.71</v>
      </c>
      <c r="N83">
        <f>'5_Maximum'!E83</f>
        <v>9.7899999999999991</v>
      </c>
      <c r="O83" s="6">
        <f>'1_Operational'!N83</f>
        <v>0.13</v>
      </c>
      <c r="P83">
        <f>'5_Operational'!N83</f>
        <v>0.11</v>
      </c>
      <c r="Q83">
        <f>'1_Maximum'!N83</f>
        <v>0.09</v>
      </c>
      <c r="R83">
        <f>'5_Maximum'!N83</f>
        <v>0.09</v>
      </c>
      <c r="S83">
        <v>0.2</v>
      </c>
      <c r="T83">
        <v>0</v>
      </c>
    </row>
    <row r="84" spans="1:20">
      <c r="A84" s="9">
        <f>'1_Operational'!C84</f>
        <v>61.3</v>
      </c>
      <c r="B84">
        <f>'5_Operational'!C84</f>
        <v>61.3</v>
      </c>
      <c r="C84">
        <f>'1_Operational'!D84</f>
        <v>1313.097</v>
      </c>
      <c r="D84">
        <f>'5_Operational'!D84</f>
        <v>1313.2629999999999</v>
      </c>
      <c r="E84" s="2">
        <f>'1_Maximum'!C84</f>
        <v>8.7200000000000006</v>
      </c>
      <c r="F84">
        <f>'1_Maximum'!D84</f>
        <v>1308.9849999999999</v>
      </c>
      <c r="G84">
        <f>'5_Maximum'!D84</f>
        <v>1308.7829999999999</v>
      </c>
      <c r="H84">
        <f>'1_Operational'!F84</f>
        <v>340.76</v>
      </c>
      <c r="I84">
        <f>'5_Operational'!J84</f>
        <v>399</v>
      </c>
      <c r="J84">
        <f>'1_Maximum'!F84:F177</f>
        <v>399</v>
      </c>
      <c r="K84" s="7">
        <f>'1_Operational'!E84</f>
        <v>0.98</v>
      </c>
      <c r="L84">
        <f>'5_Operational'!E84</f>
        <v>-0.7</v>
      </c>
      <c r="M84">
        <f>'1_Maximum'!E84</f>
        <v>7.58</v>
      </c>
      <c r="N84">
        <f>'5_Maximum'!E84</f>
        <v>9.82</v>
      </c>
      <c r="O84" s="6">
        <f>'1_Operational'!N84</f>
        <v>0.15</v>
      </c>
      <c r="P84">
        <f>'5_Operational'!N84</f>
        <v>0.09</v>
      </c>
      <c r="Q84">
        <f>'1_Maximum'!N84</f>
        <v>0.1</v>
      </c>
      <c r="R84">
        <f>'5_Maximum'!N84</f>
        <v>0.1</v>
      </c>
      <c r="S84">
        <v>0.2</v>
      </c>
      <c r="T84">
        <v>0</v>
      </c>
    </row>
    <row r="85" spans="1:20">
      <c r="A85" s="9">
        <f>'1_Operational'!C85</f>
        <v>62.03</v>
      </c>
      <c r="B85">
        <f>'5_Operational'!C85</f>
        <v>62.03</v>
      </c>
      <c r="C85">
        <f>'1_Operational'!D85</f>
        <v>1313.2059999999999</v>
      </c>
      <c r="D85">
        <f>'5_Operational'!D85</f>
        <v>1313.337</v>
      </c>
      <c r="E85" s="2">
        <f>'1_Maximum'!C85</f>
        <v>7.97</v>
      </c>
      <c r="F85">
        <f>'1_Maximum'!D85</f>
        <v>1308.914</v>
      </c>
      <c r="G85">
        <f>'5_Maximum'!D85</f>
        <v>1308.713</v>
      </c>
      <c r="H85">
        <f>'1_Operational'!F85</f>
        <v>348.56</v>
      </c>
      <c r="I85">
        <f>'5_Operational'!J85</f>
        <v>399</v>
      </c>
      <c r="J85">
        <f>'1_Maximum'!F85:F178</f>
        <v>399</v>
      </c>
      <c r="K85" s="7">
        <f>'1_Operational'!E85</f>
        <v>0.94</v>
      </c>
      <c r="L85">
        <f>'5_Operational'!E85</f>
        <v>-0.73</v>
      </c>
      <c r="M85">
        <f>'1_Maximum'!E85</f>
        <v>7.59</v>
      </c>
      <c r="N85">
        <f>'5_Maximum'!E85</f>
        <v>9.7200000000000006</v>
      </c>
      <c r="O85" s="6">
        <f>'1_Operational'!N85</f>
        <v>0.15</v>
      </c>
      <c r="P85">
        <f>'5_Operational'!N85</f>
        <v>0.1</v>
      </c>
      <c r="Q85">
        <f>'1_Maximum'!N85</f>
        <v>0.09</v>
      </c>
      <c r="R85">
        <f>'5_Maximum'!N85</f>
        <v>0.09</v>
      </c>
      <c r="S85">
        <v>0.2</v>
      </c>
      <c r="T85">
        <v>0</v>
      </c>
    </row>
    <row r="86" spans="1:20">
      <c r="A86" s="9">
        <f>'1_Operational'!C86</f>
        <v>62.78</v>
      </c>
      <c r="B86">
        <f>'5_Operational'!C86</f>
        <v>62.78</v>
      </c>
      <c r="C86">
        <f>'1_Operational'!D86</f>
        <v>1313.32</v>
      </c>
      <c r="D86">
        <f>'5_Operational'!D86</f>
        <v>1313.413</v>
      </c>
      <c r="E86" s="2">
        <f>'1_Maximum'!C86</f>
        <v>7.21</v>
      </c>
      <c r="F86">
        <f>'1_Maximum'!D86</f>
        <v>1308.8440000000001</v>
      </c>
      <c r="G86">
        <f>'5_Maximum'!D86</f>
        <v>1308.6420000000001</v>
      </c>
      <c r="H86">
        <f>'1_Operational'!F86</f>
        <v>356.36</v>
      </c>
      <c r="I86">
        <f>'5_Operational'!J86</f>
        <v>399</v>
      </c>
      <c r="J86">
        <f>'1_Maximum'!F86:F179</f>
        <v>399</v>
      </c>
      <c r="K86" s="7">
        <f>'1_Operational'!E86</f>
        <v>0.81</v>
      </c>
      <c r="L86">
        <f>'5_Operational'!E86</f>
        <v>-0.96</v>
      </c>
      <c r="M86">
        <f>'1_Maximum'!E86</f>
        <v>7.59</v>
      </c>
      <c r="N86">
        <f>'5_Maximum'!E86</f>
        <v>9.67</v>
      </c>
      <c r="O86" s="6">
        <f>'1_Operational'!N86</f>
        <v>0.15</v>
      </c>
      <c r="P86">
        <f>'5_Operational'!N86</f>
        <v>0.1</v>
      </c>
      <c r="Q86">
        <f>'1_Maximum'!N86</f>
        <v>0.09</v>
      </c>
      <c r="R86">
        <f>'5_Maximum'!N86</f>
        <v>0.09</v>
      </c>
      <c r="S86">
        <v>0.2</v>
      </c>
      <c r="T86">
        <v>0</v>
      </c>
    </row>
    <row r="87" spans="1:20">
      <c r="A87" s="9">
        <f>'1_Operational'!C87</f>
        <v>63.53</v>
      </c>
      <c r="B87">
        <f>'5_Operational'!C87</f>
        <v>63.53</v>
      </c>
      <c r="C87">
        <f>'1_Operational'!D87</f>
        <v>1313.434</v>
      </c>
      <c r="D87">
        <f>'5_Operational'!D87</f>
        <v>1313.4880000000001</v>
      </c>
      <c r="E87" s="2">
        <f>'1_Maximum'!C87</f>
        <v>6.48</v>
      </c>
      <c r="F87">
        <f>'1_Maximum'!D87</f>
        <v>1308.7809999999999</v>
      </c>
      <c r="G87">
        <f>'5_Maximum'!D87</f>
        <v>1308.567</v>
      </c>
      <c r="H87">
        <f>'1_Operational'!F87</f>
        <v>364.56</v>
      </c>
      <c r="I87">
        <f>'5_Operational'!J87</f>
        <v>399</v>
      </c>
      <c r="J87">
        <f>'1_Maximum'!F87:F180</f>
        <v>399</v>
      </c>
      <c r="K87" s="7">
        <f>'1_Operational'!E87</f>
        <v>0.79</v>
      </c>
      <c r="L87">
        <f>'5_Operational'!E87</f>
        <v>-1.0900000000000001</v>
      </c>
      <c r="M87">
        <f>'1_Maximum'!E87</f>
        <v>7.54</v>
      </c>
      <c r="N87">
        <f>'5_Maximum'!E87</f>
        <v>9.6</v>
      </c>
      <c r="O87" s="6">
        <f>'1_Operational'!N87</f>
        <v>0.15</v>
      </c>
      <c r="P87">
        <f>'5_Operational'!N87</f>
        <v>0.1</v>
      </c>
      <c r="Q87">
        <f>'1_Maximum'!N87</f>
        <v>0.09</v>
      </c>
      <c r="R87">
        <f>'5_Maximum'!N87</f>
        <v>0.1</v>
      </c>
      <c r="S87">
        <v>0.2</v>
      </c>
      <c r="T87">
        <v>0</v>
      </c>
    </row>
    <row r="88" spans="1:20">
      <c r="A88" s="9">
        <f>'1_Operational'!C88</f>
        <v>64.28</v>
      </c>
      <c r="B88">
        <f>'5_Operational'!C88</f>
        <v>64.28</v>
      </c>
      <c r="C88">
        <f>'1_Operational'!D88</f>
        <v>1313.539</v>
      </c>
      <c r="D88">
        <f>'5_Operational'!D88</f>
        <v>1313.5719999999999</v>
      </c>
      <c r="E88" s="2">
        <f>'1_Maximum'!C88</f>
        <v>5.73</v>
      </c>
      <c r="F88">
        <f>'1_Maximum'!D88</f>
        <v>1308.712</v>
      </c>
      <c r="G88">
        <f>'5_Maximum'!D88</f>
        <v>1308.4970000000001</v>
      </c>
      <c r="H88">
        <f>'1_Operational'!F88</f>
        <v>374</v>
      </c>
      <c r="I88">
        <f>'5_Operational'!J88</f>
        <v>399</v>
      </c>
      <c r="J88">
        <f>'1_Maximum'!F88:F181</f>
        <v>399</v>
      </c>
      <c r="K88" s="7">
        <f>'1_Operational'!E88</f>
        <v>0.59</v>
      </c>
      <c r="L88">
        <f>'5_Operational'!E88</f>
        <v>-1.18</v>
      </c>
      <c r="M88">
        <f>'1_Maximum'!E88</f>
        <v>7.5</v>
      </c>
      <c r="N88">
        <f>'5_Maximum'!E88</f>
        <v>9.65</v>
      </c>
      <c r="O88" s="6">
        <f>'1_Operational'!N88</f>
        <v>0.14000000000000001</v>
      </c>
      <c r="P88">
        <f>'5_Operational'!N88</f>
        <v>0.11</v>
      </c>
      <c r="Q88">
        <f>'1_Maximum'!N88</f>
        <v>0.09</v>
      </c>
      <c r="R88">
        <f>'5_Maximum'!N88</f>
        <v>0.09</v>
      </c>
      <c r="S88">
        <v>0.2</v>
      </c>
      <c r="T88">
        <v>0</v>
      </c>
    </row>
    <row r="89" spans="1:20">
      <c r="A89" s="9">
        <f>'1_Operational'!C89</f>
        <v>65.010000000000005</v>
      </c>
      <c r="B89">
        <f>'5_Operational'!C89</f>
        <v>65.010000000000005</v>
      </c>
      <c r="C89">
        <f>'1_Operational'!D89</f>
        <v>1313.6679999999999</v>
      </c>
      <c r="D89">
        <f>'5_Operational'!D89</f>
        <v>1313.64</v>
      </c>
      <c r="E89" s="2">
        <f>'1_Maximum'!C89</f>
        <v>4.99</v>
      </c>
      <c r="F89">
        <f>'1_Maximum'!D89</f>
        <v>1308.635</v>
      </c>
      <c r="G89">
        <f>'5_Maximum'!D89</f>
        <v>1308.434</v>
      </c>
      <c r="H89">
        <f>'1_Operational'!F89</f>
        <v>383.64</v>
      </c>
      <c r="I89">
        <f>'5_Operational'!J89</f>
        <v>399</v>
      </c>
      <c r="J89">
        <f>'1_Maximum'!F89:F182</f>
        <v>399</v>
      </c>
      <c r="K89" s="7">
        <f>'1_Operational'!E89</f>
        <v>0.55000000000000004</v>
      </c>
      <c r="L89">
        <f>'5_Operational'!E89</f>
        <v>-1.34</v>
      </c>
      <c r="M89">
        <f>'1_Maximum'!E89</f>
        <v>7.41</v>
      </c>
      <c r="N89">
        <f>'5_Maximum'!E89</f>
        <v>9.5500000000000007</v>
      </c>
      <c r="O89" s="6">
        <f>'1_Operational'!N89</f>
        <v>0.18</v>
      </c>
      <c r="P89">
        <f>'5_Operational'!N89</f>
        <v>0.09</v>
      </c>
      <c r="Q89">
        <f>'1_Maximum'!N89</f>
        <v>0.1</v>
      </c>
      <c r="R89">
        <f>'5_Maximum'!N89</f>
        <v>0.09</v>
      </c>
      <c r="S89">
        <v>0.2</v>
      </c>
      <c r="T89">
        <v>0</v>
      </c>
    </row>
    <row r="90" spans="1:20">
      <c r="A90" s="9">
        <f>'1_Operational'!C90</f>
        <v>65.760000000000005</v>
      </c>
      <c r="B90">
        <f>'5_Operational'!C90</f>
        <v>65.760000000000005</v>
      </c>
      <c r="C90">
        <f>'1_Operational'!D90</f>
        <v>1313.796</v>
      </c>
      <c r="D90">
        <f>'5_Operational'!D90</f>
        <v>1313.7159999999999</v>
      </c>
      <c r="E90" s="2">
        <f>'1_Maximum'!C90</f>
        <v>4.24</v>
      </c>
      <c r="F90">
        <f>'1_Maximum'!D90</f>
        <v>1308.5730000000001</v>
      </c>
      <c r="G90">
        <f>'5_Maximum'!D90</f>
        <v>1308.357</v>
      </c>
      <c r="H90">
        <f>'1_Operational'!F90</f>
        <v>395.04</v>
      </c>
      <c r="I90">
        <f>'5_Operational'!J90</f>
        <v>399</v>
      </c>
      <c r="J90">
        <f>'1_Maximum'!F90:F183</f>
        <v>399</v>
      </c>
      <c r="K90" s="7">
        <f>'1_Operational'!E90</f>
        <v>0.43</v>
      </c>
      <c r="L90">
        <f>'5_Operational'!E90</f>
        <v>-1.51</v>
      </c>
      <c r="M90">
        <f>'1_Maximum'!E90</f>
        <v>7.49</v>
      </c>
      <c r="N90">
        <f>'5_Maximum'!E90</f>
        <v>9.6</v>
      </c>
      <c r="O90" s="6">
        <f>'1_Operational'!N90</f>
        <v>0.17</v>
      </c>
      <c r="P90">
        <f>'5_Operational'!N90</f>
        <v>0.1</v>
      </c>
      <c r="Q90">
        <f>'1_Maximum'!N90</f>
        <v>0.08</v>
      </c>
      <c r="R90">
        <f>'5_Maximum'!N90</f>
        <v>0.1</v>
      </c>
      <c r="S90">
        <v>0.2</v>
      </c>
      <c r="T90">
        <v>0</v>
      </c>
    </row>
    <row r="91" spans="1:20">
      <c r="A91" s="9">
        <f>'1_Operational'!C91</f>
        <v>66.5</v>
      </c>
      <c r="B91">
        <f>'5_Operational'!C91</f>
        <v>66.5</v>
      </c>
      <c r="C91">
        <f>'1_Operational'!D91</f>
        <v>1313.931</v>
      </c>
      <c r="D91">
        <f>'5_Operational'!D91</f>
        <v>1313.7929999999999</v>
      </c>
      <c r="E91" s="2">
        <f>'1_Maximum'!C91</f>
        <v>3.51</v>
      </c>
      <c r="F91">
        <f>'1_Maximum'!D91</f>
        <v>1308.4960000000001</v>
      </c>
      <c r="G91">
        <f>'5_Maximum'!D91</f>
        <v>1308.2940000000001</v>
      </c>
      <c r="H91">
        <f>'1_Operational'!F91</f>
        <v>399</v>
      </c>
      <c r="I91">
        <f>'5_Operational'!J91</f>
        <v>399</v>
      </c>
      <c r="J91">
        <f>'1_Maximum'!F91:F184</f>
        <v>399</v>
      </c>
      <c r="K91" s="7">
        <f>'1_Operational'!E91</f>
        <v>0.33</v>
      </c>
      <c r="L91">
        <f>'5_Operational'!E91</f>
        <v>-1.8</v>
      </c>
      <c r="M91">
        <f>'1_Maximum'!E91</f>
        <v>7.45</v>
      </c>
      <c r="N91">
        <f>'5_Maximum'!E91</f>
        <v>9.5500000000000007</v>
      </c>
      <c r="O91" s="6">
        <f>'1_Operational'!N91</f>
        <v>0.18</v>
      </c>
      <c r="P91">
        <f>'5_Operational'!N91</f>
        <v>0.1</v>
      </c>
      <c r="Q91">
        <f>'1_Maximum'!N91</f>
        <v>0.11</v>
      </c>
      <c r="R91">
        <f>'5_Maximum'!N91</f>
        <v>0.09</v>
      </c>
      <c r="S91">
        <v>0.2</v>
      </c>
      <c r="T91">
        <v>0</v>
      </c>
    </row>
    <row r="92" spans="1:20">
      <c r="A92" s="9">
        <f>'1_Operational'!C92</f>
        <v>67.23</v>
      </c>
      <c r="B92">
        <f>'5_Operational'!C92</f>
        <v>67.23</v>
      </c>
      <c r="C92">
        <f>'1_Operational'!D92</f>
        <v>1314.069</v>
      </c>
      <c r="D92">
        <f>'5_Operational'!D92</f>
        <v>1313.87</v>
      </c>
      <c r="E92" s="2">
        <f>'1_Maximum'!C92</f>
        <v>2.76</v>
      </c>
      <c r="F92">
        <f>'1_Maximum'!D92</f>
        <v>1308.4259999999999</v>
      </c>
      <c r="G92">
        <f>'5_Maximum'!D92</f>
        <v>1308.223</v>
      </c>
      <c r="H92">
        <f>'1_Operational'!F92</f>
        <v>399</v>
      </c>
      <c r="I92">
        <f>'5_Operational'!J92</f>
        <v>399</v>
      </c>
      <c r="J92">
        <f>'1_Maximum'!F92:F185</f>
        <v>399</v>
      </c>
      <c r="K92" s="7">
        <f>'1_Operational'!E92</f>
        <v>0.14000000000000001</v>
      </c>
      <c r="L92">
        <f>'5_Operational'!E92</f>
        <v>-1.87</v>
      </c>
      <c r="M92">
        <f>'1_Maximum'!E92</f>
        <v>7.48</v>
      </c>
      <c r="N92">
        <f>'5_Maximum'!E92</f>
        <v>9.49</v>
      </c>
      <c r="O92" s="6">
        <f>'1_Operational'!N92</f>
        <v>0.19</v>
      </c>
      <c r="P92">
        <f>'5_Operational'!N92</f>
        <v>0.11</v>
      </c>
      <c r="Q92">
        <f>'1_Maximum'!N92</f>
        <v>0.09</v>
      </c>
      <c r="R92">
        <f>'5_Maximum'!N92</f>
        <v>0.09</v>
      </c>
      <c r="S92">
        <v>0.2</v>
      </c>
      <c r="T92">
        <v>0</v>
      </c>
    </row>
    <row r="93" spans="1:20">
      <c r="A93" s="9">
        <f>'1_Operational'!C93</f>
        <v>67.959999999999994</v>
      </c>
      <c r="B93">
        <f>'5_Operational'!C93</f>
        <v>67.959999999999994</v>
      </c>
      <c r="C93">
        <f>'1_Operational'!D93</f>
        <v>1314.146</v>
      </c>
      <c r="D93">
        <f>'5_Operational'!D93</f>
        <v>1313.944</v>
      </c>
      <c r="E93" s="2">
        <f>'1_Maximum'!C93</f>
        <v>2.0299999999999998</v>
      </c>
      <c r="F93">
        <f>'1_Maximum'!D93</f>
        <v>1308.355</v>
      </c>
      <c r="G93">
        <f>'5_Maximum'!D93</f>
        <v>1308.153</v>
      </c>
      <c r="H93">
        <f>'1_Operational'!F93</f>
        <v>399</v>
      </c>
      <c r="I93">
        <f>'5_Operational'!J93</f>
        <v>399</v>
      </c>
      <c r="J93">
        <f>'1_Maximum'!F93:F186</f>
        <v>399</v>
      </c>
      <c r="K93" s="7">
        <f>'1_Operational'!E93</f>
        <v>0.04</v>
      </c>
      <c r="L93">
        <f>'5_Operational'!E93</f>
        <v>-2.04</v>
      </c>
      <c r="M93">
        <f>'1_Maximum'!E93</f>
        <v>7.44</v>
      </c>
      <c r="N93">
        <f>'5_Maximum'!E93</f>
        <v>9.4499999999999993</v>
      </c>
      <c r="O93" s="6">
        <f>'1_Operational'!N93</f>
        <v>0.11</v>
      </c>
      <c r="P93">
        <f>'5_Operational'!N93</f>
        <v>0.1</v>
      </c>
      <c r="Q93">
        <f>'1_Maximum'!N93</f>
        <v>0.1</v>
      </c>
      <c r="R93">
        <f>'5_Maximum'!N93</f>
        <v>0.1</v>
      </c>
      <c r="S93">
        <v>0.2</v>
      </c>
      <c r="T93">
        <v>0</v>
      </c>
    </row>
    <row r="94" spans="1:20">
      <c r="A94" s="9">
        <f>'1_Operational'!C94</f>
        <v>68.66</v>
      </c>
      <c r="B94">
        <f>'5_Operational'!C94</f>
        <v>68.66</v>
      </c>
      <c r="C94">
        <f>'1_Operational'!D94</f>
        <v>1314.213</v>
      </c>
      <c r="D94">
        <f>'5_Operational'!D94</f>
        <v>1314.0250000000001</v>
      </c>
      <c r="E94" s="2">
        <f>'1_Maximum'!C94</f>
        <v>1.3</v>
      </c>
      <c r="F94">
        <f>'1_Maximum'!D94</f>
        <v>1308.2919999999999</v>
      </c>
      <c r="G94">
        <f>'5_Maximum'!D94</f>
        <v>1308.076</v>
      </c>
      <c r="H94">
        <f>'1_Operational'!F94</f>
        <v>399</v>
      </c>
      <c r="I94">
        <f>'5_Operational'!J94</f>
        <v>399</v>
      </c>
      <c r="J94">
        <f>'1_Maximum'!F94:F187</f>
        <v>399</v>
      </c>
      <c r="K94" s="7">
        <f>'1_Operational'!E94</f>
        <v>-0.12</v>
      </c>
      <c r="L94">
        <f>'5_Operational'!E94</f>
        <v>-2.16</v>
      </c>
      <c r="M94">
        <f>'1_Maximum'!E94</f>
        <v>7.39</v>
      </c>
      <c r="N94">
        <f>'5_Maximum'!E94</f>
        <v>9.35</v>
      </c>
      <c r="O94" s="6">
        <f>'1_Operational'!N94</f>
        <v>0.1</v>
      </c>
      <c r="P94">
        <f>'5_Operational'!N94</f>
        <v>0.12</v>
      </c>
      <c r="Q94">
        <f>'1_Maximum'!N94</f>
        <v>0.09</v>
      </c>
      <c r="R94">
        <f>'5_Maximum'!N94</f>
        <v>0.11</v>
      </c>
      <c r="S94">
        <v>0.2</v>
      </c>
      <c r="T94">
        <v>0</v>
      </c>
    </row>
    <row r="95" spans="1:20">
      <c r="A95" s="9">
        <f>'1_Operational'!C95</f>
        <v>69.34</v>
      </c>
      <c r="B95">
        <f>'5_Operational'!C95</f>
        <v>69.34</v>
      </c>
      <c r="C95">
        <f>'1_Operational'!D95</f>
        <v>1314.287</v>
      </c>
      <c r="D95">
        <f>'5_Operational'!D95</f>
        <v>1314.0989999999999</v>
      </c>
      <c r="E95" s="2">
        <f>'1_Maximum'!C95</f>
        <v>0.54</v>
      </c>
      <c r="F95">
        <f>'1_Maximum'!D95</f>
        <v>1308.2159999999999</v>
      </c>
      <c r="G95">
        <f>'5_Maximum'!D95</f>
        <v>1308.0129999999999</v>
      </c>
      <c r="H95">
        <f>'1_Operational'!F95</f>
        <v>399</v>
      </c>
      <c r="I95">
        <f>'5_Operational'!J95</f>
        <v>399</v>
      </c>
      <c r="J95">
        <f>'1_Maximum'!F95:F188</f>
        <v>399</v>
      </c>
      <c r="K95" s="7">
        <f>'1_Operational'!E95</f>
        <v>-0.36</v>
      </c>
      <c r="L95">
        <f>'5_Operational'!E95</f>
        <v>-2.21</v>
      </c>
      <c r="M95">
        <f>'1_Maximum'!E95</f>
        <v>7.24</v>
      </c>
      <c r="N95">
        <f>'5_Maximum'!E95</f>
        <v>9.31</v>
      </c>
      <c r="O95" s="6">
        <f>'1_Operational'!N95</f>
        <v>0.11</v>
      </c>
      <c r="P95">
        <f>'5_Operational'!N95</f>
        <v>0.11</v>
      </c>
      <c r="Q95">
        <f>'1_Maximum'!N95</f>
        <v>0.1</v>
      </c>
      <c r="R95">
        <f>'5_Maximum'!N95</f>
        <v>0.08</v>
      </c>
      <c r="S95">
        <v>0.2</v>
      </c>
      <c r="T95">
        <v>0</v>
      </c>
    </row>
    <row r="96" spans="1:20">
      <c r="A96" s="9">
        <f>'1_Operational'!C96</f>
        <v>69.97</v>
      </c>
      <c r="B96">
        <f>'5_Operational'!C96</f>
        <v>69.97</v>
      </c>
      <c r="C96">
        <f>'1_Operational'!D96</f>
        <v>1314.367</v>
      </c>
      <c r="D96">
        <f>'5_Operational'!D96</f>
        <v>1314.163</v>
      </c>
      <c r="H96">
        <f>'1_Operational'!F96</f>
        <v>399</v>
      </c>
      <c r="I96">
        <f>'5_Operational'!J96</f>
        <v>399</v>
      </c>
      <c r="J96">
        <f>'1_Maximum'!F96:F189</f>
        <v>0</v>
      </c>
      <c r="K96" s="7">
        <f>'1_Operational'!E96</f>
        <v>-0.53</v>
      </c>
      <c r="L96">
        <f>'5_Operational'!E96</f>
        <v>-2.34</v>
      </c>
      <c r="M96">
        <f>'1_Maximum'!E96</f>
        <v>0</v>
      </c>
      <c r="N96">
        <f>'5_Maximum'!E96</f>
        <v>0</v>
      </c>
      <c r="O96" s="6">
        <f>'1_Operational'!N96</f>
        <v>0.13</v>
      </c>
      <c r="P96">
        <f>'5_Operational'!N96</f>
        <v>0.1</v>
      </c>
      <c r="Q96">
        <f>'1_Maximum'!N96</f>
        <v>0</v>
      </c>
      <c r="R96">
        <f>'5_Maximum'!N96</f>
        <v>0</v>
      </c>
      <c r="S96">
        <v>0.2</v>
      </c>
      <c r="T96">
        <v>0</v>
      </c>
    </row>
  </sheetData>
  <autoFilter ref="A1:T1" xr:uid="{9E2C167D-BCE2-4AC3-8A89-515AA1075AD2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6"/>
  <sheetViews>
    <sheetView workbookViewId="0">
      <pane ySplit="1" topLeftCell="A2" activePane="bottomLeft" state="frozen"/>
      <selection activeCell="L1" sqref="L1"/>
      <selection pane="bottomLeft" activeCell="D7" sqref="D7"/>
    </sheetView>
  </sheetViews>
  <sheetFormatPr defaultRowHeight="15.6"/>
  <cols>
    <col min="1" max="1" width="14.796875" style="1" customWidth="1"/>
  </cols>
  <sheetData>
    <row r="1" spans="1:20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</row>
    <row r="2" spans="1:20">
      <c r="A2" t="str">
        <f>IF(ROWS($2:2)&gt;COUNTIF(Operational_RawData!$A:$A,"1_Operational"),"",INDEX(Operational_RawData!A:A,MATCH("1_Operational",Operational_RawData!$A:$A,0)+ROWS($2:2)-1))</f>
        <v>1_Operational</v>
      </c>
      <c r="B2">
        <f>IF(ROWS($2:2)&gt;COUNTIF(Operational_RawData!$A:$A,"1_Operational"),"",INDEX(Operational_RawData!B:B,MATCH("1_Operational",Operational_RawData!$A:$A,0)+ROWS($2:2)-1))</f>
        <v>144406.81899999999</v>
      </c>
      <c r="C2">
        <f>IF(ROWS($2:2)&gt;COUNTIF(Operational_RawData!$A:$A,"1_Operational"),"",INDEX(Operational_RawData!C:C,MATCH("1_Operational",Operational_RawData!$A:$A,0)+ROWS($2:2)-1))</f>
        <v>0.2</v>
      </c>
      <c r="D2">
        <f>IF(ROWS($2:2)&gt;COUNTIF(Operational_RawData!$A:$A,"1_Operational"),"",INDEX(Operational_RawData!D:D,MATCH("1_Operational",Operational_RawData!$A:$A,0)+ROWS($2:2)-1))</f>
        <v>1307.3050000000001</v>
      </c>
      <c r="E2">
        <f>IF(ROWS($2:2)&gt;COUNTIF(Operational_RawData!$A:$A,"1_Operational"),"",INDEX(Operational_RawData!E:E,MATCH("1_Operational",Operational_RawData!$A:$A,0)+ROWS($2:2)-1))</f>
        <v>3.46</v>
      </c>
      <c r="F2">
        <f>IF(ROWS($2:2)&gt;COUNTIF(Operational_RawData!$A:$A,"1_Operational"),"",INDEX(Operational_RawData!F:F,MATCH("1_Operational",Operational_RawData!$A:$A,0)+ROWS($2:2)-1))</f>
        <v>271.12</v>
      </c>
      <c r="G2">
        <f>IF(ROWS($2:2)&gt;COUNTIF(Operational_RawData!$A:$A,"1_Operational"),"",INDEX(Operational_RawData!G:G,MATCH("1_Operational",Operational_RawData!$A:$A,0)+ROWS($2:2)-1))</f>
        <v>271.12</v>
      </c>
      <c r="H2">
        <f>IF(ROWS($2:2)&gt;COUNTIF(Operational_RawData!$A:$A,"1_Operational"),"",INDEX(Operational_RawData!H:H,MATCH("1_Operational",Operational_RawData!$A:$A,0)+ROWS($2:2)-1))</f>
        <v>271.12</v>
      </c>
      <c r="I2">
        <f>IF(ROWS($2:2)&gt;COUNTIF(Operational_RawData!$A:$A,"1_Operational"),"",INDEX(Operational_RawData!I:I,MATCH("1_Operational",Operational_RawData!$A:$A,0)+ROWS($2:2)-1))</f>
        <v>271.12</v>
      </c>
      <c r="J2">
        <f>IF(ROWS($2:2)&gt;COUNTIF(Operational_RawData!$A:$A,"1_Operational"),"",INDEX(Operational_RawData!J:J,MATCH("1_Operational",Operational_RawData!$A:$A,0)+ROWS($2:2)-1))</f>
        <v>352.24</v>
      </c>
      <c r="K2">
        <f>IF(ROWS($2:2)&gt;COUNTIF(Operational_RawData!$A:$A,"1_Operational"),"",INDEX(Operational_RawData!K:K,MATCH("1_Operational",Operational_RawData!$A:$A,0)+ROWS($2:2)-1))</f>
        <v>352.24</v>
      </c>
      <c r="L2">
        <f>IF(ROWS($2:2)&gt;COUNTIF(Operational_RawData!$A:$A,"1_Operational"),"",INDEX(Operational_RawData!L:L,MATCH("1_Operational",Operational_RawData!$A:$A,0)+ROWS($2:2)-1))</f>
        <v>352.24</v>
      </c>
      <c r="M2">
        <f>IF(ROWS($2:2)&gt;COUNTIF(Operational_RawData!$A:$A,"1_Operational"),"",INDEX(Operational_RawData!M:M,MATCH("1_Operational",Operational_RawData!$A:$A,0)+ROWS($2:2)-1))</f>
        <v>352.24</v>
      </c>
      <c r="N2">
        <f>IF(ROWS($2:2)&gt;COUNTIF(Operational_RawData!$A:$A,"1_Operational"),"",INDEX(Operational_RawData!N:N,MATCH("1_Operational",Operational_RawData!$A:$A,0)+ROWS($2:2)-1))</f>
        <v>0.06</v>
      </c>
      <c r="O2">
        <f>IF(ROWS($2:2)&gt;COUNTIF(Operational_RawData!$A:$A,"1_Operational"),"",INDEX(Operational_RawData!O:O,MATCH("1_Operational",Operational_RawData!$A:$A,0)+ROWS($2:2)-1))</f>
        <v>0.19</v>
      </c>
      <c r="P2">
        <f>IF(ROWS($2:2)&gt;COUNTIF(Operational_RawData!$A:$A,"1_Operational"),"",INDEX(Operational_RawData!P:P,MATCH("1_Operational",Operational_RawData!$A:$A,0)+ROWS($2:2)-1))</f>
        <v>0.06</v>
      </c>
      <c r="Q2">
        <f>IF(ROWS($2:2)&gt;COUNTIF(Operational_RawData!$A:$A,"1_Operational"),"",INDEX(Operational_RawData!Q:Q,MATCH("1_Operational",Operational_RawData!$A:$A,0)+ROWS($2:2)-1))</f>
        <v>0.1</v>
      </c>
      <c r="R2" t="str">
        <f>IF(ROWS($2:2)&gt;COUNTIF(Operational_RawData!$A:$A,"1_Operational"),"",INDEX(Operational_RawData!R:R,MATCH("1_Operational",Operational_RawData!$A:$A,0)+ROWS($2:2)-1))</f>
        <v>Pass</v>
      </c>
      <c r="S2">
        <f>IF(ROWS($2:2)&gt;COUNTIF(Operational_RawData!$A:$A,"1_Operational"),"",INDEX(Operational_RawData!S:S,MATCH("1_Operational",Operational_RawData!$A:$A,0)+ROWS($2:2)-1))</f>
        <v>0</v>
      </c>
      <c r="T2">
        <f>IF(ROWS($2:2)&gt;COUNTIF(Operational_RawData!$A:$A,"1_Operational"),"",INDEX(Operational_RawData!T:T,MATCH("1_Operational",Operational_RawData!$A:$A,0)+ROWS($2:2)-1))</f>
        <v>0</v>
      </c>
    </row>
    <row r="3" spans="1:20">
      <c r="A3" t="str">
        <f>IF(ROWS($2:3)&gt;COUNTIF(Operational_RawData!$A:$A,"1_Operational"),"",INDEX(Operational_RawData!A:A,MATCH("1_Operational",Operational_RawData!$A:$A,0)+ROWS($2:3)-1))</f>
        <v>1_Operational</v>
      </c>
      <c r="B3">
        <f>IF(ROWS($2:3)&gt;COUNTIF(Operational_RawData!$A:$A,"1_Operational"),"",INDEX(Operational_RawData!B:B,MATCH("1_Operational",Operational_RawData!$A:$A,0)+ROWS($2:3)-1))</f>
        <v>144411.823</v>
      </c>
      <c r="C3">
        <f>IF(ROWS($2:3)&gt;COUNTIF(Operational_RawData!$A:$A,"1_Operational"),"",INDEX(Operational_RawData!C:C,MATCH("1_Operational",Operational_RawData!$A:$A,0)+ROWS($2:3)-1))</f>
        <v>0.96</v>
      </c>
      <c r="D3">
        <f>IF(ROWS($2:3)&gt;COUNTIF(Operational_RawData!$A:$A,"1_Operational"),"",INDEX(Operational_RawData!D:D,MATCH("1_Operational",Operational_RawData!$A:$A,0)+ROWS($2:3)-1))</f>
        <v>1307.3520000000001</v>
      </c>
      <c r="E3">
        <f>IF(ROWS($2:3)&gt;COUNTIF(Operational_RawData!$A:$A,"1_Operational"),"",INDEX(Operational_RawData!E:E,MATCH("1_Operational",Operational_RawData!$A:$A,0)+ROWS($2:3)-1))</f>
        <v>3.51</v>
      </c>
      <c r="F3">
        <f>IF(ROWS($2:3)&gt;COUNTIF(Operational_RawData!$A:$A,"1_Operational"),"",INDEX(Operational_RawData!F:F,MATCH("1_Operational",Operational_RawData!$A:$A,0)+ROWS($2:3)-1))</f>
        <v>269.60000000000002</v>
      </c>
      <c r="G3">
        <f>IF(ROWS($2:3)&gt;COUNTIF(Operational_RawData!$A:$A,"1_Operational"),"",INDEX(Operational_RawData!G:G,MATCH("1_Operational",Operational_RawData!$A:$A,0)+ROWS($2:3)-1))</f>
        <v>269.60000000000002</v>
      </c>
      <c r="H3">
        <f>IF(ROWS($2:3)&gt;COUNTIF(Operational_RawData!$A:$A,"1_Operational"),"",INDEX(Operational_RawData!H:H,MATCH("1_Operational",Operational_RawData!$A:$A,0)+ROWS($2:3)-1))</f>
        <v>269.60000000000002</v>
      </c>
      <c r="I3">
        <f>IF(ROWS($2:3)&gt;COUNTIF(Operational_RawData!$A:$A,"1_Operational"),"",INDEX(Operational_RawData!I:I,MATCH("1_Operational",Operational_RawData!$A:$A,0)+ROWS($2:3)-1))</f>
        <v>269.60000000000002</v>
      </c>
      <c r="J3">
        <f>IF(ROWS($2:3)&gt;COUNTIF(Operational_RawData!$A:$A,"1_Operational"),"",INDEX(Operational_RawData!J:J,MATCH("1_Operational",Operational_RawData!$A:$A,0)+ROWS($2:3)-1))</f>
        <v>351.84</v>
      </c>
      <c r="K3">
        <f>IF(ROWS($2:3)&gt;COUNTIF(Operational_RawData!$A:$A,"1_Operational"),"",INDEX(Operational_RawData!K:K,MATCH("1_Operational",Operational_RawData!$A:$A,0)+ROWS($2:3)-1))</f>
        <v>351.84</v>
      </c>
      <c r="L3">
        <f>IF(ROWS($2:3)&gt;COUNTIF(Operational_RawData!$A:$A,"1_Operational"),"",INDEX(Operational_RawData!L:L,MATCH("1_Operational",Operational_RawData!$A:$A,0)+ROWS($2:3)-1))</f>
        <v>351.84</v>
      </c>
      <c r="M3">
        <f>IF(ROWS($2:3)&gt;COUNTIF(Operational_RawData!$A:$A,"1_Operational"),"",INDEX(Operational_RawData!M:M,MATCH("1_Operational",Operational_RawData!$A:$A,0)+ROWS($2:3)-1))</f>
        <v>351.84</v>
      </c>
      <c r="N3">
        <f>IF(ROWS($2:3)&gt;COUNTIF(Operational_RawData!$A:$A,"1_Operational"),"",INDEX(Operational_RawData!N:N,MATCH("1_Operational",Operational_RawData!$A:$A,0)+ROWS($2:3)-1))</f>
        <v>0.06</v>
      </c>
      <c r="O3">
        <f>IF(ROWS($2:3)&gt;COUNTIF(Operational_RawData!$A:$A,"1_Operational"),"",INDEX(Operational_RawData!O:O,MATCH("1_Operational",Operational_RawData!$A:$A,0)+ROWS($2:3)-1))</f>
        <v>0.19</v>
      </c>
      <c r="P3">
        <f>IF(ROWS($2:3)&gt;COUNTIF(Operational_RawData!$A:$A,"1_Operational"),"",INDEX(Operational_RawData!P:P,MATCH("1_Operational",Operational_RawData!$A:$A,0)+ROWS($2:3)-1))</f>
        <v>0.06</v>
      </c>
      <c r="Q3">
        <f>IF(ROWS($2:3)&gt;COUNTIF(Operational_RawData!$A:$A,"1_Operational"),"",INDEX(Operational_RawData!Q:Q,MATCH("1_Operational",Operational_RawData!$A:$A,0)+ROWS($2:3)-1))</f>
        <v>0.1</v>
      </c>
      <c r="R3" t="str">
        <f>IF(ROWS($2:3)&gt;COUNTIF(Operational_RawData!$A:$A,"1_Operational"),"",INDEX(Operational_RawData!R:R,MATCH("1_Operational",Operational_RawData!$A:$A,0)+ROWS($2:3)-1))</f>
        <v>Pass</v>
      </c>
      <c r="S3">
        <f>IF(ROWS($2:3)&gt;COUNTIF(Operational_RawData!$A:$A,"1_Operational"),"",INDEX(Operational_RawData!S:S,MATCH("1_Operational",Operational_RawData!$A:$A,0)+ROWS($2:3)-1))</f>
        <v>0</v>
      </c>
      <c r="T3">
        <f>IF(ROWS($2:3)&gt;COUNTIF(Operational_RawData!$A:$A,"1_Operational"),"",INDEX(Operational_RawData!T:T,MATCH("1_Operational",Operational_RawData!$A:$A,0)+ROWS($2:3)-1))</f>
        <v>0</v>
      </c>
    </row>
    <row r="4" spans="1:20">
      <c r="A4" t="str">
        <f>IF(ROWS($2:4)&gt;COUNTIF(Operational_RawData!$A:$A,"1_Operational"),"",INDEX(Operational_RawData!A:A,MATCH("1_Operational",Operational_RawData!$A:$A,0)+ROWS($2:4)-1))</f>
        <v>1_Operational</v>
      </c>
      <c r="B4">
        <f>IF(ROWS($2:4)&gt;COUNTIF(Operational_RawData!$A:$A,"1_Operational"),"",INDEX(Operational_RawData!B:B,MATCH("1_Operational",Operational_RawData!$A:$A,0)+ROWS($2:4)-1))</f>
        <v>144416.82</v>
      </c>
      <c r="C4">
        <f>IF(ROWS($2:4)&gt;COUNTIF(Operational_RawData!$A:$A,"1_Operational"),"",INDEX(Operational_RawData!C:C,MATCH("1_Operational",Operational_RawData!$A:$A,0)+ROWS($2:4)-1))</f>
        <v>1.7</v>
      </c>
      <c r="D4">
        <f>IF(ROWS($2:4)&gt;COUNTIF(Operational_RawData!$A:$A,"1_Operational"),"",INDEX(Operational_RawData!D:D,MATCH("1_Operational",Operational_RawData!$A:$A,0)+ROWS($2:4)-1))</f>
        <v>1307.402</v>
      </c>
      <c r="E4">
        <f>IF(ROWS($2:4)&gt;COUNTIF(Operational_RawData!$A:$A,"1_Operational"),"",INDEX(Operational_RawData!E:E,MATCH("1_Operational",Operational_RawData!$A:$A,0)+ROWS($2:4)-1))</f>
        <v>3.55</v>
      </c>
      <c r="F4">
        <f>IF(ROWS($2:4)&gt;COUNTIF(Operational_RawData!$A:$A,"1_Operational"),"",INDEX(Operational_RawData!F:F,MATCH("1_Operational",Operational_RawData!$A:$A,0)+ROWS($2:4)-1))</f>
        <v>267.83999999999997</v>
      </c>
      <c r="G4">
        <f>IF(ROWS($2:4)&gt;COUNTIF(Operational_RawData!$A:$A,"1_Operational"),"",INDEX(Operational_RawData!G:G,MATCH("1_Operational",Operational_RawData!$A:$A,0)+ROWS($2:4)-1))</f>
        <v>267.83999999999997</v>
      </c>
      <c r="H4">
        <f>IF(ROWS($2:4)&gt;COUNTIF(Operational_RawData!$A:$A,"1_Operational"),"",INDEX(Operational_RawData!H:H,MATCH("1_Operational",Operational_RawData!$A:$A,0)+ROWS($2:4)-1))</f>
        <v>267.83999999999997</v>
      </c>
      <c r="I4">
        <f>IF(ROWS($2:4)&gt;COUNTIF(Operational_RawData!$A:$A,"1_Operational"),"",INDEX(Operational_RawData!I:I,MATCH("1_Operational",Operational_RawData!$A:$A,0)+ROWS($2:4)-1))</f>
        <v>267.83999999999997</v>
      </c>
      <c r="J4">
        <f>IF(ROWS($2:4)&gt;COUNTIF(Operational_RawData!$A:$A,"1_Operational"),"",INDEX(Operational_RawData!J:J,MATCH("1_Operational",Operational_RawData!$A:$A,0)+ROWS($2:4)-1))</f>
        <v>351.28</v>
      </c>
      <c r="K4">
        <f>IF(ROWS($2:4)&gt;COUNTIF(Operational_RawData!$A:$A,"1_Operational"),"",INDEX(Operational_RawData!K:K,MATCH("1_Operational",Operational_RawData!$A:$A,0)+ROWS($2:4)-1))</f>
        <v>351.28</v>
      </c>
      <c r="L4">
        <f>IF(ROWS($2:4)&gt;COUNTIF(Operational_RawData!$A:$A,"1_Operational"),"",INDEX(Operational_RawData!L:L,MATCH("1_Operational",Operational_RawData!$A:$A,0)+ROWS($2:4)-1))</f>
        <v>351.28</v>
      </c>
      <c r="M4">
        <f>IF(ROWS($2:4)&gt;COUNTIF(Operational_RawData!$A:$A,"1_Operational"),"",INDEX(Operational_RawData!M:M,MATCH("1_Operational",Operational_RawData!$A:$A,0)+ROWS($2:4)-1))</f>
        <v>351.28</v>
      </c>
      <c r="N4">
        <f>IF(ROWS($2:4)&gt;COUNTIF(Operational_RawData!$A:$A,"1_Operational"),"",INDEX(Operational_RawData!N:N,MATCH("1_Operational",Operational_RawData!$A:$A,0)+ROWS($2:4)-1))</f>
        <v>7.0000000000000007E-2</v>
      </c>
      <c r="O4">
        <f>IF(ROWS($2:4)&gt;COUNTIF(Operational_RawData!$A:$A,"1_Operational"),"",INDEX(Operational_RawData!O:O,MATCH("1_Operational",Operational_RawData!$A:$A,0)+ROWS($2:4)-1))</f>
        <v>0.19</v>
      </c>
      <c r="P4">
        <f>IF(ROWS($2:4)&gt;COUNTIF(Operational_RawData!$A:$A,"1_Operational"),"",INDEX(Operational_RawData!P:P,MATCH("1_Operational",Operational_RawData!$A:$A,0)+ROWS($2:4)-1))</f>
        <v>0.06</v>
      </c>
      <c r="Q4">
        <f>IF(ROWS($2:4)&gt;COUNTIF(Operational_RawData!$A:$A,"1_Operational"),"",INDEX(Operational_RawData!Q:Q,MATCH("1_Operational",Operational_RawData!$A:$A,0)+ROWS($2:4)-1))</f>
        <v>0.1</v>
      </c>
      <c r="R4" t="str">
        <f>IF(ROWS($2:4)&gt;COUNTIF(Operational_RawData!$A:$A,"1_Operational"),"",INDEX(Operational_RawData!R:R,MATCH("1_Operational",Operational_RawData!$A:$A,0)+ROWS($2:4)-1))</f>
        <v>Pass</v>
      </c>
      <c r="S4">
        <f>IF(ROWS($2:4)&gt;COUNTIF(Operational_RawData!$A:$A,"1_Operational"),"",INDEX(Operational_RawData!S:S,MATCH("1_Operational",Operational_RawData!$A:$A,0)+ROWS($2:4)-1))</f>
        <v>0</v>
      </c>
      <c r="T4">
        <f>IF(ROWS($2:4)&gt;COUNTIF(Operational_RawData!$A:$A,"1_Operational"),"",INDEX(Operational_RawData!T:T,MATCH("1_Operational",Operational_RawData!$A:$A,0)+ROWS($2:4)-1))</f>
        <v>0</v>
      </c>
    </row>
    <row r="5" spans="1:20">
      <c r="A5" t="str">
        <f>IF(ROWS($2:5)&gt;COUNTIF(Operational_RawData!$A:$A,"1_Operational"),"",INDEX(Operational_RawData!A:A,MATCH("1_Operational",Operational_RawData!$A:$A,0)+ROWS($2:5)-1))</f>
        <v>1_Operational</v>
      </c>
      <c r="B5">
        <f>IF(ROWS($2:5)&gt;COUNTIF(Operational_RawData!$A:$A,"1_Operational"),"",INDEX(Operational_RawData!B:B,MATCH("1_Operational",Operational_RawData!$A:$A,0)+ROWS($2:5)-1))</f>
        <v>144421.82999999999</v>
      </c>
      <c r="C5">
        <f>IF(ROWS($2:5)&gt;COUNTIF(Operational_RawData!$A:$A,"1_Operational"),"",INDEX(Operational_RawData!C:C,MATCH("1_Operational",Operational_RawData!$A:$A,0)+ROWS($2:5)-1))</f>
        <v>2.4300000000000002</v>
      </c>
      <c r="D5">
        <f>IF(ROWS($2:5)&gt;COUNTIF(Operational_RawData!$A:$A,"1_Operational"),"",INDEX(Operational_RawData!D:D,MATCH("1_Operational",Operational_RawData!$A:$A,0)+ROWS($2:5)-1))</f>
        <v>1307.4459999999999</v>
      </c>
      <c r="E5">
        <f>IF(ROWS($2:5)&gt;COUNTIF(Operational_RawData!$A:$A,"1_Operational"),"",INDEX(Operational_RawData!E:E,MATCH("1_Operational",Operational_RawData!$A:$A,0)+ROWS($2:5)-1))</f>
        <v>3.52</v>
      </c>
      <c r="F5">
        <f>IF(ROWS($2:5)&gt;COUNTIF(Operational_RawData!$A:$A,"1_Operational"),"",INDEX(Operational_RawData!F:F,MATCH("1_Operational",Operational_RawData!$A:$A,0)+ROWS($2:5)-1))</f>
        <v>265.8</v>
      </c>
      <c r="G5">
        <f>IF(ROWS($2:5)&gt;COUNTIF(Operational_RawData!$A:$A,"1_Operational"),"",INDEX(Operational_RawData!G:G,MATCH("1_Operational",Operational_RawData!$A:$A,0)+ROWS($2:5)-1))</f>
        <v>265.8</v>
      </c>
      <c r="H5">
        <f>IF(ROWS($2:5)&gt;COUNTIF(Operational_RawData!$A:$A,"1_Operational"),"",INDEX(Operational_RawData!H:H,MATCH("1_Operational",Operational_RawData!$A:$A,0)+ROWS($2:5)-1))</f>
        <v>265.8</v>
      </c>
      <c r="I5">
        <f>IF(ROWS($2:5)&gt;COUNTIF(Operational_RawData!$A:$A,"1_Operational"),"",INDEX(Operational_RawData!I:I,MATCH("1_Operational",Operational_RawData!$A:$A,0)+ROWS($2:5)-1))</f>
        <v>265.8</v>
      </c>
      <c r="J5">
        <f>IF(ROWS($2:5)&gt;COUNTIF(Operational_RawData!$A:$A,"1_Operational"),"",INDEX(Operational_RawData!J:J,MATCH("1_Operational",Operational_RawData!$A:$A,0)+ROWS($2:5)-1))</f>
        <v>350.48</v>
      </c>
      <c r="K5">
        <f>IF(ROWS($2:5)&gt;COUNTIF(Operational_RawData!$A:$A,"1_Operational"),"",INDEX(Operational_RawData!K:K,MATCH("1_Operational",Operational_RawData!$A:$A,0)+ROWS($2:5)-1))</f>
        <v>350.48</v>
      </c>
      <c r="L5">
        <f>IF(ROWS($2:5)&gt;COUNTIF(Operational_RawData!$A:$A,"1_Operational"),"",INDEX(Operational_RawData!L:L,MATCH("1_Operational",Operational_RawData!$A:$A,0)+ROWS($2:5)-1))</f>
        <v>350.48</v>
      </c>
      <c r="M5">
        <f>IF(ROWS($2:5)&gt;COUNTIF(Operational_RawData!$A:$A,"1_Operational"),"",INDEX(Operational_RawData!M:M,MATCH("1_Operational",Operational_RawData!$A:$A,0)+ROWS($2:5)-1))</f>
        <v>350.48</v>
      </c>
      <c r="N5">
        <f>IF(ROWS($2:5)&gt;COUNTIF(Operational_RawData!$A:$A,"1_Operational"),"",INDEX(Operational_RawData!N:N,MATCH("1_Operational",Operational_RawData!$A:$A,0)+ROWS($2:5)-1))</f>
        <v>0.06</v>
      </c>
      <c r="O5">
        <f>IF(ROWS($2:5)&gt;COUNTIF(Operational_RawData!$A:$A,"1_Operational"),"",INDEX(Operational_RawData!O:O,MATCH("1_Operational",Operational_RawData!$A:$A,0)+ROWS($2:5)-1))</f>
        <v>0.19</v>
      </c>
      <c r="P5">
        <f>IF(ROWS($2:5)&gt;COUNTIF(Operational_RawData!$A:$A,"1_Operational"),"",INDEX(Operational_RawData!P:P,MATCH("1_Operational",Operational_RawData!$A:$A,0)+ROWS($2:5)-1))</f>
        <v>0.06</v>
      </c>
      <c r="Q5">
        <f>IF(ROWS($2:5)&gt;COUNTIF(Operational_RawData!$A:$A,"1_Operational"),"",INDEX(Operational_RawData!Q:Q,MATCH("1_Operational",Operational_RawData!$A:$A,0)+ROWS($2:5)-1))</f>
        <v>0.1</v>
      </c>
      <c r="R5" t="str">
        <f>IF(ROWS($2:5)&gt;COUNTIF(Operational_RawData!$A:$A,"1_Operational"),"",INDEX(Operational_RawData!R:R,MATCH("1_Operational",Operational_RawData!$A:$A,0)+ROWS($2:5)-1))</f>
        <v>Pass</v>
      </c>
      <c r="S5">
        <f>IF(ROWS($2:5)&gt;COUNTIF(Operational_RawData!$A:$A,"1_Operational"),"",INDEX(Operational_RawData!S:S,MATCH("1_Operational",Operational_RawData!$A:$A,0)+ROWS($2:5)-1))</f>
        <v>0</v>
      </c>
      <c r="T5">
        <f>IF(ROWS($2:5)&gt;COUNTIF(Operational_RawData!$A:$A,"1_Operational"),"",INDEX(Operational_RawData!T:T,MATCH("1_Operational",Operational_RawData!$A:$A,0)+ROWS($2:5)-1))</f>
        <v>0</v>
      </c>
    </row>
    <row r="6" spans="1:20">
      <c r="A6" t="str">
        <f>IF(ROWS($2:6)&gt;COUNTIF(Operational_RawData!$A:$A,"1_Operational"),"",INDEX(Operational_RawData!A:A,MATCH("1_Operational",Operational_RawData!$A:$A,0)+ROWS($2:6)-1))</f>
        <v>1_Operational</v>
      </c>
      <c r="B6">
        <f>IF(ROWS($2:6)&gt;COUNTIF(Operational_RawData!$A:$A,"1_Operational"),"",INDEX(Operational_RawData!B:B,MATCH("1_Operational",Operational_RawData!$A:$A,0)+ROWS($2:6)-1))</f>
        <v>144426.82999999999</v>
      </c>
      <c r="C6">
        <f>IF(ROWS($2:6)&gt;COUNTIF(Operational_RawData!$A:$A,"1_Operational"),"",INDEX(Operational_RawData!C:C,MATCH("1_Operational",Operational_RawData!$A:$A,0)+ROWS($2:6)-1))</f>
        <v>3.16</v>
      </c>
      <c r="D6">
        <f>IF(ROWS($2:6)&gt;COUNTIF(Operational_RawData!$A:$A,"1_Operational"),"",INDEX(Operational_RawData!D:D,MATCH("1_Operational",Operational_RawData!$A:$A,0)+ROWS($2:6)-1))</f>
        <v>1307.502</v>
      </c>
      <c r="E6">
        <f>IF(ROWS($2:6)&gt;COUNTIF(Operational_RawData!$A:$A,"1_Operational"),"",INDEX(Operational_RawData!E:E,MATCH("1_Operational",Operational_RawData!$A:$A,0)+ROWS($2:6)-1))</f>
        <v>3.51</v>
      </c>
      <c r="F6">
        <f>IF(ROWS($2:6)&gt;COUNTIF(Operational_RawData!$A:$A,"1_Operational"),"",INDEX(Operational_RawData!F:F,MATCH("1_Operational",Operational_RawData!$A:$A,0)+ROWS($2:6)-1))</f>
        <v>264</v>
      </c>
      <c r="G6">
        <f>IF(ROWS($2:6)&gt;COUNTIF(Operational_RawData!$A:$A,"1_Operational"),"",INDEX(Operational_RawData!G:G,MATCH("1_Operational",Operational_RawData!$A:$A,0)+ROWS($2:6)-1))</f>
        <v>264</v>
      </c>
      <c r="H6">
        <f>IF(ROWS($2:6)&gt;COUNTIF(Operational_RawData!$A:$A,"1_Operational"),"",INDEX(Operational_RawData!H:H,MATCH("1_Operational",Operational_RawData!$A:$A,0)+ROWS($2:6)-1))</f>
        <v>264</v>
      </c>
      <c r="I6">
        <f>IF(ROWS($2:6)&gt;COUNTIF(Operational_RawData!$A:$A,"1_Operational"),"",INDEX(Operational_RawData!I:I,MATCH("1_Operational",Operational_RawData!$A:$A,0)+ROWS($2:6)-1))</f>
        <v>264</v>
      </c>
      <c r="J6">
        <f>IF(ROWS($2:6)&gt;COUNTIF(Operational_RawData!$A:$A,"1_Operational"),"",INDEX(Operational_RawData!J:J,MATCH("1_Operational",Operational_RawData!$A:$A,0)+ROWS($2:6)-1))</f>
        <v>349.64</v>
      </c>
      <c r="K6">
        <f>IF(ROWS($2:6)&gt;COUNTIF(Operational_RawData!$A:$A,"1_Operational"),"",INDEX(Operational_RawData!K:K,MATCH("1_Operational",Operational_RawData!$A:$A,0)+ROWS($2:6)-1))</f>
        <v>349.64</v>
      </c>
      <c r="L6">
        <f>IF(ROWS($2:6)&gt;COUNTIF(Operational_RawData!$A:$A,"1_Operational"),"",INDEX(Operational_RawData!L:L,MATCH("1_Operational",Operational_RawData!$A:$A,0)+ROWS($2:6)-1))</f>
        <v>349.64</v>
      </c>
      <c r="M6">
        <f>IF(ROWS($2:6)&gt;COUNTIF(Operational_RawData!$A:$A,"1_Operational"),"",INDEX(Operational_RawData!M:M,MATCH("1_Operational",Operational_RawData!$A:$A,0)+ROWS($2:6)-1))</f>
        <v>349.64</v>
      </c>
      <c r="N6">
        <f>IF(ROWS($2:6)&gt;COUNTIF(Operational_RawData!$A:$A,"1_Operational"),"",INDEX(Operational_RawData!N:N,MATCH("1_Operational",Operational_RawData!$A:$A,0)+ROWS($2:6)-1))</f>
        <v>0.08</v>
      </c>
      <c r="O6">
        <f>IF(ROWS($2:6)&gt;COUNTIF(Operational_RawData!$A:$A,"1_Operational"),"",INDEX(Operational_RawData!O:O,MATCH("1_Operational",Operational_RawData!$A:$A,0)+ROWS($2:6)-1))</f>
        <v>0.19</v>
      </c>
      <c r="P6">
        <f>IF(ROWS($2:6)&gt;COUNTIF(Operational_RawData!$A:$A,"1_Operational"),"",INDEX(Operational_RawData!P:P,MATCH("1_Operational",Operational_RawData!$A:$A,0)+ROWS($2:6)-1))</f>
        <v>0.06</v>
      </c>
      <c r="Q6">
        <f>IF(ROWS($2:6)&gt;COUNTIF(Operational_RawData!$A:$A,"1_Operational"),"",INDEX(Operational_RawData!Q:Q,MATCH("1_Operational",Operational_RawData!$A:$A,0)+ROWS($2:6)-1))</f>
        <v>0.1</v>
      </c>
      <c r="R6" t="str">
        <f>IF(ROWS($2:6)&gt;COUNTIF(Operational_RawData!$A:$A,"1_Operational"),"",INDEX(Operational_RawData!R:R,MATCH("1_Operational",Operational_RawData!$A:$A,0)+ROWS($2:6)-1))</f>
        <v>Pass</v>
      </c>
      <c r="S6">
        <f>IF(ROWS($2:6)&gt;COUNTIF(Operational_RawData!$A:$A,"1_Operational"),"",INDEX(Operational_RawData!S:S,MATCH("1_Operational",Operational_RawData!$A:$A,0)+ROWS($2:6)-1))</f>
        <v>0</v>
      </c>
      <c r="T6">
        <f>IF(ROWS($2:6)&gt;COUNTIF(Operational_RawData!$A:$A,"1_Operational"),"",INDEX(Operational_RawData!T:T,MATCH("1_Operational",Operational_RawData!$A:$A,0)+ROWS($2:6)-1))</f>
        <v>0</v>
      </c>
    </row>
    <row r="7" spans="1:20">
      <c r="A7" t="str">
        <f>IF(ROWS($2:7)&gt;COUNTIF(Operational_RawData!$A:$A,"1_Operational"),"",INDEX(Operational_RawData!A:A,MATCH("1_Operational",Operational_RawData!$A:$A,0)+ROWS($2:7)-1))</f>
        <v>1_Operational</v>
      </c>
      <c r="B7">
        <f>IF(ROWS($2:7)&gt;COUNTIF(Operational_RawData!$A:$A,"1_Operational"),"",INDEX(Operational_RawData!B:B,MATCH("1_Operational",Operational_RawData!$A:$A,0)+ROWS($2:7)-1))</f>
        <v>144431.83100000001</v>
      </c>
      <c r="C7">
        <f>IF(ROWS($2:7)&gt;COUNTIF(Operational_RawData!$A:$A,"1_Operational"),"",INDEX(Operational_RawData!C:C,MATCH("1_Operational",Operational_RawData!$A:$A,0)+ROWS($2:7)-1))</f>
        <v>3.91</v>
      </c>
      <c r="D7">
        <f>IF(ROWS($2:7)&gt;COUNTIF(Operational_RawData!$A:$A,"1_Operational"),"",INDEX(Operational_RawData!D:D,MATCH("1_Operational",Operational_RawData!$A:$A,0)+ROWS($2:7)-1))</f>
        <v>1307.5540000000001</v>
      </c>
      <c r="E7">
        <f>IF(ROWS($2:7)&gt;COUNTIF(Operational_RawData!$A:$A,"1_Operational"),"",INDEX(Operational_RawData!E:E,MATCH("1_Operational",Operational_RawData!$A:$A,0)+ROWS($2:7)-1))</f>
        <v>3.56</v>
      </c>
      <c r="F7">
        <f>IF(ROWS($2:7)&gt;COUNTIF(Operational_RawData!$A:$A,"1_Operational"),"",INDEX(Operational_RawData!F:F,MATCH("1_Operational",Operational_RawData!$A:$A,0)+ROWS($2:7)-1))</f>
        <v>261.8</v>
      </c>
      <c r="G7">
        <f>IF(ROWS($2:7)&gt;COUNTIF(Operational_RawData!$A:$A,"1_Operational"),"",INDEX(Operational_RawData!G:G,MATCH("1_Operational",Operational_RawData!$A:$A,0)+ROWS($2:7)-1))</f>
        <v>261.8</v>
      </c>
      <c r="H7">
        <f>IF(ROWS($2:7)&gt;COUNTIF(Operational_RawData!$A:$A,"1_Operational"),"",INDEX(Operational_RawData!H:H,MATCH("1_Operational",Operational_RawData!$A:$A,0)+ROWS($2:7)-1))</f>
        <v>261.8</v>
      </c>
      <c r="I7">
        <f>IF(ROWS($2:7)&gt;COUNTIF(Operational_RawData!$A:$A,"1_Operational"),"",INDEX(Operational_RawData!I:I,MATCH("1_Operational",Operational_RawData!$A:$A,0)+ROWS($2:7)-1))</f>
        <v>261.8</v>
      </c>
      <c r="J7">
        <f>IF(ROWS($2:7)&gt;COUNTIF(Operational_RawData!$A:$A,"1_Operational"),"",INDEX(Operational_RawData!J:J,MATCH("1_Operational",Operational_RawData!$A:$A,0)+ROWS($2:7)-1))</f>
        <v>348.64</v>
      </c>
      <c r="K7">
        <f>IF(ROWS($2:7)&gt;COUNTIF(Operational_RawData!$A:$A,"1_Operational"),"",INDEX(Operational_RawData!K:K,MATCH("1_Operational",Operational_RawData!$A:$A,0)+ROWS($2:7)-1))</f>
        <v>348.64</v>
      </c>
      <c r="L7">
        <f>IF(ROWS($2:7)&gt;COUNTIF(Operational_RawData!$A:$A,"1_Operational"),"",INDEX(Operational_RawData!L:L,MATCH("1_Operational",Operational_RawData!$A:$A,0)+ROWS($2:7)-1))</f>
        <v>348.64</v>
      </c>
      <c r="M7">
        <f>IF(ROWS($2:7)&gt;COUNTIF(Operational_RawData!$A:$A,"1_Operational"),"",INDEX(Operational_RawData!M:M,MATCH("1_Operational",Operational_RawData!$A:$A,0)+ROWS($2:7)-1))</f>
        <v>348.64</v>
      </c>
      <c r="N7">
        <f>IF(ROWS($2:7)&gt;COUNTIF(Operational_RawData!$A:$A,"1_Operational"),"",INDEX(Operational_RawData!N:N,MATCH("1_Operational",Operational_RawData!$A:$A,0)+ROWS($2:7)-1))</f>
        <v>7.0000000000000007E-2</v>
      </c>
      <c r="O7">
        <f>IF(ROWS($2:7)&gt;COUNTIF(Operational_RawData!$A:$A,"1_Operational"),"",INDEX(Operational_RawData!O:O,MATCH("1_Operational",Operational_RawData!$A:$A,0)+ROWS($2:7)-1))</f>
        <v>0.19</v>
      </c>
      <c r="P7">
        <f>IF(ROWS($2:7)&gt;COUNTIF(Operational_RawData!$A:$A,"1_Operational"),"",INDEX(Operational_RawData!P:P,MATCH("1_Operational",Operational_RawData!$A:$A,0)+ROWS($2:7)-1))</f>
        <v>0.06</v>
      </c>
      <c r="Q7">
        <f>IF(ROWS($2:7)&gt;COUNTIF(Operational_RawData!$A:$A,"1_Operational"),"",INDEX(Operational_RawData!Q:Q,MATCH("1_Operational",Operational_RawData!$A:$A,0)+ROWS($2:7)-1))</f>
        <v>0.1</v>
      </c>
      <c r="R7" t="str">
        <f>IF(ROWS($2:7)&gt;COUNTIF(Operational_RawData!$A:$A,"1_Operational"),"",INDEX(Operational_RawData!R:R,MATCH("1_Operational",Operational_RawData!$A:$A,0)+ROWS($2:7)-1))</f>
        <v>Pass</v>
      </c>
      <c r="S7">
        <f>IF(ROWS($2:7)&gt;COUNTIF(Operational_RawData!$A:$A,"1_Operational"),"",INDEX(Operational_RawData!S:S,MATCH("1_Operational",Operational_RawData!$A:$A,0)+ROWS($2:7)-1))</f>
        <v>0</v>
      </c>
      <c r="T7">
        <f>IF(ROWS($2:7)&gt;COUNTIF(Operational_RawData!$A:$A,"1_Operational"),"",INDEX(Operational_RawData!T:T,MATCH("1_Operational",Operational_RawData!$A:$A,0)+ROWS($2:7)-1))</f>
        <v>0</v>
      </c>
    </row>
    <row r="8" spans="1:20">
      <c r="A8" t="str">
        <f>IF(ROWS($2:8)&gt;COUNTIF(Operational_RawData!$A:$A,"1_Operational"),"",INDEX(Operational_RawData!A:A,MATCH("1_Operational",Operational_RawData!$A:$A,0)+ROWS($2:8)-1))</f>
        <v>1_Operational</v>
      </c>
      <c r="B8">
        <f>IF(ROWS($2:8)&gt;COUNTIF(Operational_RawData!$A:$A,"1_Operational"),"",INDEX(Operational_RawData!B:B,MATCH("1_Operational",Operational_RawData!$A:$A,0)+ROWS($2:8)-1))</f>
        <v>144436.84</v>
      </c>
      <c r="C8">
        <f>IF(ROWS($2:8)&gt;COUNTIF(Operational_RawData!$A:$A,"1_Operational"),"",INDEX(Operational_RawData!C:C,MATCH("1_Operational",Operational_RawData!$A:$A,0)+ROWS($2:8)-1))</f>
        <v>4.6399999999999997</v>
      </c>
      <c r="D8">
        <f>IF(ROWS($2:8)&gt;COUNTIF(Operational_RawData!$A:$A,"1_Operational"),"",INDEX(Operational_RawData!D:D,MATCH("1_Operational",Operational_RawData!$A:$A,0)+ROWS($2:8)-1))</f>
        <v>1307.607</v>
      </c>
      <c r="E8">
        <f>IF(ROWS($2:8)&gt;COUNTIF(Operational_RawData!$A:$A,"1_Operational"),"",INDEX(Operational_RawData!E:E,MATCH("1_Operational",Operational_RawData!$A:$A,0)+ROWS($2:8)-1))</f>
        <v>3.57</v>
      </c>
      <c r="F8">
        <f>IF(ROWS($2:8)&gt;COUNTIF(Operational_RawData!$A:$A,"1_Operational"),"",INDEX(Operational_RawData!F:F,MATCH("1_Operational",Operational_RawData!$A:$A,0)+ROWS($2:8)-1))</f>
        <v>259.72000000000003</v>
      </c>
      <c r="G8">
        <f>IF(ROWS($2:8)&gt;COUNTIF(Operational_RawData!$A:$A,"1_Operational"),"",INDEX(Operational_RawData!G:G,MATCH("1_Operational",Operational_RawData!$A:$A,0)+ROWS($2:8)-1))</f>
        <v>259.72000000000003</v>
      </c>
      <c r="H8">
        <f>IF(ROWS($2:8)&gt;COUNTIF(Operational_RawData!$A:$A,"1_Operational"),"",INDEX(Operational_RawData!H:H,MATCH("1_Operational",Operational_RawData!$A:$A,0)+ROWS($2:8)-1))</f>
        <v>259.72000000000003</v>
      </c>
      <c r="I8">
        <f>IF(ROWS($2:8)&gt;COUNTIF(Operational_RawData!$A:$A,"1_Operational"),"",INDEX(Operational_RawData!I:I,MATCH("1_Operational",Operational_RawData!$A:$A,0)+ROWS($2:8)-1))</f>
        <v>259.72000000000003</v>
      </c>
      <c r="J8">
        <f>IF(ROWS($2:8)&gt;COUNTIF(Operational_RawData!$A:$A,"1_Operational"),"",INDEX(Operational_RawData!J:J,MATCH("1_Operational",Operational_RawData!$A:$A,0)+ROWS($2:8)-1))</f>
        <v>347.64</v>
      </c>
      <c r="K8">
        <f>IF(ROWS($2:8)&gt;COUNTIF(Operational_RawData!$A:$A,"1_Operational"),"",INDEX(Operational_RawData!K:K,MATCH("1_Operational",Operational_RawData!$A:$A,0)+ROWS($2:8)-1))</f>
        <v>347.64</v>
      </c>
      <c r="L8">
        <f>IF(ROWS($2:8)&gt;COUNTIF(Operational_RawData!$A:$A,"1_Operational"),"",INDEX(Operational_RawData!L:L,MATCH("1_Operational",Operational_RawData!$A:$A,0)+ROWS($2:8)-1))</f>
        <v>347.64</v>
      </c>
      <c r="M8">
        <f>IF(ROWS($2:8)&gt;COUNTIF(Operational_RawData!$A:$A,"1_Operational"),"",INDEX(Operational_RawData!M:M,MATCH("1_Operational",Operational_RawData!$A:$A,0)+ROWS($2:8)-1))</f>
        <v>347.64</v>
      </c>
      <c r="N8">
        <f>IF(ROWS($2:8)&gt;COUNTIF(Operational_RawData!$A:$A,"1_Operational"),"",INDEX(Operational_RawData!N:N,MATCH("1_Operational",Operational_RawData!$A:$A,0)+ROWS($2:8)-1))</f>
        <v>7.0000000000000007E-2</v>
      </c>
      <c r="O8">
        <f>IF(ROWS($2:8)&gt;COUNTIF(Operational_RawData!$A:$A,"1_Operational"),"",INDEX(Operational_RawData!O:O,MATCH("1_Operational",Operational_RawData!$A:$A,0)+ROWS($2:8)-1))</f>
        <v>0.19</v>
      </c>
      <c r="P8">
        <f>IF(ROWS($2:8)&gt;COUNTIF(Operational_RawData!$A:$A,"1_Operational"),"",INDEX(Operational_RawData!P:P,MATCH("1_Operational",Operational_RawData!$A:$A,0)+ROWS($2:8)-1))</f>
        <v>0.06</v>
      </c>
      <c r="Q8">
        <f>IF(ROWS($2:8)&gt;COUNTIF(Operational_RawData!$A:$A,"1_Operational"),"",INDEX(Operational_RawData!Q:Q,MATCH("1_Operational",Operational_RawData!$A:$A,0)+ROWS($2:8)-1))</f>
        <v>0.1</v>
      </c>
      <c r="R8" t="str">
        <f>IF(ROWS($2:8)&gt;COUNTIF(Operational_RawData!$A:$A,"1_Operational"),"",INDEX(Operational_RawData!R:R,MATCH("1_Operational",Operational_RawData!$A:$A,0)+ROWS($2:8)-1))</f>
        <v>Pass</v>
      </c>
      <c r="S8">
        <f>IF(ROWS($2:8)&gt;COUNTIF(Operational_RawData!$A:$A,"1_Operational"),"",INDEX(Operational_RawData!S:S,MATCH("1_Operational",Operational_RawData!$A:$A,0)+ROWS($2:8)-1))</f>
        <v>0</v>
      </c>
      <c r="T8">
        <f>IF(ROWS($2:8)&gt;COUNTIF(Operational_RawData!$A:$A,"1_Operational"),"",INDEX(Operational_RawData!T:T,MATCH("1_Operational",Operational_RawData!$A:$A,0)+ROWS($2:8)-1))</f>
        <v>0</v>
      </c>
    </row>
    <row r="9" spans="1:20">
      <c r="A9" t="str">
        <f>IF(ROWS($2:9)&gt;COUNTIF(Operational_RawData!$A:$A,"1_Operational"),"",INDEX(Operational_RawData!A:A,MATCH("1_Operational",Operational_RawData!$A:$A,0)+ROWS($2:9)-1))</f>
        <v>1_Operational</v>
      </c>
      <c r="B9">
        <f>IF(ROWS($2:9)&gt;COUNTIF(Operational_RawData!$A:$A,"1_Operational"),"",INDEX(Operational_RawData!B:B,MATCH("1_Operational",Operational_RawData!$A:$A,0)+ROWS($2:9)-1))</f>
        <v>144441.82999999999</v>
      </c>
      <c r="C9">
        <f>IF(ROWS($2:9)&gt;COUNTIF(Operational_RawData!$A:$A,"1_Operational"),"",INDEX(Operational_RawData!C:C,MATCH("1_Operational",Operational_RawData!$A:$A,0)+ROWS($2:9)-1))</f>
        <v>5.39</v>
      </c>
      <c r="D9">
        <f>IF(ROWS($2:9)&gt;COUNTIF(Operational_RawData!$A:$A,"1_Operational"),"",INDEX(Operational_RawData!D:D,MATCH("1_Operational",Operational_RawData!$A:$A,0)+ROWS($2:9)-1))</f>
        <v>1307.6600000000001</v>
      </c>
      <c r="E9">
        <f>IF(ROWS($2:9)&gt;COUNTIF(Operational_RawData!$A:$A,"1_Operational"),"",INDEX(Operational_RawData!E:E,MATCH("1_Operational",Operational_RawData!$A:$A,0)+ROWS($2:9)-1))</f>
        <v>3.57</v>
      </c>
      <c r="F9">
        <f>IF(ROWS($2:9)&gt;COUNTIF(Operational_RawData!$A:$A,"1_Operational"),"",INDEX(Operational_RawData!F:F,MATCH("1_Operational",Operational_RawData!$A:$A,0)+ROWS($2:9)-1))</f>
        <v>257.64</v>
      </c>
      <c r="G9">
        <f>IF(ROWS($2:9)&gt;COUNTIF(Operational_RawData!$A:$A,"1_Operational"),"",INDEX(Operational_RawData!G:G,MATCH("1_Operational",Operational_RawData!$A:$A,0)+ROWS($2:9)-1))</f>
        <v>257.64</v>
      </c>
      <c r="H9">
        <f>IF(ROWS($2:9)&gt;COUNTIF(Operational_RawData!$A:$A,"1_Operational"),"",INDEX(Operational_RawData!H:H,MATCH("1_Operational",Operational_RawData!$A:$A,0)+ROWS($2:9)-1))</f>
        <v>257.64</v>
      </c>
      <c r="I9">
        <f>IF(ROWS($2:9)&gt;COUNTIF(Operational_RawData!$A:$A,"1_Operational"),"",INDEX(Operational_RawData!I:I,MATCH("1_Operational",Operational_RawData!$A:$A,0)+ROWS($2:9)-1))</f>
        <v>257.64</v>
      </c>
      <c r="J9">
        <f>IF(ROWS($2:9)&gt;COUNTIF(Operational_RawData!$A:$A,"1_Operational"),"",INDEX(Operational_RawData!J:J,MATCH("1_Operational",Operational_RawData!$A:$A,0)+ROWS($2:9)-1))</f>
        <v>346.6</v>
      </c>
      <c r="K9">
        <f>IF(ROWS($2:9)&gt;COUNTIF(Operational_RawData!$A:$A,"1_Operational"),"",INDEX(Operational_RawData!K:K,MATCH("1_Operational",Operational_RawData!$A:$A,0)+ROWS($2:9)-1))</f>
        <v>346.6</v>
      </c>
      <c r="L9">
        <f>IF(ROWS($2:9)&gt;COUNTIF(Operational_RawData!$A:$A,"1_Operational"),"",INDEX(Operational_RawData!L:L,MATCH("1_Operational",Operational_RawData!$A:$A,0)+ROWS($2:9)-1))</f>
        <v>346.6</v>
      </c>
      <c r="M9">
        <f>IF(ROWS($2:9)&gt;COUNTIF(Operational_RawData!$A:$A,"1_Operational"),"",INDEX(Operational_RawData!M:M,MATCH("1_Operational",Operational_RawData!$A:$A,0)+ROWS($2:9)-1))</f>
        <v>346.6</v>
      </c>
      <c r="N9">
        <f>IF(ROWS($2:9)&gt;COUNTIF(Operational_RawData!$A:$A,"1_Operational"),"",INDEX(Operational_RawData!N:N,MATCH("1_Operational",Operational_RawData!$A:$A,0)+ROWS($2:9)-1))</f>
        <v>7.0000000000000007E-2</v>
      </c>
      <c r="O9">
        <f>IF(ROWS($2:9)&gt;COUNTIF(Operational_RawData!$A:$A,"1_Operational"),"",INDEX(Operational_RawData!O:O,MATCH("1_Operational",Operational_RawData!$A:$A,0)+ROWS($2:9)-1))</f>
        <v>0.19</v>
      </c>
      <c r="P9">
        <f>IF(ROWS($2:9)&gt;COUNTIF(Operational_RawData!$A:$A,"1_Operational"),"",INDEX(Operational_RawData!P:P,MATCH("1_Operational",Operational_RawData!$A:$A,0)+ROWS($2:9)-1))</f>
        <v>0.06</v>
      </c>
      <c r="Q9">
        <f>IF(ROWS($2:9)&gt;COUNTIF(Operational_RawData!$A:$A,"1_Operational"),"",INDEX(Operational_RawData!Q:Q,MATCH("1_Operational",Operational_RawData!$A:$A,0)+ROWS($2:9)-1))</f>
        <v>0.1</v>
      </c>
      <c r="R9" t="str">
        <f>IF(ROWS($2:9)&gt;COUNTIF(Operational_RawData!$A:$A,"1_Operational"),"",INDEX(Operational_RawData!R:R,MATCH("1_Operational",Operational_RawData!$A:$A,0)+ROWS($2:9)-1))</f>
        <v>Pass</v>
      </c>
      <c r="S9">
        <f>IF(ROWS($2:9)&gt;COUNTIF(Operational_RawData!$A:$A,"1_Operational"),"",INDEX(Operational_RawData!S:S,MATCH("1_Operational",Operational_RawData!$A:$A,0)+ROWS($2:9)-1))</f>
        <v>0</v>
      </c>
      <c r="T9">
        <f>IF(ROWS($2:9)&gt;COUNTIF(Operational_RawData!$A:$A,"1_Operational"),"",INDEX(Operational_RawData!T:T,MATCH("1_Operational",Operational_RawData!$A:$A,0)+ROWS($2:9)-1))</f>
        <v>0</v>
      </c>
    </row>
    <row r="10" spans="1:20">
      <c r="A10" t="str">
        <f>IF(ROWS($2:10)&gt;COUNTIF(Operational_RawData!$A:$A,"1_Operational"),"",INDEX(Operational_RawData!A:A,MATCH("1_Operational",Operational_RawData!$A:$A,0)+ROWS($2:10)-1))</f>
        <v>1_Operational</v>
      </c>
      <c r="B10">
        <f>IF(ROWS($2:10)&gt;COUNTIF(Operational_RawData!$A:$A,"1_Operational"),"",INDEX(Operational_RawData!B:B,MATCH("1_Operational",Operational_RawData!$A:$A,0)+ROWS($2:10)-1))</f>
        <v>144446.83100000001</v>
      </c>
      <c r="C10">
        <f>IF(ROWS($2:10)&gt;COUNTIF(Operational_RawData!$A:$A,"1_Operational"),"",INDEX(Operational_RawData!C:C,MATCH("1_Operational",Operational_RawData!$A:$A,0)+ROWS($2:10)-1))</f>
        <v>6.13</v>
      </c>
      <c r="D10">
        <f>IF(ROWS($2:10)&gt;COUNTIF(Operational_RawData!$A:$A,"1_Operational"),"",INDEX(Operational_RawData!D:D,MATCH("1_Operational",Operational_RawData!$A:$A,0)+ROWS($2:10)-1))</f>
        <v>1307.713</v>
      </c>
      <c r="E10">
        <f>IF(ROWS($2:10)&gt;COUNTIF(Operational_RawData!$A:$A,"1_Operational"),"",INDEX(Operational_RawData!E:E,MATCH("1_Operational",Operational_RawData!$A:$A,0)+ROWS($2:10)-1))</f>
        <v>3.58</v>
      </c>
      <c r="F10">
        <f>IF(ROWS($2:10)&gt;COUNTIF(Operational_RawData!$A:$A,"1_Operational"),"",INDEX(Operational_RawData!F:F,MATCH("1_Operational",Operational_RawData!$A:$A,0)+ROWS($2:10)-1))</f>
        <v>255.4</v>
      </c>
      <c r="G10">
        <f>IF(ROWS($2:10)&gt;COUNTIF(Operational_RawData!$A:$A,"1_Operational"),"",INDEX(Operational_RawData!G:G,MATCH("1_Operational",Operational_RawData!$A:$A,0)+ROWS($2:10)-1))</f>
        <v>255.4</v>
      </c>
      <c r="H10">
        <f>IF(ROWS($2:10)&gt;COUNTIF(Operational_RawData!$A:$A,"1_Operational"),"",INDEX(Operational_RawData!H:H,MATCH("1_Operational",Operational_RawData!$A:$A,0)+ROWS($2:10)-1))</f>
        <v>255.4</v>
      </c>
      <c r="I10">
        <f>IF(ROWS($2:10)&gt;COUNTIF(Operational_RawData!$A:$A,"1_Operational"),"",INDEX(Operational_RawData!I:I,MATCH("1_Operational",Operational_RawData!$A:$A,0)+ROWS($2:10)-1))</f>
        <v>255.4</v>
      </c>
      <c r="J10">
        <f>IF(ROWS($2:10)&gt;COUNTIF(Operational_RawData!$A:$A,"1_Operational"),"",INDEX(Operational_RawData!J:J,MATCH("1_Operational",Operational_RawData!$A:$A,0)+ROWS($2:10)-1))</f>
        <v>345.36</v>
      </c>
      <c r="K10">
        <f>IF(ROWS($2:10)&gt;COUNTIF(Operational_RawData!$A:$A,"1_Operational"),"",INDEX(Operational_RawData!K:K,MATCH("1_Operational",Operational_RawData!$A:$A,0)+ROWS($2:10)-1))</f>
        <v>345.36</v>
      </c>
      <c r="L10">
        <f>IF(ROWS($2:10)&gt;COUNTIF(Operational_RawData!$A:$A,"1_Operational"),"",INDEX(Operational_RawData!L:L,MATCH("1_Operational",Operational_RawData!$A:$A,0)+ROWS($2:10)-1))</f>
        <v>345.36</v>
      </c>
      <c r="M10">
        <f>IF(ROWS($2:10)&gt;COUNTIF(Operational_RawData!$A:$A,"1_Operational"),"",INDEX(Operational_RawData!M:M,MATCH("1_Operational",Operational_RawData!$A:$A,0)+ROWS($2:10)-1))</f>
        <v>345.36</v>
      </c>
      <c r="N10">
        <f>IF(ROWS($2:10)&gt;COUNTIF(Operational_RawData!$A:$A,"1_Operational"),"",INDEX(Operational_RawData!N:N,MATCH("1_Operational",Operational_RawData!$A:$A,0)+ROWS($2:10)-1))</f>
        <v>7.0000000000000007E-2</v>
      </c>
      <c r="O10">
        <f>IF(ROWS($2:10)&gt;COUNTIF(Operational_RawData!$A:$A,"1_Operational"),"",INDEX(Operational_RawData!O:O,MATCH("1_Operational",Operational_RawData!$A:$A,0)+ROWS($2:10)-1))</f>
        <v>0.19</v>
      </c>
      <c r="P10">
        <f>IF(ROWS($2:10)&gt;COUNTIF(Operational_RawData!$A:$A,"1_Operational"),"",INDEX(Operational_RawData!P:P,MATCH("1_Operational",Operational_RawData!$A:$A,0)+ROWS($2:10)-1))</f>
        <v>0.06</v>
      </c>
      <c r="Q10">
        <f>IF(ROWS($2:10)&gt;COUNTIF(Operational_RawData!$A:$A,"1_Operational"),"",INDEX(Operational_RawData!Q:Q,MATCH("1_Operational",Operational_RawData!$A:$A,0)+ROWS($2:10)-1))</f>
        <v>0.1</v>
      </c>
      <c r="R10" t="str">
        <f>IF(ROWS($2:10)&gt;COUNTIF(Operational_RawData!$A:$A,"1_Operational"),"",INDEX(Operational_RawData!R:R,MATCH("1_Operational",Operational_RawData!$A:$A,0)+ROWS($2:10)-1))</f>
        <v>Pass</v>
      </c>
      <c r="S10">
        <f>IF(ROWS($2:10)&gt;COUNTIF(Operational_RawData!$A:$A,"1_Operational"),"",INDEX(Operational_RawData!S:S,MATCH("1_Operational",Operational_RawData!$A:$A,0)+ROWS($2:10)-1))</f>
        <v>0</v>
      </c>
      <c r="T10">
        <f>IF(ROWS($2:10)&gt;COUNTIF(Operational_RawData!$A:$A,"1_Operational"),"",INDEX(Operational_RawData!T:T,MATCH("1_Operational",Operational_RawData!$A:$A,0)+ROWS($2:10)-1))</f>
        <v>0</v>
      </c>
    </row>
    <row r="11" spans="1:20">
      <c r="A11" t="str">
        <f>IF(ROWS($2:11)&gt;COUNTIF(Operational_RawData!$A:$A,"1_Operational"),"",INDEX(Operational_RawData!A:A,MATCH("1_Operational",Operational_RawData!$A:$A,0)+ROWS($2:11)-1))</f>
        <v>1_Operational</v>
      </c>
      <c r="B11">
        <f>IF(ROWS($2:11)&gt;COUNTIF(Operational_RawData!$A:$A,"1_Operational"),"",INDEX(Operational_RawData!B:B,MATCH("1_Operational",Operational_RawData!$A:$A,0)+ROWS($2:11)-1))</f>
        <v>144451.842</v>
      </c>
      <c r="C11">
        <f>IF(ROWS($2:11)&gt;COUNTIF(Operational_RawData!$A:$A,"1_Operational"),"",INDEX(Operational_RawData!C:C,MATCH("1_Operational",Operational_RawData!$A:$A,0)+ROWS($2:11)-1))</f>
        <v>6.87</v>
      </c>
      <c r="D11">
        <f>IF(ROWS($2:11)&gt;COUNTIF(Operational_RawData!$A:$A,"1_Operational"),"",INDEX(Operational_RawData!D:D,MATCH("1_Operational",Operational_RawData!$A:$A,0)+ROWS($2:11)-1))</f>
        <v>1307.768</v>
      </c>
      <c r="E11">
        <f>IF(ROWS($2:11)&gt;COUNTIF(Operational_RawData!$A:$A,"1_Operational"),"",INDEX(Operational_RawData!E:E,MATCH("1_Operational",Operational_RawData!$A:$A,0)+ROWS($2:11)-1))</f>
        <v>3.58</v>
      </c>
      <c r="F11">
        <f>IF(ROWS($2:11)&gt;COUNTIF(Operational_RawData!$A:$A,"1_Operational"),"",INDEX(Operational_RawData!F:F,MATCH("1_Operational",Operational_RawData!$A:$A,0)+ROWS($2:11)-1))</f>
        <v>253.48</v>
      </c>
      <c r="G11">
        <f>IF(ROWS($2:11)&gt;COUNTIF(Operational_RawData!$A:$A,"1_Operational"),"",INDEX(Operational_RawData!G:G,MATCH("1_Operational",Operational_RawData!$A:$A,0)+ROWS($2:11)-1))</f>
        <v>253.48</v>
      </c>
      <c r="H11">
        <f>IF(ROWS($2:11)&gt;COUNTIF(Operational_RawData!$A:$A,"1_Operational"),"",INDEX(Operational_RawData!H:H,MATCH("1_Operational",Operational_RawData!$A:$A,0)+ROWS($2:11)-1))</f>
        <v>253.48</v>
      </c>
      <c r="I11">
        <f>IF(ROWS($2:11)&gt;COUNTIF(Operational_RawData!$A:$A,"1_Operational"),"",INDEX(Operational_RawData!I:I,MATCH("1_Operational",Operational_RawData!$A:$A,0)+ROWS($2:11)-1))</f>
        <v>253.48</v>
      </c>
      <c r="J11">
        <f>IF(ROWS($2:11)&gt;COUNTIF(Operational_RawData!$A:$A,"1_Operational"),"",INDEX(Operational_RawData!J:J,MATCH("1_Operational",Operational_RawData!$A:$A,0)+ROWS($2:11)-1))</f>
        <v>344.08</v>
      </c>
      <c r="K11">
        <f>IF(ROWS($2:11)&gt;COUNTIF(Operational_RawData!$A:$A,"1_Operational"),"",INDEX(Operational_RawData!K:K,MATCH("1_Operational",Operational_RawData!$A:$A,0)+ROWS($2:11)-1))</f>
        <v>344.08</v>
      </c>
      <c r="L11">
        <f>IF(ROWS($2:11)&gt;COUNTIF(Operational_RawData!$A:$A,"1_Operational"),"",INDEX(Operational_RawData!L:L,MATCH("1_Operational",Operational_RawData!$A:$A,0)+ROWS($2:11)-1))</f>
        <v>344.08</v>
      </c>
      <c r="M11">
        <f>IF(ROWS($2:11)&gt;COUNTIF(Operational_RawData!$A:$A,"1_Operational"),"",INDEX(Operational_RawData!M:M,MATCH("1_Operational",Operational_RawData!$A:$A,0)+ROWS($2:11)-1))</f>
        <v>344.08</v>
      </c>
      <c r="N11">
        <f>IF(ROWS($2:11)&gt;COUNTIF(Operational_RawData!$A:$A,"1_Operational"),"",INDEX(Operational_RawData!N:N,MATCH("1_Operational",Operational_RawData!$A:$A,0)+ROWS($2:11)-1))</f>
        <v>7.0000000000000007E-2</v>
      </c>
      <c r="O11">
        <f>IF(ROWS($2:11)&gt;COUNTIF(Operational_RawData!$A:$A,"1_Operational"),"",INDEX(Operational_RawData!O:O,MATCH("1_Operational",Operational_RawData!$A:$A,0)+ROWS($2:11)-1))</f>
        <v>0.19</v>
      </c>
      <c r="P11">
        <f>IF(ROWS($2:11)&gt;COUNTIF(Operational_RawData!$A:$A,"1_Operational"),"",INDEX(Operational_RawData!P:P,MATCH("1_Operational",Operational_RawData!$A:$A,0)+ROWS($2:11)-1))</f>
        <v>0.06</v>
      </c>
      <c r="Q11">
        <f>IF(ROWS($2:11)&gt;COUNTIF(Operational_RawData!$A:$A,"1_Operational"),"",INDEX(Operational_RawData!Q:Q,MATCH("1_Operational",Operational_RawData!$A:$A,0)+ROWS($2:11)-1))</f>
        <v>0.1</v>
      </c>
      <c r="R11" t="str">
        <f>IF(ROWS($2:11)&gt;COUNTIF(Operational_RawData!$A:$A,"1_Operational"),"",INDEX(Operational_RawData!R:R,MATCH("1_Operational",Operational_RawData!$A:$A,0)+ROWS($2:11)-1))</f>
        <v>Pass</v>
      </c>
      <c r="S11">
        <f>IF(ROWS($2:11)&gt;COUNTIF(Operational_RawData!$A:$A,"1_Operational"),"",INDEX(Operational_RawData!S:S,MATCH("1_Operational",Operational_RawData!$A:$A,0)+ROWS($2:11)-1))</f>
        <v>0</v>
      </c>
      <c r="T11">
        <f>IF(ROWS($2:11)&gt;COUNTIF(Operational_RawData!$A:$A,"1_Operational"),"",INDEX(Operational_RawData!T:T,MATCH("1_Operational",Operational_RawData!$A:$A,0)+ROWS($2:11)-1))</f>
        <v>0</v>
      </c>
    </row>
    <row r="12" spans="1:20">
      <c r="A12" t="str">
        <f>IF(ROWS($2:12)&gt;COUNTIF(Operational_RawData!$A:$A,"1_Operational"),"",INDEX(Operational_RawData!A:A,MATCH("1_Operational",Operational_RawData!$A:$A,0)+ROWS($2:12)-1))</f>
        <v>1_Operational</v>
      </c>
      <c r="B12">
        <f>IF(ROWS($2:12)&gt;COUNTIF(Operational_RawData!$A:$A,"1_Operational"),"",INDEX(Operational_RawData!B:B,MATCH("1_Operational",Operational_RawData!$A:$A,0)+ROWS($2:12)-1))</f>
        <v>144456.84099999999</v>
      </c>
      <c r="C12">
        <f>IF(ROWS($2:12)&gt;COUNTIF(Operational_RawData!$A:$A,"1_Operational"),"",INDEX(Operational_RawData!C:C,MATCH("1_Operational",Operational_RawData!$A:$A,0)+ROWS($2:12)-1))</f>
        <v>7.63</v>
      </c>
      <c r="D12">
        <f>IF(ROWS($2:12)&gt;COUNTIF(Operational_RawData!$A:$A,"1_Operational"),"",INDEX(Operational_RawData!D:D,MATCH("1_Operational",Operational_RawData!$A:$A,0)+ROWS($2:12)-1))</f>
        <v>1307.816</v>
      </c>
      <c r="E12">
        <f>IF(ROWS($2:12)&gt;COUNTIF(Operational_RawData!$A:$A,"1_Operational"),"",INDEX(Operational_RawData!E:E,MATCH("1_Operational",Operational_RawData!$A:$A,0)+ROWS($2:12)-1))</f>
        <v>3.65</v>
      </c>
      <c r="F12">
        <f>IF(ROWS($2:12)&gt;COUNTIF(Operational_RawData!$A:$A,"1_Operational"),"",INDEX(Operational_RawData!F:F,MATCH("1_Operational",Operational_RawData!$A:$A,0)+ROWS($2:12)-1))</f>
        <v>251.36</v>
      </c>
      <c r="G12">
        <f>IF(ROWS($2:12)&gt;COUNTIF(Operational_RawData!$A:$A,"1_Operational"),"",INDEX(Operational_RawData!G:G,MATCH("1_Operational",Operational_RawData!$A:$A,0)+ROWS($2:12)-1))</f>
        <v>251.36</v>
      </c>
      <c r="H12">
        <f>IF(ROWS($2:12)&gt;COUNTIF(Operational_RawData!$A:$A,"1_Operational"),"",INDEX(Operational_RawData!H:H,MATCH("1_Operational",Operational_RawData!$A:$A,0)+ROWS($2:12)-1))</f>
        <v>251.36</v>
      </c>
      <c r="I12">
        <f>IF(ROWS($2:12)&gt;COUNTIF(Operational_RawData!$A:$A,"1_Operational"),"",INDEX(Operational_RawData!I:I,MATCH("1_Operational",Operational_RawData!$A:$A,0)+ROWS($2:12)-1))</f>
        <v>251.36</v>
      </c>
      <c r="J12">
        <f>IF(ROWS($2:12)&gt;COUNTIF(Operational_RawData!$A:$A,"1_Operational"),"",INDEX(Operational_RawData!J:J,MATCH("1_Operational",Operational_RawData!$A:$A,0)+ROWS($2:12)-1))</f>
        <v>342.72</v>
      </c>
      <c r="K12">
        <f>IF(ROWS($2:12)&gt;COUNTIF(Operational_RawData!$A:$A,"1_Operational"),"",INDEX(Operational_RawData!K:K,MATCH("1_Operational",Operational_RawData!$A:$A,0)+ROWS($2:12)-1))</f>
        <v>342.72</v>
      </c>
      <c r="L12">
        <f>IF(ROWS($2:12)&gt;COUNTIF(Operational_RawData!$A:$A,"1_Operational"),"",INDEX(Operational_RawData!L:L,MATCH("1_Operational",Operational_RawData!$A:$A,0)+ROWS($2:12)-1))</f>
        <v>342.72</v>
      </c>
      <c r="M12">
        <f>IF(ROWS($2:12)&gt;COUNTIF(Operational_RawData!$A:$A,"1_Operational"),"",INDEX(Operational_RawData!M:M,MATCH("1_Operational",Operational_RawData!$A:$A,0)+ROWS($2:12)-1))</f>
        <v>342.72</v>
      </c>
      <c r="N12">
        <f>IF(ROWS($2:12)&gt;COUNTIF(Operational_RawData!$A:$A,"1_Operational"),"",INDEX(Operational_RawData!N:N,MATCH("1_Operational",Operational_RawData!$A:$A,0)+ROWS($2:12)-1))</f>
        <v>0.06</v>
      </c>
      <c r="O12">
        <f>IF(ROWS($2:12)&gt;COUNTIF(Operational_RawData!$A:$A,"1_Operational"),"",INDEX(Operational_RawData!O:O,MATCH("1_Operational",Operational_RawData!$A:$A,0)+ROWS($2:12)-1))</f>
        <v>0.19</v>
      </c>
      <c r="P12">
        <f>IF(ROWS($2:12)&gt;COUNTIF(Operational_RawData!$A:$A,"1_Operational"),"",INDEX(Operational_RawData!P:P,MATCH("1_Operational",Operational_RawData!$A:$A,0)+ROWS($2:12)-1))</f>
        <v>0.06</v>
      </c>
      <c r="Q12">
        <f>IF(ROWS($2:12)&gt;COUNTIF(Operational_RawData!$A:$A,"1_Operational"),"",INDEX(Operational_RawData!Q:Q,MATCH("1_Operational",Operational_RawData!$A:$A,0)+ROWS($2:12)-1))</f>
        <v>0.1</v>
      </c>
      <c r="R12" t="str">
        <f>IF(ROWS($2:12)&gt;COUNTIF(Operational_RawData!$A:$A,"1_Operational"),"",INDEX(Operational_RawData!R:R,MATCH("1_Operational",Operational_RawData!$A:$A,0)+ROWS($2:12)-1))</f>
        <v>Pass</v>
      </c>
      <c r="S12">
        <f>IF(ROWS($2:12)&gt;COUNTIF(Operational_RawData!$A:$A,"1_Operational"),"",INDEX(Operational_RawData!S:S,MATCH("1_Operational",Operational_RawData!$A:$A,0)+ROWS($2:12)-1))</f>
        <v>0</v>
      </c>
      <c r="T12">
        <f>IF(ROWS($2:12)&gt;COUNTIF(Operational_RawData!$A:$A,"1_Operational"),"",INDEX(Operational_RawData!T:T,MATCH("1_Operational",Operational_RawData!$A:$A,0)+ROWS($2:12)-1))</f>
        <v>0</v>
      </c>
    </row>
    <row r="13" spans="1:20">
      <c r="A13" t="str">
        <f>IF(ROWS($2:13)&gt;COUNTIF(Operational_RawData!$A:$A,"1_Operational"),"",INDEX(Operational_RawData!A:A,MATCH("1_Operational",Operational_RawData!$A:$A,0)+ROWS($2:13)-1))</f>
        <v>1_Operational</v>
      </c>
      <c r="B13">
        <f>IF(ROWS($2:13)&gt;COUNTIF(Operational_RawData!$A:$A,"1_Operational"),"",INDEX(Operational_RawData!B:B,MATCH("1_Operational",Operational_RawData!$A:$A,0)+ROWS($2:13)-1))</f>
        <v>144501.83900000001</v>
      </c>
      <c r="C13">
        <f>IF(ROWS($2:13)&gt;COUNTIF(Operational_RawData!$A:$A,"1_Operational"),"",INDEX(Operational_RawData!C:C,MATCH("1_Operational",Operational_RawData!$A:$A,0)+ROWS($2:13)-1))</f>
        <v>8.36</v>
      </c>
      <c r="D13">
        <f>IF(ROWS($2:13)&gt;COUNTIF(Operational_RawData!$A:$A,"1_Operational"),"",INDEX(Operational_RawData!D:D,MATCH("1_Operational",Operational_RawData!$A:$A,0)+ROWS($2:13)-1))</f>
        <v>1307.873</v>
      </c>
      <c r="E13">
        <f>IF(ROWS($2:13)&gt;COUNTIF(Operational_RawData!$A:$A,"1_Operational"),"",INDEX(Operational_RawData!E:E,MATCH("1_Operational",Operational_RawData!$A:$A,0)+ROWS($2:13)-1))</f>
        <v>3.64</v>
      </c>
      <c r="F13">
        <f>IF(ROWS($2:13)&gt;COUNTIF(Operational_RawData!$A:$A,"1_Operational"),"",INDEX(Operational_RawData!F:F,MATCH("1_Operational",Operational_RawData!$A:$A,0)+ROWS($2:13)-1))</f>
        <v>249.72</v>
      </c>
      <c r="G13">
        <f>IF(ROWS($2:13)&gt;COUNTIF(Operational_RawData!$A:$A,"1_Operational"),"",INDEX(Operational_RawData!G:G,MATCH("1_Operational",Operational_RawData!$A:$A,0)+ROWS($2:13)-1))</f>
        <v>249.72</v>
      </c>
      <c r="H13">
        <f>IF(ROWS($2:13)&gt;COUNTIF(Operational_RawData!$A:$A,"1_Operational"),"",INDEX(Operational_RawData!H:H,MATCH("1_Operational",Operational_RawData!$A:$A,0)+ROWS($2:13)-1))</f>
        <v>249.72</v>
      </c>
      <c r="I13">
        <f>IF(ROWS($2:13)&gt;COUNTIF(Operational_RawData!$A:$A,"1_Operational"),"",INDEX(Operational_RawData!I:I,MATCH("1_Operational",Operational_RawData!$A:$A,0)+ROWS($2:13)-1))</f>
        <v>249.72</v>
      </c>
      <c r="J13">
        <f>IF(ROWS($2:13)&gt;COUNTIF(Operational_RawData!$A:$A,"1_Operational"),"",INDEX(Operational_RawData!J:J,MATCH("1_Operational",Operational_RawData!$A:$A,0)+ROWS($2:13)-1))</f>
        <v>341.36</v>
      </c>
      <c r="K13">
        <f>IF(ROWS($2:13)&gt;COUNTIF(Operational_RawData!$A:$A,"1_Operational"),"",INDEX(Operational_RawData!K:K,MATCH("1_Operational",Operational_RawData!$A:$A,0)+ROWS($2:13)-1))</f>
        <v>341.36</v>
      </c>
      <c r="L13">
        <f>IF(ROWS($2:13)&gt;COUNTIF(Operational_RawData!$A:$A,"1_Operational"),"",INDEX(Operational_RawData!L:L,MATCH("1_Operational",Operational_RawData!$A:$A,0)+ROWS($2:13)-1))</f>
        <v>341.36</v>
      </c>
      <c r="M13">
        <f>IF(ROWS($2:13)&gt;COUNTIF(Operational_RawData!$A:$A,"1_Operational"),"",INDEX(Operational_RawData!M:M,MATCH("1_Operational",Operational_RawData!$A:$A,0)+ROWS($2:13)-1))</f>
        <v>341.36</v>
      </c>
      <c r="N13">
        <f>IF(ROWS($2:13)&gt;COUNTIF(Operational_RawData!$A:$A,"1_Operational"),"",INDEX(Operational_RawData!N:N,MATCH("1_Operational",Operational_RawData!$A:$A,0)+ROWS($2:13)-1))</f>
        <v>0.08</v>
      </c>
      <c r="O13">
        <f>IF(ROWS($2:13)&gt;COUNTIF(Operational_RawData!$A:$A,"1_Operational"),"",INDEX(Operational_RawData!O:O,MATCH("1_Operational",Operational_RawData!$A:$A,0)+ROWS($2:13)-1))</f>
        <v>0.19</v>
      </c>
      <c r="P13">
        <f>IF(ROWS($2:13)&gt;COUNTIF(Operational_RawData!$A:$A,"1_Operational"),"",INDEX(Operational_RawData!P:P,MATCH("1_Operational",Operational_RawData!$A:$A,0)+ROWS($2:13)-1))</f>
        <v>0.06</v>
      </c>
      <c r="Q13">
        <f>IF(ROWS($2:13)&gt;COUNTIF(Operational_RawData!$A:$A,"1_Operational"),"",INDEX(Operational_RawData!Q:Q,MATCH("1_Operational",Operational_RawData!$A:$A,0)+ROWS($2:13)-1))</f>
        <v>0.1</v>
      </c>
      <c r="R13" t="str">
        <f>IF(ROWS($2:13)&gt;COUNTIF(Operational_RawData!$A:$A,"1_Operational"),"",INDEX(Operational_RawData!R:R,MATCH("1_Operational",Operational_RawData!$A:$A,0)+ROWS($2:13)-1))</f>
        <v>Pass</v>
      </c>
      <c r="S13">
        <f>IF(ROWS($2:13)&gt;COUNTIF(Operational_RawData!$A:$A,"1_Operational"),"",INDEX(Operational_RawData!S:S,MATCH("1_Operational",Operational_RawData!$A:$A,0)+ROWS($2:13)-1))</f>
        <v>0</v>
      </c>
      <c r="T13">
        <f>IF(ROWS($2:13)&gt;COUNTIF(Operational_RawData!$A:$A,"1_Operational"),"",INDEX(Operational_RawData!T:T,MATCH("1_Operational",Operational_RawData!$A:$A,0)+ROWS($2:13)-1))</f>
        <v>0</v>
      </c>
    </row>
    <row r="14" spans="1:20">
      <c r="A14" t="str">
        <f>IF(ROWS($2:14)&gt;COUNTIF(Operational_RawData!$A:$A,"1_Operational"),"",INDEX(Operational_RawData!A:A,MATCH("1_Operational",Operational_RawData!$A:$A,0)+ROWS($2:14)-1))</f>
        <v>1_Operational</v>
      </c>
      <c r="B14">
        <f>IF(ROWS($2:14)&gt;COUNTIF(Operational_RawData!$A:$A,"1_Operational"),"",INDEX(Operational_RawData!B:B,MATCH("1_Operational",Operational_RawData!$A:$A,0)+ROWS($2:14)-1))</f>
        <v>144506.84599999999</v>
      </c>
      <c r="C14">
        <f>IF(ROWS($2:14)&gt;COUNTIF(Operational_RawData!$A:$A,"1_Operational"),"",INDEX(Operational_RawData!C:C,MATCH("1_Operational",Operational_RawData!$A:$A,0)+ROWS($2:14)-1))</f>
        <v>9.1199999999999992</v>
      </c>
      <c r="D14">
        <f>IF(ROWS($2:14)&gt;COUNTIF(Operational_RawData!$A:$A,"1_Operational"),"",INDEX(Operational_RawData!D:D,MATCH("1_Operational",Operational_RawData!$A:$A,0)+ROWS($2:14)-1))</f>
        <v>1307.934</v>
      </c>
      <c r="E14">
        <f>IF(ROWS($2:14)&gt;COUNTIF(Operational_RawData!$A:$A,"1_Operational"),"",INDEX(Operational_RawData!E:E,MATCH("1_Operational",Operational_RawData!$A:$A,0)+ROWS($2:14)-1))</f>
        <v>3.61</v>
      </c>
      <c r="F14">
        <f>IF(ROWS($2:14)&gt;COUNTIF(Operational_RawData!$A:$A,"1_Operational"),"",INDEX(Operational_RawData!F:F,MATCH("1_Operational",Operational_RawData!$A:$A,0)+ROWS($2:14)-1))</f>
        <v>247.68</v>
      </c>
      <c r="G14">
        <f>IF(ROWS($2:14)&gt;COUNTIF(Operational_RawData!$A:$A,"1_Operational"),"",INDEX(Operational_RawData!G:G,MATCH("1_Operational",Operational_RawData!$A:$A,0)+ROWS($2:14)-1))</f>
        <v>247.68</v>
      </c>
      <c r="H14">
        <f>IF(ROWS($2:14)&gt;COUNTIF(Operational_RawData!$A:$A,"1_Operational"),"",INDEX(Operational_RawData!H:H,MATCH("1_Operational",Operational_RawData!$A:$A,0)+ROWS($2:14)-1))</f>
        <v>247.68</v>
      </c>
      <c r="I14">
        <f>IF(ROWS($2:14)&gt;COUNTIF(Operational_RawData!$A:$A,"1_Operational"),"",INDEX(Operational_RawData!I:I,MATCH("1_Operational",Operational_RawData!$A:$A,0)+ROWS($2:14)-1))</f>
        <v>247.68</v>
      </c>
      <c r="J14">
        <f>IF(ROWS($2:14)&gt;COUNTIF(Operational_RawData!$A:$A,"1_Operational"),"",INDEX(Operational_RawData!J:J,MATCH("1_Operational",Operational_RawData!$A:$A,0)+ROWS($2:14)-1))</f>
        <v>339.88</v>
      </c>
      <c r="K14">
        <f>IF(ROWS($2:14)&gt;COUNTIF(Operational_RawData!$A:$A,"1_Operational"),"",INDEX(Operational_RawData!K:K,MATCH("1_Operational",Operational_RawData!$A:$A,0)+ROWS($2:14)-1))</f>
        <v>339.88</v>
      </c>
      <c r="L14">
        <f>IF(ROWS($2:14)&gt;COUNTIF(Operational_RawData!$A:$A,"1_Operational"),"",INDEX(Operational_RawData!L:L,MATCH("1_Operational",Operational_RawData!$A:$A,0)+ROWS($2:14)-1))</f>
        <v>339.88</v>
      </c>
      <c r="M14">
        <f>IF(ROWS($2:14)&gt;COUNTIF(Operational_RawData!$A:$A,"1_Operational"),"",INDEX(Operational_RawData!M:M,MATCH("1_Operational",Operational_RawData!$A:$A,0)+ROWS($2:14)-1))</f>
        <v>339.88</v>
      </c>
      <c r="N14">
        <f>IF(ROWS($2:14)&gt;COUNTIF(Operational_RawData!$A:$A,"1_Operational"),"",INDEX(Operational_RawData!N:N,MATCH("1_Operational",Operational_RawData!$A:$A,0)+ROWS($2:14)-1))</f>
        <v>0.08</v>
      </c>
      <c r="O14">
        <f>IF(ROWS($2:14)&gt;COUNTIF(Operational_RawData!$A:$A,"1_Operational"),"",INDEX(Operational_RawData!O:O,MATCH("1_Operational",Operational_RawData!$A:$A,0)+ROWS($2:14)-1))</f>
        <v>0.19</v>
      </c>
      <c r="P14">
        <f>IF(ROWS($2:14)&gt;COUNTIF(Operational_RawData!$A:$A,"1_Operational"),"",INDEX(Operational_RawData!P:P,MATCH("1_Operational",Operational_RawData!$A:$A,0)+ROWS($2:14)-1))</f>
        <v>0.06</v>
      </c>
      <c r="Q14">
        <f>IF(ROWS($2:14)&gt;COUNTIF(Operational_RawData!$A:$A,"1_Operational"),"",INDEX(Operational_RawData!Q:Q,MATCH("1_Operational",Operational_RawData!$A:$A,0)+ROWS($2:14)-1))</f>
        <v>0.1</v>
      </c>
      <c r="R14" t="str">
        <f>IF(ROWS($2:14)&gt;COUNTIF(Operational_RawData!$A:$A,"1_Operational"),"",INDEX(Operational_RawData!R:R,MATCH("1_Operational",Operational_RawData!$A:$A,0)+ROWS($2:14)-1))</f>
        <v>Pass</v>
      </c>
      <c r="S14">
        <f>IF(ROWS($2:14)&gt;COUNTIF(Operational_RawData!$A:$A,"1_Operational"),"",INDEX(Operational_RawData!S:S,MATCH("1_Operational",Operational_RawData!$A:$A,0)+ROWS($2:14)-1))</f>
        <v>0</v>
      </c>
      <c r="T14">
        <f>IF(ROWS($2:14)&gt;COUNTIF(Operational_RawData!$A:$A,"1_Operational"),"",INDEX(Operational_RawData!T:T,MATCH("1_Operational",Operational_RawData!$A:$A,0)+ROWS($2:14)-1))</f>
        <v>0</v>
      </c>
    </row>
    <row r="15" spans="1:20">
      <c r="A15" t="str">
        <f>IF(ROWS($2:15)&gt;COUNTIF(Operational_RawData!$A:$A,"1_Operational"),"",INDEX(Operational_RawData!A:A,MATCH("1_Operational",Operational_RawData!$A:$A,0)+ROWS($2:15)-1))</f>
        <v>1_Operational</v>
      </c>
      <c r="B15">
        <f>IF(ROWS($2:15)&gt;COUNTIF(Operational_RawData!$A:$A,"1_Operational"),"",INDEX(Operational_RawData!B:B,MATCH("1_Operational",Operational_RawData!$A:$A,0)+ROWS($2:15)-1))</f>
        <v>144511.84</v>
      </c>
      <c r="C15">
        <f>IF(ROWS($2:15)&gt;COUNTIF(Operational_RawData!$A:$A,"1_Operational"),"",INDEX(Operational_RawData!C:C,MATCH("1_Operational",Operational_RawData!$A:$A,0)+ROWS($2:15)-1))</f>
        <v>9.85</v>
      </c>
      <c r="D15">
        <f>IF(ROWS($2:15)&gt;COUNTIF(Operational_RawData!$A:$A,"1_Operational"),"",INDEX(Operational_RawData!D:D,MATCH("1_Operational",Operational_RawData!$A:$A,0)+ROWS($2:15)-1))</f>
        <v>1307.991</v>
      </c>
      <c r="E15">
        <f>IF(ROWS($2:15)&gt;COUNTIF(Operational_RawData!$A:$A,"1_Operational"),"",INDEX(Operational_RawData!E:E,MATCH("1_Operational",Operational_RawData!$A:$A,0)+ROWS($2:15)-1))</f>
        <v>3.59</v>
      </c>
      <c r="F15">
        <f>IF(ROWS($2:15)&gt;COUNTIF(Operational_RawData!$A:$A,"1_Operational"),"",INDEX(Operational_RawData!F:F,MATCH("1_Operational",Operational_RawData!$A:$A,0)+ROWS($2:15)-1))</f>
        <v>246.04</v>
      </c>
      <c r="G15">
        <f>IF(ROWS($2:15)&gt;COUNTIF(Operational_RawData!$A:$A,"1_Operational"),"",INDEX(Operational_RawData!G:G,MATCH("1_Operational",Operational_RawData!$A:$A,0)+ROWS($2:15)-1))</f>
        <v>246.04</v>
      </c>
      <c r="H15">
        <f>IF(ROWS($2:15)&gt;COUNTIF(Operational_RawData!$A:$A,"1_Operational"),"",INDEX(Operational_RawData!H:H,MATCH("1_Operational",Operational_RawData!$A:$A,0)+ROWS($2:15)-1))</f>
        <v>246.04</v>
      </c>
      <c r="I15">
        <f>IF(ROWS($2:15)&gt;COUNTIF(Operational_RawData!$A:$A,"1_Operational"),"",INDEX(Operational_RawData!I:I,MATCH("1_Operational",Operational_RawData!$A:$A,0)+ROWS($2:15)-1))</f>
        <v>246.04</v>
      </c>
      <c r="J15">
        <f>IF(ROWS($2:15)&gt;COUNTIF(Operational_RawData!$A:$A,"1_Operational"),"",INDEX(Operational_RawData!J:J,MATCH("1_Operational",Operational_RawData!$A:$A,0)+ROWS($2:15)-1))</f>
        <v>338.36</v>
      </c>
      <c r="K15">
        <f>IF(ROWS($2:15)&gt;COUNTIF(Operational_RawData!$A:$A,"1_Operational"),"",INDEX(Operational_RawData!K:K,MATCH("1_Operational",Operational_RawData!$A:$A,0)+ROWS($2:15)-1))</f>
        <v>338.36</v>
      </c>
      <c r="L15">
        <f>IF(ROWS($2:15)&gt;COUNTIF(Operational_RawData!$A:$A,"1_Operational"),"",INDEX(Operational_RawData!L:L,MATCH("1_Operational",Operational_RawData!$A:$A,0)+ROWS($2:15)-1))</f>
        <v>338.36</v>
      </c>
      <c r="M15">
        <f>IF(ROWS($2:15)&gt;COUNTIF(Operational_RawData!$A:$A,"1_Operational"),"",INDEX(Operational_RawData!M:M,MATCH("1_Operational",Operational_RawData!$A:$A,0)+ROWS($2:15)-1))</f>
        <v>338.36</v>
      </c>
      <c r="N15">
        <f>IF(ROWS($2:15)&gt;COUNTIF(Operational_RawData!$A:$A,"1_Operational"),"",INDEX(Operational_RawData!N:N,MATCH("1_Operational",Operational_RawData!$A:$A,0)+ROWS($2:15)-1))</f>
        <v>0.08</v>
      </c>
      <c r="O15">
        <f>IF(ROWS($2:15)&gt;COUNTIF(Operational_RawData!$A:$A,"1_Operational"),"",INDEX(Operational_RawData!O:O,MATCH("1_Operational",Operational_RawData!$A:$A,0)+ROWS($2:15)-1))</f>
        <v>0.19</v>
      </c>
      <c r="P15">
        <f>IF(ROWS($2:15)&gt;COUNTIF(Operational_RawData!$A:$A,"1_Operational"),"",INDEX(Operational_RawData!P:P,MATCH("1_Operational",Operational_RawData!$A:$A,0)+ROWS($2:15)-1))</f>
        <v>0.06</v>
      </c>
      <c r="Q15">
        <f>IF(ROWS($2:15)&gt;COUNTIF(Operational_RawData!$A:$A,"1_Operational"),"",INDEX(Operational_RawData!Q:Q,MATCH("1_Operational",Operational_RawData!$A:$A,0)+ROWS($2:15)-1))</f>
        <v>0.1</v>
      </c>
      <c r="R15" t="str">
        <f>IF(ROWS($2:15)&gt;COUNTIF(Operational_RawData!$A:$A,"1_Operational"),"",INDEX(Operational_RawData!R:R,MATCH("1_Operational",Operational_RawData!$A:$A,0)+ROWS($2:15)-1))</f>
        <v>Pass</v>
      </c>
      <c r="S15">
        <f>IF(ROWS($2:15)&gt;COUNTIF(Operational_RawData!$A:$A,"1_Operational"),"",INDEX(Operational_RawData!S:S,MATCH("1_Operational",Operational_RawData!$A:$A,0)+ROWS($2:15)-1))</f>
        <v>0</v>
      </c>
      <c r="T15">
        <f>IF(ROWS($2:15)&gt;COUNTIF(Operational_RawData!$A:$A,"1_Operational"),"",INDEX(Operational_RawData!T:T,MATCH("1_Operational",Operational_RawData!$A:$A,0)+ROWS($2:15)-1))</f>
        <v>0</v>
      </c>
    </row>
    <row r="16" spans="1:20">
      <c r="A16" t="str">
        <f>IF(ROWS($2:16)&gt;COUNTIF(Operational_RawData!$A:$A,"1_Operational"),"",INDEX(Operational_RawData!A:A,MATCH("1_Operational",Operational_RawData!$A:$A,0)+ROWS($2:16)-1))</f>
        <v>1_Operational</v>
      </c>
      <c r="B16">
        <f>IF(ROWS($2:16)&gt;COUNTIF(Operational_RawData!$A:$A,"1_Operational"),"",INDEX(Operational_RawData!B:B,MATCH("1_Operational",Operational_RawData!$A:$A,0)+ROWS($2:16)-1))</f>
        <v>144516.84400000001</v>
      </c>
      <c r="C16">
        <f>IF(ROWS($2:16)&gt;COUNTIF(Operational_RawData!$A:$A,"1_Operational"),"",INDEX(Operational_RawData!C:C,MATCH("1_Operational",Operational_RawData!$A:$A,0)+ROWS($2:16)-1))</f>
        <v>10.61</v>
      </c>
      <c r="D16">
        <f>IF(ROWS($2:16)&gt;COUNTIF(Operational_RawData!$A:$A,"1_Operational"),"",INDEX(Operational_RawData!D:D,MATCH("1_Operational",Operational_RawData!$A:$A,0)+ROWS($2:16)-1))</f>
        <v>1308.048</v>
      </c>
      <c r="E16">
        <f>IF(ROWS($2:16)&gt;COUNTIF(Operational_RawData!$A:$A,"1_Operational"),"",INDEX(Operational_RawData!E:E,MATCH("1_Operational",Operational_RawData!$A:$A,0)+ROWS($2:16)-1))</f>
        <v>3.6</v>
      </c>
      <c r="F16">
        <f>IF(ROWS($2:16)&gt;COUNTIF(Operational_RawData!$A:$A,"1_Operational"),"",INDEX(Operational_RawData!F:F,MATCH("1_Operational",Operational_RawData!$A:$A,0)+ROWS($2:16)-1))</f>
        <v>244.28</v>
      </c>
      <c r="G16">
        <f>IF(ROWS($2:16)&gt;COUNTIF(Operational_RawData!$A:$A,"1_Operational"),"",INDEX(Operational_RawData!G:G,MATCH("1_Operational",Operational_RawData!$A:$A,0)+ROWS($2:16)-1))</f>
        <v>244.28</v>
      </c>
      <c r="H16">
        <f>IF(ROWS($2:16)&gt;COUNTIF(Operational_RawData!$A:$A,"1_Operational"),"",INDEX(Operational_RawData!H:H,MATCH("1_Operational",Operational_RawData!$A:$A,0)+ROWS($2:16)-1))</f>
        <v>244.28</v>
      </c>
      <c r="I16">
        <f>IF(ROWS($2:16)&gt;COUNTIF(Operational_RawData!$A:$A,"1_Operational"),"",INDEX(Operational_RawData!I:I,MATCH("1_Operational",Operational_RawData!$A:$A,0)+ROWS($2:16)-1))</f>
        <v>244.28</v>
      </c>
      <c r="J16">
        <f>IF(ROWS($2:16)&gt;COUNTIF(Operational_RawData!$A:$A,"1_Operational"),"",INDEX(Operational_RawData!J:J,MATCH("1_Operational",Operational_RawData!$A:$A,0)+ROWS($2:16)-1))</f>
        <v>336.8</v>
      </c>
      <c r="K16">
        <f>IF(ROWS($2:16)&gt;COUNTIF(Operational_RawData!$A:$A,"1_Operational"),"",INDEX(Operational_RawData!K:K,MATCH("1_Operational",Operational_RawData!$A:$A,0)+ROWS($2:16)-1))</f>
        <v>336.8</v>
      </c>
      <c r="L16">
        <f>IF(ROWS($2:16)&gt;COUNTIF(Operational_RawData!$A:$A,"1_Operational"),"",INDEX(Operational_RawData!L:L,MATCH("1_Operational",Operational_RawData!$A:$A,0)+ROWS($2:16)-1))</f>
        <v>336.8</v>
      </c>
      <c r="M16">
        <f>IF(ROWS($2:16)&gt;COUNTIF(Operational_RawData!$A:$A,"1_Operational"),"",INDEX(Operational_RawData!M:M,MATCH("1_Operational",Operational_RawData!$A:$A,0)+ROWS($2:16)-1))</f>
        <v>336.8</v>
      </c>
      <c r="N16">
        <f>IF(ROWS($2:16)&gt;COUNTIF(Operational_RawData!$A:$A,"1_Operational"),"",INDEX(Operational_RawData!N:N,MATCH("1_Operational",Operational_RawData!$A:$A,0)+ROWS($2:16)-1))</f>
        <v>0.08</v>
      </c>
      <c r="O16">
        <f>IF(ROWS($2:16)&gt;COUNTIF(Operational_RawData!$A:$A,"1_Operational"),"",INDEX(Operational_RawData!O:O,MATCH("1_Operational",Operational_RawData!$A:$A,0)+ROWS($2:16)-1))</f>
        <v>0.19</v>
      </c>
      <c r="P16">
        <f>IF(ROWS($2:16)&gt;COUNTIF(Operational_RawData!$A:$A,"1_Operational"),"",INDEX(Operational_RawData!P:P,MATCH("1_Operational",Operational_RawData!$A:$A,0)+ROWS($2:16)-1))</f>
        <v>0.06</v>
      </c>
      <c r="Q16">
        <f>IF(ROWS($2:16)&gt;COUNTIF(Operational_RawData!$A:$A,"1_Operational"),"",INDEX(Operational_RawData!Q:Q,MATCH("1_Operational",Operational_RawData!$A:$A,0)+ROWS($2:16)-1))</f>
        <v>0.1</v>
      </c>
      <c r="R16" t="str">
        <f>IF(ROWS($2:16)&gt;COUNTIF(Operational_RawData!$A:$A,"1_Operational"),"",INDEX(Operational_RawData!R:R,MATCH("1_Operational",Operational_RawData!$A:$A,0)+ROWS($2:16)-1))</f>
        <v>Pass</v>
      </c>
      <c r="S16">
        <f>IF(ROWS($2:16)&gt;COUNTIF(Operational_RawData!$A:$A,"1_Operational"),"",INDEX(Operational_RawData!S:S,MATCH("1_Operational",Operational_RawData!$A:$A,0)+ROWS($2:16)-1))</f>
        <v>0</v>
      </c>
      <c r="T16">
        <f>IF(ROWS($2:16)&gt;COUNTIF(Operational_RawData!$A:$A,"1_Operational"),"",INDEX(Operational_RawData!T:T,MATCH("1_Operational",Operational_RawData!$A:$A,0)+ROWS($2:16)-1))</f>
        <v>0</v>
      </c>
    </row>
    <row r="17" spans="1:20">
      <c r="A17" t="str">
        <f>IF(ROWS($2:17)&gt;COUNTIF(Operational_RawData!$A:$A,"1_Operational"),"",INDEX(Operational_RawData!A:A,MATCH("1_Operational",Operational_RawData!$A:$A,0)+ROWS($2:17)-1))</f>
        <v>1_Operational</v>
      </c>
      <c r="B17">
        <f>IF(ROWS($2:17)&gt;COUNTIF(Operational_RawData!$A:$A,"1_Operational"),"",INDEX(Operational_RawData!B:B,MATCH("1_Operational",Operational_RawData!$A:$A,0)+ROWS($2:17)-1))</f>
        <v>144521.84099999999</v>
      </c>
      <c r="C17">
        <f>IF(ROWS($2:17)&gt;COUNTIF(Operational_RawData!$A:$A,"1_Operational"),"",INDEX(Operational_RawData!C:C,MATCH("1_Operational",Operational_RawData!$A:$A,0)+ROWS($2:17)-1))</f>
        <v>11.33</v>
      </c>
      <c r="D17">
        <f>IF(ROWS($2:17)&gt;COUNTIF(Operational_RawData!$A:$A,"1_Operational"),"",INDEX(Operational_RawData!D:D,MATCH("1_Operational",Operational_RawData!$A:$A,0)+ROWS($2:17)-1))</f>
        <v>1308.107</v>
      </c>
      <c r="E17">
        <f>IF(ROWS($2:17)&gt;COUNTIF(Operational_RawData!$A:$A,"1_Operational"),"",INDEX(Operational_RawData!E:E,MATCH("1_Operational",Operational_RawData!$A:$A,0)+ROWS($2:17)-1))</f>
        <v>3.56</v>
      </c>
      <c r="F17">
        <f>IF(ROWS($2:17)&gt;COUNTIF(Operational_RawData!$A:$A,"1_Operational"),"",INDEX(Operational_RawData!F:F,MATCH("1_Operational",Operational_RawData!$A:$A,0)+ROWS($2:17)-1))</f>
        <v>242.4</v>
      </c>
      <c r="G17">
        <f>IF(ROWS($2:17)&gt;COUNTIF(Operational_RawData!$A:$A,"1_Operational"),"",INDEX(Operational_RawData!G:G,MATCH("1_Operational",Operational_RawData!$A:$A,0)+ROWS($2:17)-1))</f>
        <v>242.4</v>
      </c>
      <c r="H17">
        <f>IF(ROWS($2:17)&gt;COUNTIF(Operational_RawData!$A:$A,"1_Operational"),"",INDEX(Operational_RawData!H:H,MATCH("1_Operational",Operational_RawData!$A:$A,0)+ROWS($2:17)-1))</f>
        <v>242.4</v>
      </c>
      <c r="I17">
        <f>IF(ROWS($2:17)&gt;COUNTIF(Operational_RawData!$A:$A,"1_Operational"),"",INDEX(Operational_RawData!I:I,MATCH("1_Operational",Operational_RawData!$A:$A,0)+ROWS($2:17)-1))</f>
        <v>242.4</v>
      </c>
      <c r="J17">
        <f>IF(ROWS($2:17)&gt;COUNTIF(Operational_RawData!$A:$A,"1_Operational"),"",INDEX(Operational_RawData!J:J,MATCH("1_Operational",Operational_RawData!$A:$A,0)+ROWS($2:17)-1))</f>
        <v>335.44</v>
      </c>
      <c r="K17">
        <f>IF(ROWS($2:17)&gt;COUNTIF(Operational_RawData!$A:$A,"1_Operational"),"",INDEX(Operational_RawData!K:K,MATCH("1_Operational",Operational_RawData!$A:$A,0)+ROWS($2:17)-1))</f>
        <v>335.44</v>
      </c>
      <c r="L17">
        <f>IF(ROWS($2:17)&gt;COUNTIF(Operational_RawData!$A:$A,"1_Operational"),"",INDEX(Operational_RawData!L:L,MATCH("1_Operational",Operational_RawData!$A:$A,0)+ROWS($2:17)-1))</f>
        <v>335.44</v>
      </c>
      <c r="M17">
        <f>IF(ROWS($2:17)&gt;COUNTIF(Operational_RawData!$A:$A,"1_Operational"),"",INDEX(Operational_RawData!M:M,MATCH("1_Operational",Operational_RawData!$A:$A,0)+ROWS($2:17)-1))</f>
        <v>335.44</v>
      </c>
      <c r="N17">
        <f>IF(ROWS($2:17)&gt;COUNTIF(Operational_RawData!$A:$A,"1_Operational"),"",INDEX(Operational_RawData!N:N,MATCH("1_Operational",Operational_RawData!$A:$A,0)+ROWS($2:17)-1))</f>
        <v>0.08</v>
      </c>
      <c r="O17">
        <f>IF(ROWS($2:17)&gt;COUNTIF(Operational_RawData!$A:$A,"1_Operational"),"",INDEX(Operational_RawData!O:O,MATCH("1_Operational",Operational_RawData!$A:$A,0)+ROWS($2:17)-1))</f>
        <v>0.19</v>
      </c>
      <c r="P17">
        <f>IF(ROWS($2:17)&gt;COUNTIF(Operational_RawData!$A:$A,"1_Operational"),"",INDEX(Operational_RawData!P:P,MATCH("1_Operational",Operational_RawData!$A:$A,0)+ROWS($2:17)-1))</f>
        <v>0.06</v>
      </c>
      <c r="Q17">
        <f>IF(ROWS($2:17)&gt;COUNTIF(Operational_RawData!$A:$A,"1_Operational"),"",INDEX(Operational_RawData!Q:Q,MATCH("1_Operational",Operational_RawData!$A:$A,0)+ROWS($2:17)-1))</f>
        <v>0.1</v>
      </c>
      <c r="R17" t="str">
        <f>IF(ROWS($2:17)&gt;COUNTIF(Operational_RawData!$A:$A,"1_Operational"),"",INDEX(Operational_RawData!R:R,MATCH("1_Operational",Operational_RawData!$A:$A,0)+ROWS($2:17)-1))</f>
        <v>Pass</v>
      </c>
      <c r="S17">
        <f>IF(ROWS($2:17)&gt;COUNTIF(Operational_RawData!$A:$A,"1_Operational"),"",INDEX(Operational_RawData!S:S,MATCH("1_Operational",Operational_RawData!$A:$A,0)+ROWS($2:17)-1))</f>
        <v>0</v>
      </c>
      <c r="T17">
        <f>IF(ROWS($2:17)&gt;COUNTIF(Operational_RawData!$A:$A,"1_Operational"),"",INDEX(Operational_RawData!T:T,MATCH("1_Operational",Operational_RawData!$A:$A,0)+ROWS($2:17)-1))</f>
        <v>0</v>
      </c>
    </row>
    <row r="18" spans="1:20">
      <c r="A18" t="str">
        <f>IF(ROWS($2:18)&gt;COUNTIF(Operational_RawData!$A:$A,"1_Operational"),"",INDEX(Operational_RawData!A:A,MATCH("1_Operational",Operational_RawData!$A:$A,0)+ROWS($2:18)-1))</f>
        <v>1_Operational</v>
      </c>
      <c r="B18">
        <f>IF(ROWS($2:18)&gt;COUNTIF(Operational_RawData!$A:$A,"1_Operational"),"",INDEX(Operational_RawData!B:B,MATCH("1_Operational",Operational_RawData!$A:$A,0)+ROWS($2:18)-1))</f>
        <v>144526.84700000001</v>
      </c>
      <c r="C18">
        <f>IF(ROWS($2:18)&gt;COUNTIF(Operational_RawData!$A:$A,"1_Operational"),"",INDEX(Operational_RawData!C:C,MATCH("1_Operational",Operational_RawData!$A:$A,0)+ROWS($2:18)-1))</f>
        <v>12.06</v>
      </c>
      <c r="D18">
        <f>IF(ROWS($2:18)&gt;COUNTIF(Operational_RawData!$A:$A,"1_Operational"),"",INDEX(Operational_RawData!D:D,MATCH("1_Operational",Operational_RawData!$A:$A,0)+ROWS($2:18)-1))</f>
        <v>1308.164</v>
      </c>
      <c r="E18">
        <f>IF(ROWS($2:18)&gt;COUNTIF(Operational_RawData!$A:$A,"1_Operational"),"",INDEX(Operational_RawData!E:E,MATCH("1_Operational",Operational_RawData!$A:$A,0)+ROWS($2:18)-1))</f>
        <v>3.48</v>
      </c>
      <c r="F18">
        <f>IF(ROWS($2:18)&gt;COUNTIF(Operational_RawData!$A:$A,"1_Operational"),"",INDEX(Operational_RawData!F:F,MATCH("1_Operational",Operational_RawData!$A:$A,0)+ROWS($2:18)-1))</f>
        <v>240.96</v>
      </c>
      <c r="G18">
        <f>IF(ROWS($2:18)&gt;COUNTIF(Operational_RawData!$A:$A,"1_Operational"),"",INDEX(Operational_RawData!G:G,MATCH("1_Operational",Operational_RawData!$A:$A,0)+ROWS($2:18)-1))</f>
        <v>240.96</v>
      </c>
      <c r="H18">
        <f>IF(ROWS($2:18)&gt;COUNTIF(Operational_RawData!$A:$A,"1_Operational"),"",INDEX(Operational_RawData!H:H,MATCH("1_Operational",Operational_RawData!$A:$A,0)+ROWS($2:18)-1))</f>
        <v>240.96</v>
      </c>
      <c r="I18">
        <f>IF(ROWS($2:18)&gt;COUNTIF(Operational_RawData!$A:$A,"1_Operational"),"",INDEX(Operational_RawData!I:I,MATCH("1_Operational",Operational_RawData!$A:$A,0)+ROWS($2:18)-1))</f>
        <v>240.96</v>
      </c>
      <c r="J18">
        <f>IF(ROWS($2:18)&gt;COUNTIF(Operational_RawData!$A:$A,"1_Operational"),"",INDEX(Operational_RawData!J:J,MATCH("1_Operational",Operational_RawData!$A:$A,0)+ROWS($2:18)-1))</f>
        <v>334.04</v>
      </c>
      <c r="K18">
        <f>IF(ROWS($2:18)&gt;COUNTIF(Operational_RawData!$A:$A,"1_Operational"),"",INDEX(Operational_RawData!K:K,MATCH("1_Operational",Operational_RawData!$A:$A,0)+ROWS($2:18)-1))</f>
        <v>334.04</v>
      </c>
      <c r="L18">
        <f>IF(ROWS($2:18)&gt;COUNTIF(Operational_RawData!$A:$A,"1_Operational"),"",INDEX(Operational_RawData!L:L,MATCH("1_Operational",Operational_RawData!$A:$A,0)+ROWS($2:18)-1))</f>
        <v>334.04</v>
      </c>
      <c r="M18">
        <f>IF(ROWS($2:18)&gt;COUNTIF(Operational_RawData!$A:$A,"1_Operational"),"",INDEX(Operational_RawData!M:M,MATCH("1_Operational",Operational_RawData!$A:$A,0)+ROWS($2:18)-1))</f>
        <v>334.04</v>
      </c>
      <c r="N18">
        <f>IF(ROWS($2:18)&gt;COUNTIF(Operational_RawData!$A:$A,"1_Operational"),"",INDEX(Operational_RawData!N:N,MATCH("1_Operational",Operational_RawData!$A:$A,0)+ROWS($2:18)-1))</f>
        <v>0.08</v>
      </c>
      <c r="O18">
        <f>IF(ROWS($2:18)&gt;COUNTIF(Operational_RawData!$A:$A,"1_Operational"),"",INDEX(Operational_RawData!O:O,MATCH("1_Operational",Operational_RawData!$A:$A,0)+ROWS($2:18)-1))</f>
        <v>0.19</v>
      </c>
      <c r="P18">
        <f>IF(ROWS($2:18)&gt;COUNTIF(Operational_RawData!$A:$A,"1_Operational"),"",INDEX(Operational_RawData!P:P,MATCH("1_Operational",Operational_RawData!$A:$A,0)+ROWS($2:18)-1))</f>
        <v>0.06</v>
      </c>
      <c r="Q18">
        <f>IF(ROWS($2:18)&gt;COUNTIF(Operational_RawData!$A:$A,"1_Operational"),"",INDEX(Operational_RawData!Q:Q,MATCH("1_Operational",Operational_RawData!$A:$A,0)+ROWS($2:18)-1))</f>
        <v>0.1</v>
      </c>
      <c r="R18" t="str">
        <f>IF(ROWS($2:18)&gt;COUNTIF(Operational_RawData!$A:$A,"1_Operational"),"",INDEX(Operational_RawData!R:R,MATCH("1_Operational",Operational_RawData!$A:$A,0)+ROWS($2:18)-1))</f>
        <v>Pass</v>
      </c>
      <c r="S18">
        <f>IF(ROWS($2:18)&gt;COUNTIF(Operational_RawData!$A:$A,"1_Operational"),"",INDEX(Operational_RawData!S:S,MATCH("1_Operational",Operational_RawData!$A:$A,0)+ROWS($2:18)-1))</f>
        <v>0</v>
      </c>
      <c r="T18">
        <f>IF(ROWS($2:18)&gt;COUNTIF(Operational_RawData!$A:$A,"1_Operational"),"",INDEX(Operational_RawData!T:T,MATCH("1_Operational",Operational_RawData!$A:$A,0)+ROWS($2:18)-1))</f>
        <v>0</v>
      </c>
    </row>
    <row r="19" spans="1:20">
      <c r="A19" t="str">
        <f>IF(ROWS($2:19)&gt;COUNTIF(Operational_RawData!$A:$A,"1_Operational"),"",INDEX(Operational_RawData!A:A,MATCH("1_Operational",Operational_RawData!$A:$A,0)+ROWS($2:19)-1))</f>
        <v>1_Operational</v>
      </c>
      <c r="B19">
        <f>IF(ROWS($2:19)&gt;COUNTIF(Operational_RawData!$A:$A,"1_Operational"),"",INDEX(Operational_RawData!B:B,MATCH("1_Operational",Operational_RawData!$A:$A,0)+ROWS($2:19)-1))</f>
        <v>144531.85</v>
      </c>
      <c r="C19">
        <f>IF(ROWS($2:19)&gt;COUNTIF(Operational_RawData!$A:$A,"1_Operational"),"",INDEX(Operational_RawData!C:C,MATCH("1_Operational",Operational_RawData!$A:$A,0)+ROWS($2:19)-1))</f>
        <v>12.8</v>
      </c>
      <c r="D19">
        <f>IF(ROWS($2:19)&gt;COUNTIF(Operational_RawData!$A:$A,"1_Operational"),"",INDEX(Operational_RawData!D:D,MATCH("1_Operational",Operational_RawData!$A:$A,0)+ROWS($2:19)-1))</f>
        <v>1308.221</v>
      </c>
      <c r="E19">
        <f>IF(ROWS($2:19)&gt;COUNTIF(Operational_RawData!$A:$A,"1_Operational"),"",INDEX(Operational_RawData!E:E,MATCH("1_Operational",Operational_RawData!$A:$A,0)+ROWS($2:19)-1))</f>
        <v>3.5</v>
      </c>
      <c r="F19">
        <f>IF(ROWS($2:19)&gt;COUNTIF(Operational_RawData!$A:$A,"1_Operational"),"",INDEX(Operational_RawData!F:F,MATCH("1_Operational",Operational_RawData!$A:$A,0)+ROWS($2:19)-1))</f>
        <v>239.2</v>
      </c>
      <c r="G19">
        <f>IF(ROWS($2:19)&gt;COUNTIF(Operational_RawData!$A:$A,"1_Operational"),"",INDEX(Operational_RawData!G:G,MATCH("1_Operational",Operational_RawData!$A:$A,0)+ROWS($2:19)-1))</f>
        <v>239.2</v>
      </c>
      <c r="H19">
        <f>IF(ROWS($2:19)&gt;COUNTIF(Operational_RawData!$A:$A,"1_Operational"),"",INDEX(Operational_RawData!H:H,MATCH("1_Operational",Operational_RawData!$A:$A,0)+ROWS($2:19)-1))</f>
        <v>239.2</v>
      </c>
      <c r="I19">
        <f>IF(ROWS($2:19)&gt;COUNTIF(Operational_RawData!$A:$A,"1_Operational"),"",INDEX(Operational_RawData!I:I,MATCH("1_Operational",Operational_RawData!$A:$A,0)+ROWS($2:19)-1))</f>
        <v>239.2</v>
      </c>
      <c r="J19">
        <f>IF(ROWS($2:19)&gt;COUNTIF(Operational_RawData!$A:$A,"1_Operational"),"",INDEX(Operational_RawData!J:J,MATCH("1_Operational",Operational_RawData!$A:$A,0)+ROWS($2:19)-1))</f>
        <v>332.68</v>
      </c>
      <c r="K19">
        <f>IF(ROWS($2:19)&gt;COUNTIF(Operational_RawData!$A:$A,"1_Operational"),"",INDEX(Operational_RawData!K:K,MATCH("1_Operational",Operational_RawData!$A:$A,0)+ROWS($2:19)-1))</f>
        <v>332.68</v>
      </c>
      <c r="L19">
        <f>IF(ROWS($2:19)&gt;COUNTIF(Operational_RawData!$A:$A,"1_Operational"),"",INDEX(Operational_RawData!L:L,MATCH("1_Operational",Operational_RawData!$A:$A,0)+ROWS($2:19)-1))</f>
        <v>332.68</v>
      </c>
      <c r="M19">
        <f>IF(ROWS($2:19)&gt;COUNTIF(Operational_RawData!$A:$A,"1_Operational"),"",INDEX(Operational_RawData!M:M,MATCH("1_Operational",Operational_RawData!$A:$A,0)+ROWS($2:19)-1))</f>
        <v>332.64</v>
      </c>
      <c r="N19">
        <f>IF(ROWS($2:19)&gt;COUNTIF(Operational_RawData!$A:$A,"1_Operational"),"",INDEX(Operational_RawData!N:N,MATCH("1_Operational",Operational_RawData!$A:$A,0)+ROWS($2:19)-1))</f>
        <v>0.08</v>
      </c>
      <c r="O19">
        <f>IF(ROWS($2:19)&gt;COUNTIF(Operational_RawData!$A:$A,"1_Operational"),"",INDEX(Operational_RawData!O:O,MATCH("1_Operational",Operational_RawData!$A:$A,0)+ROWS($2:19)-1))</f>
        <v>0.19</v>
      </c>
      <c r="P19">
        <f>IF(ROWS($2:19)&gt;COUNTIF(Operational_RawData!$A:$A,"1_Operational"),"",INDEX(Operational_RawData!P:P,MATCH("1_Operational",Operational_RawData!$A:$A,0)+ROWS($2:19)-1))</f>
        <v>0.06</v>
      </c>
      <c r="Q19">
        <f>IF(ROWS($2:19)&gt;COUNTIF(Operational_RawData!$A:$A,"1_Operational"),"",INDEX(Operational_RawData!Q:Q,MATCH("1_Operational",Operational_RawData!$A:$A,0)+ROWS($2:19)-1))</f>
        <v>0.1</v>
      </c>
      <c r="R19" t="str">
        <f>IF(ROWS($2:19)&gt;COUNTIF(Operational_RawData!$A:$A,"1_Operational"),"",INDEX(Operational_RawData!R:R,MATCH("1_Operational",Operational_RawData!$A:$A,0)+ROWS($2:19)-1))</f>
        <v>Pass</v>
      </c>
      <c r="S19">
        <f>IF(ROWS($2:19)&gt;COUNTIF(Operational_RawData!$A:$A,"1_Operational"),"",INDEX(Operational_RawData!S:S,MATCH("1_Operational",Operational_RawData!$A:$A,0)+ROWS($2:19)-1))</f>
        <v>0</v>
      </c>
      <c r="T19">
        <f>IF(ROWS($2:19)&gt;COUNTIF(Operational_RawData!$A:$A,"1_Operational"),"",INDEX(Operational_RawData!T:T,MATCH("1_Operational",Operational_RawData!$A:$A,0)+ROWS($2:19)-1))</f>
        <v>0</v>
      </c>
    </row>
    <row r="20" spans="1:20">
      <c r="A20" t="str">
        <f>IF(ROWS($2:20)&gt;COUNTIF(Operational_RawData!$A:$A,"1_Operational"),"",INDEX(Operational_RawData!A:A,MATCH("1_Operational",Operational_RawData!$A:$A,0)+ROWS($2:20)-1))</f>
        <v>1_Operational</v>
      </c>
      <c r="B20">
        <f>IF(ROWS($2:20)&gt;COUNTIF(Operational_RawData!$A:$A,"1_Operational"),"",INDEX(Operational_RawData!B:B,MATCH("1_Operational",Operational_RawData!$A:$A,0)+ROWS($2:20)-1))</f>
        <v>144536.84899999999</v>
      </c>
      <c r="C20">
        <f>IF(ROWS($2:20)&gt;COUNTIF(Operational_RawData!$A:$A,"1_Operational"),"",INDEX(Operational_RawData!C:C,MATCH("1_Operational",Operational_RawData!$A:$A,0)+ROWS($2:20)-1))</f>
        <v>13.57</v>
      </c>
      <c r="D20">
        <f>IF(ROWS($2:20)&gt;COUNTIF(Operational_RawData!$A:$A,"1_Operational"),"",INDEX(Operational_RawData!D:D,MATCH("1_Operational",Operational_RawData!$A:$A,0)+ROWS($2:20)-1))</f>
        <v>1308.278</v>
      </c>
      <c r="E20">
        <f>IF(ROWS($2:20)&gt;COUNTIF(Operational_RawData!$A:$A,"1_Operational"),"",INDEX(Operational_RawData!E:E,MATCH("1_Operational",Operational_RawData!$A:$A,0)+ROWS($2:20)-1))</f>
        <v>3.56</v>
      </c>
      <c r="F20">
        <f>IF(ROWS($2:20)&gt;COUNTIF(Operational_RawData!$A:$A,"1_Operational"),"",INDEX(Operational_RawData!F:F,MATCH("1_Operational",Operational_RawData!$A:$A,0)+ROWS($2:20)-1))</f>
        <v>237.68</v>
      </c>
      <c r="G20">
        <f>IF(ROWS($2:20)&gt;COUNTIF(Operational_RawData!$A:$A,"1_Operational"),"",INDEX(Operational_RawData!G:G,MATCH("1_Operational",Operational_RawData!$A:$A,0)+ROWS($2:20)-1))</f>
        <v>237.68</v>
      </c>
      <c r="H20">
        <f>IF(ROWS($2:20)&gt;COUNTIF(Operational_RawData!$A:$A,"1_Operational"),"",INDEX(Operational_RawData!H:H,MATCH("1_Operational",Operational_RawData!$A:$A,0)+ROWS($2:20)-1))</f>
        <v>237.68</v>
      </c>
      <c r="I20">
        <f>IF(ROWS($2:20)&gt;COUNTIF(Operational_RawData!$A:$A,"1_Operational"),"",INDEX(Operational_RawData!I:I,MATCH("1_Operational",Operational_RawData!$A:$A,0)+ROWS($2:20)-1))</f>
        <v>237.68</v>
      </c>
      <c r="J20">
        <f>IF(ROWS($2:20)&gt;COUNTIF(Operational_RawData!$A:$A,"1_Operational"),"",INDEX(Operational_RawData!J:J,MATCH("1_Operational",Operational_RawData!$A:$A,0)+ROWS($2:20)-1))</f>
        <v>331.4</v>
      </c>
      <c r="K20">
        <f>IF(ROWS($2:20)&gt;COUNTIF(Operational_RawData!$A:$A,"1_Operational"),"",INDEX(Operational_RawData!K:K,MATCH("1_Operational",Operational_RawData!$A:$A,0)+ROWS($2:20)-1))</f>
        <v>331.4</v>
      </c>
      <c r="L20">
        <f>IF(ROWS($2:20)&gt;COUNTIF(Operational_RawData!$A:$A,"1_Operational"),"",INDEX(Operational_RawData!L:L,MATCH("1_Operational",Operational_RawData!$A:$A,0)+ROWS($2:20)-1))</f>
        <v>331.4</v>
      </c>
      <c r="M20">
        <f>IF(ROWS($2:20)&gt;COUNTIF(Operational_RawData!$A:$A,"1_Operational"),"",INDEX(Operational_RawData!M:M,MATCH("1_Operational",Operational_RawData!$A:$A,0)+ROWS($2:20)-1))</f>
        <v>331.4</v>
      </c>
      <c r="N20">
        <f>IF(ROWS($2:20)&gt;COUNTIF(Operational_RawData!$A:$A,"1_Operational"),"",INDEX(Operational_RawData!N:N,MATCH("1_Operational",Operational_RawData!$A:$A,0)+ROWS($2:20)-1))</f>
        <v>7.0000000000000007E-2</v>
      </c>
      <c r="O20">
        <f>IF(ROWS($2:20)&gt;COUNTIF(Operational_RawData!$A:$A,"1_Operational"),"",INDEX(Operational_RawData!O:O,MATCH("1_Operational",Operational_RawData!$A:$A,0)+ROWS($2:20)-1))</f>
        <v>0.19</v>
      </c>
      <c r="P20">
        <f>IF(ROWS($2:20)&gt;COUNTIF(Operational_RawData!$A:$A,"1_Operational"),"",INDEX(Operational_RawData!P:P,MATCH("1_Operational",Operational_RawData!$A:$A,0)+ROWS($2:20)-1))</f>
        <v>0.06</v>
      </c>
      <c r="Q20">
        <f>IF(ROWS($2:20)&gt;COUNTIF(Operational_RawData!$A:$A,"1_Operational"),"",INDEX(Operational_RawData!Q:Q,MATCH("1_Operational",Operational_RawData!$A:$A,0)+ROWS($2:20)-1))</f>
        <v>0.1</v>
      </c>
      <c r="R20" t="str">
        <f>IF(ROWS($2:20)&gt;COUNTIF(Operational_RawData!$A:$A,"1_Operational"),"",INDEX(Operational_RawData!R:R,MATCH("1_Operational",Operational_RawData!$A:$A,0)+ROWS($2:20)-1))</f>
        <v>Pass</v>
      </c>
      <c r="S20">
        <f>IF(ROWS($2:20)&gt;COUNTIF(Operational_RawData!$A:$A,"1_Operational"),"",INDEX(Operational_RawData!S:S,MATCH("1_Operational",Operational_RawData!$A:$A,0)+ROWS($2:20)-1))</f>
        <v>0</v>
      </c>
      <c r="T20">
        <f>IF(ROWS($2:20)&gt;COUNTIF(Operational_RawData!$A:$A,"1_Operational"),"",INDEX(Operational_RawData!T:T,MATCH("1_Operational",Operational_RawData!$A:$A,0)+ROWS($2:20)-1))</f>
        <v>0</v>
      </c>
    </row>
    <row r="21" spans="1:20">
      <c r="A21" t="str">
        <f>IF(ROWS($2:21)&gt;COUNTIF(Operational_RawData!$A:$A,"1_Operational"),"",INDEX(Operational_RawData!A:A,MATCH("1_Operational",Operational_RawData!$A:$A,0)+ROWS($2:21)-1))</f>
        <v>1_Operational</v>
      </c>
      <c r="B21">
        <f>IF(ROWS($2:21)&gt;COUNTIF(Operational_RawData!$A:$A,"1_Operational"),"",INDEX(Operational_RawData!B:B,MATCH("1_Operational",Operational_RawData!$A:$A,0)+ROWS($2:21)-1))</f>
        <v>144541.848</v>
      </c>
      <c r="C21">
        <f>IF(ROWS($2:21)&gt;COUNTIF(Operational_RawData!$A:$A,"1_Operational"),"",INDEX(Operational_RawData!C:C,MATCH("1_Operational",Operational_RawData!$A:$A,0)+ROWS($2:21)-1))</f>
        <v>14.33</v>
      </c>
      <c r="D21">
        <f>IF(ROWS($2:21)&gt;COUNTIF(Operational_RawData!$A:$A,"1_Operational"),"",INDEX(Operational_RawData!D:D,MATCH("1_Operational",Operational_RawData!$A:$A,0)+ROWS($2:21)-1))</f>
        <v>1308.337</v>
      </c>
      <c r="E21">
        <f>IF(ROWS($2:21)&gt;COUNTIF(Operational_RawData!$A:$A,"1_Operational"),"",INDEX(Operational_RawData!E:E,MATCH("1_Operational",Operational_RawData!$A:$A,0)+ROWS($2:21)-1))</f>
        <v>3.63</v>
      </c>
      <c r="F21">
        <f>IF(ROWS($2:21)&gt;COUNTIF(Operational_RawData!$A:$A,"1_Operational"),"",INDEX(Operational_RawData!F:F,MATCH("1_Operational",Operational_RawData!$A:$A,0)+ROWS($2:21)-1))</f>
        <v>236.08</v>
      </c>
      <c r="G21">
        <f>IF(ROWS($2:21)&gt;COUNTIF(Operational_RawData!$A:$A,"1_Operational"),"",INDEX(Operational_RawData!G:G,MATCH("1_Operational",Operational_RawData!$A:$A,0)+ROWS($2:21)-1))</f>
        <v>236.08</v>
      </c>
      <c r="H21">
        <f>IF(ROWS($2:21)&gt;COUNTIF(Operational_RawData!$A:$A,"1_Operational"),"",INDEX(Operational_RawData!H:H,MATCH("1_Operational",Operational_RawData!$A:$A,0)+ROWS($2:21)-1))</f>
        <v>236.08</v>
      </c>
      <c r="I21">
        <f>IF(ROWS($2:21)&gt;COUNTIF(Operational_RawData!$A:$A,"1_Operational"),"",INDEX(Operational_RawData!I:I,MATCH("1_Operational",Operational_RawData!$A:$A,0)+ROWS($2:21)-1))</f>
        <v>236.08</v>
      </c>
      <c r="J21">
        <f>IF(ROWS($2:21)&gt;COUNTIF(Operational_RawData!$A:$A,"1_Operational"),"",INDEX(Operational_RawData!J:J,MATCH("1_Operational",Operational_RawData!$A:$A,0)+ROWS($2:21)-1))</f>
        <v>330.16</v>
      </c>
      <c r="K21">
        <f>IF(ROWS($2:21)&gt;COUNTIF(Operational_RawData!$A:$A,"1_Operational"),"",INDEX(Operational_RawData!K:K,MATCH("1_Operational",Operational_RawData!$A:$A,0)+ROWS($2:21)-1))</f>
        <v>330.16</v>
      </c>
      <c r="L21">
        <f>IF(ROWS($2:21)&gt;COUNTIF(Operational_RawData!$A:$A,"1_Operational"),"",INDEX(Operational_RawData!L:L,MATCH("1_Operational",Operational_RawData!$A:$A,0)+ROWS($2:21)-1))</f>
        <v>330.16</v>
      </c>
      <c r="M21">
        <f>IF(ROWS($2:21)&gt;COUNTIF(Operational_RawData!$A:$A,"1_Operational"),"",INDEX(Operational_RawData!M:M,MATCH("1_Operational",Operational_RawData!$A:$A,0)+ROWS($2:21)-1))</f>
        <v>330.16</v>
      </c>
      <c r="N21">
        <f>IF(ROWS($2:21)&gt;COUNTIF(Operational_RawData!$A:$A,"1_Operational"),"",INDEX(Operational_RawData!N:N,MATCH("1_Operational",Operational_RawData!$A:$A,0)+ROWS($2:21)-1))</f>
        <v>0.08</v>
      </c>
      <c r="O21">
        <f>IF(ROWS($2:21)&gt;COUNTIF(Operational_RawData!$A:$A,"1_Operational"),"",INDEX(Operational_RawData!O:O,MATCH("1_Operational",Operational_RawData!$A:$A,0)+ROWS($2:21)-1))</f>
        <v>0.19</v>
      </c>
      <c r="P21">
        <f>IF(ROWS($2:21)&gt;COUNTIF(Operational_RawData!$A:$A,"1_Operational"),"",INDEX(Operational_RawData!P:P,MATCH("1_Operational",Operational_RawData!$A:$A,0)+ROWS($2:21)-1))</f>
        <v>0.06</v>
      </c>
      <c r="Q21">
        <f>IF(ROWS($2:21)&gt;COUNTIF(Operational_RawData!$A:$A,"1_Operational"),"",INDEX(Operational_RawData!Q:Q,MATCH("1_Operational",Operational_RawData!$A:$A,0)+ROWS($2:21)-1))</f>
        <v>0.1</v>
      </c>
      <c r="R21" t="str">
        <f>IF(ROWS($2:21)&gt;COUNTIF(Operational_RawData!$A:$A,"1_Operational"),"",INDEX(Operational_RawData!R:R,MATCH("1_Operational",Operational_RawData!$A:$A,0)+ROWS($2:21)-1))</f>
        <v>Pass</v>
      </c>
      <c r="S21">
        <f>IF(ROWS($2:21)&gt;COUNTIF(Operational_RawData!$A:$A,"1_Operational"),"",INDEX(Operational_RawData!S:S,MATCH("1_Operational",Operational_RawData!$A:$A,0)+ROWS($2:21)-1))</f>
        <v>0</v>
      </c>
      <c r="T21">
        <f>IF(ROWS($2:21)&gt;COUNTIF(Operational_RawData!$A:$A,"1_Operational"),"",INDEX(Operational_RawData!T:T,MATCH("1_Operational",Operational_RawData!$A:$A,0)+ROWS($2:21)-1))</f>
        <v>0</v>
      </c>
    </row>
    <row r="22" spans="1:20">
      <c r="A22" t="str">
        <f>IF(ROWS($2:22)&gt;COUNTIF(Operational_RawData!$A:$A,"1_Operational"),"",INDEX(Operational_RawData!A:A,MATCH("1_Operational",Operational_RawData!$A:$A,0)+ROWS($2:22)-1))</f>
        <v>1_Operational</v>
      </c>
      <c r="B22">
        <f>IF(ROWS($2:22)&gt;COUNTIF(Operational_RawData!$A:$A,"1_Operational"),"",INDEX(Operational_RawData!B:B,MATCH("1_Operational",Operational_RawData!$A:$A,0)+ROWS($2:22)-1))</f>
        <v>144546.856</v>
      </c>
      <c r="C22">
        <f>IF(ROWS($2:22)&gt;COUNTIF(Operational_RawData!$A:$A,"1_Operational"),"",INDEX(Operational_RawData!C:C,MATCH("1_Operational",Operational_RawData!$A:$A,0)+ROWS($2:22)-1))</f>
        <v>15.07</v>
      </c>
      <c r="D22">
        <f>IF(ROWS($2:22)&gt;COUNTIF(Operational_RawData!$A:$A,"1_Operational"),"",INDEX(Operational_RawData!D:D,MATCH("1_Operational",Operational_RawData!$A:$A,0)+ROWS($2:22)-1))</f>
        <v>1308.3979999999999</v>
      </c>
      <c r="E22">
        <f>IF(ROWS($2:22)&gt;COUNTIF(Operational_RawData!$A:$A,"1_Operational"),"",INDEX(Operational_RawData!E:E,MATCH("1_Operational",Operational_RawData!$A:$A,0)+ROWS($2:22)-1))</f>
        <v>3.64</v>
      </c>
      <c r="F22">
        <f>IF(ROWS($2:22)&gt;COUNTIF(Operational_RawData!$A:$A,"1_Operational"),"",INDEX(Operational_RawData!F:F,MATCH("1_Operational",Operational_RawData!$A:$A,0)+ROWS($2:22)-1))</f>
        <v>234.68</v>
      </c>
      <c r="G22">
        <f>IF(ROWS($2:22)&gt;COUNTIF(Operational_RawData!$A:$A,"1_Operational"),"",INDEX(Operational_RawData!G:G,MATCH("1_Operational",Operational_RawData!$A:$A,0)+ROWS($2:22)-1))</f>
        <v>234.68</v>
      </c>
      <c r="H22">
        <f>IF(ROWS($2:22)&gt;COUNTIF(Operational_RawData!$A:$A,"1_Operational"),"",INDEX(Operational_RawData!H:H,MATCH("1_Operational",Operational_RawData!$A:$A,0)+ROWS($2:22)-1))</f>
        <v>234.68</v>
      </c>
      <c r="I22">
        <f>IF(ROWS($2:22)&gt;COUNTIF(Operational_RawData!$A:$A,"1_Operational"),"",INDEX(Operational_RawData!I:I,MATCH("1_Operational",Operational_RawData!$A:$A,0)+ROWS($2:22)-1))</f>
        <v>234.68</v>
      </c>
      <c r="J22">
        <f>IF(ROWS($2:22)&gt;COUNTIF(Operational_RawData!$A:$A,"1_Operational"),"",INDEX(Operational_RawData!J:J,MATCH("1_Operational",Operational_RawData!$A:$A,0)+ROWS($2:22)-1))</f>
        <v>328.96</v>
      </c>
      <c r="K22">
        <f>IF(ROWS($2:22)&gt;COUNTIF(Operational_RawData!$A:$A,"1_Operational"),"",INDEX(Operational_RawData!K:K,MATCH("1_Operational",Operational_RawData!$A:$A,0)+ROWS($2:22)-1))</f>
        <v>328.96</v>
      </c>
      <c r="L22">
        <f>IF(ROWS($2:22)&gt;COUNTIF(Operational_RawData!$A:$A,"1_Operational"),"",INDEX(Operational_RawData!L:L,MATCH("1_Operational",Operational_RawData!$A:$A,0)+ROWS($2:22)-1))</f>
        <v>328.96</v>
      </c>
      <c r="M22">
        <f>IF(ROWS($2:22)&gt;COUNTIF(Operational_RawData!$A:$A,"1_Operational"),"",INDEX(Operational_RawData!M:M,MATCH("1_Operational",Operational_RawData!$A:$A,0)+ROWS($2:22)-1))</f>
        <v>328.96</v>
      </c>
      <c r="N22">
        <f>IF(ROWS($2:22)&gt;COUNTIF(Operational_RawData!$A:$A,"1_Operational"),"",INDEX(Operational_RawData!N:N,MATCH("1_Operational",Operational_RawData!$A:$A,0)+ROWS($2:22)-1))</f>
        <v>0.08</v>
      </c>
      <c r="O22">
        <f>IF(ROWS($2:22)&gt;COUNTIF(Operational_RawData!$A:$A,"1_Operational"),"",INDEX(Operational_RawData!O:O,MATCH("1_Operational",Operational_RawData!$A:$A,0)+ROWS($2:22)-1))</f>
        <v>0.19</v>
      </c>
      <c r="P22">
        <f>IF(ROWS($2:22)&gt;COUNTIF(Operational_RawData!$A:$A,"1_Operational"),"",INDEX(Operational_RawData!P:P,MATCH("1_Operational",Operational_RawData!$A:$A,0)+ROWS($2:22)-1))</f>
        <v>0.06</v>
      </c>
      <c r="Q22">
        <f>IF(ROWS($2:22)&gt;COUNTIF(Operational_RawData!$A:$A,"1_Operational"),"",INDEX(Operational_RawData!Q:Q,MATCH("1_Operational",Operational_RawData!$A:$A,0)+ROWS($2:22)-1))</f>
        <v>0.1</v>
      </c>
      <c r="R22" t="str">
        <f>IF(ROWS($2:22)&gt;COUNTIF(Operational_RawData!$A:$A,"1_Operational"),"",INDEX(Operational_RawData!R:R,MATCH("1_Operational",Operational_RawData!$A:$A,0)+ROWS($2:22)-1))</f>
        <v>Pass</v>
      </c>
      <c r="S22">
        <f>IF(ROWS($2:22)&gt;COUNTIF(Operational_RawData!$A:$A,"1_Operational"),"",INDEX(Operational_RawData!S:S,MATCH("1_Operational",Operational_RawData!$A:$A,0)+ROWS($2:22)-1))</f>
        <v>0</v>
      </c>
      <c r="T22">
        <f>IF(ROWS($2:22)&gt;COUNTIF(Operational_RawData!$A:$A,"1_Operational"),"",INDEX(Operational_RawData!T:T,MATCH("1_Operational",Operational_RawData!$A:$A,0)+ROWS($2:22)-1))</f>
        <v>0</v>
      </c>
    </row>
    <row r="23" spans="1:20">
      <c r="A23" t="str">
        <f>IF(ROWS($2:23)&gt;COUNTIF(Operational_RawData!$A:$A,"1_Operational"),"",INDEX(Operational_RawData!A:A,MATCH("1_Operational",Operational_RawData!$A:$A,0)+ROWS($2:23)-1))</f>
        <v>1_Operational</v>
      </c>
      <c r="B23">
        <f>IF(ROWS($2:23)&gt;COUNTIF(Operational_RawData!$A:$A,"1_Operational"),"",INDEX(Operational_RawData!B:B,MATCH("1_Operational",Operational_RawData!$A:$A,0)+ROWS($2:23)-1))</f>
        <v>144551.853</v>
      </c>
      <c r="C23">
        <f>IF(ROWS($2:23)&gt;COUNTIF(Operational_RawData!$A:$A,"1_Operational"),"",INDEX(Operational_RawData!C:C,MATCH("1_Operational",Operational_RawData!$A:$A,0)+ROWS($2:23)-1))</f>
        <v>15.84</v>
      </c>
      <c r="D23">
        <f>IF(ROWS($2:23)&gt;COUNTIF(Operational_RawData!$A:$A,"1_Operational"),"",INDEX(Operational_RawData!D:D,MATCH("1_Operational",Operational_RawData!$A:$A,0)+ROWS($2:23)-1))</f>
        <v>1308.4590000000001</v>
      </c>
      <c r="E23">
        <f>IF(ROWS($2:23)&gt;COUNTIF(Operational_RawData!$A:$A,"1_Operational"),"",INDEX(Operational_RawData!E:E,MATCH("1_Operational",Operational_RawData!$A:$A,0)+ROWS($2:23)-1))</f>
        <v>3.63</v>
      </c>
      <c r="F23">
        <f>IF(ROWS($2:23)&gt;COUNTIF(Operational_RawData!$A:$A,"1_Operational"),"",INDEX(Operational_RawData!F:F,MATCH("1_Operational",Operational_RawData!$A:$A,0)+ROWS($2:23)-1))</f>
        <v>233.32</v>
      </c>
      <c r="G23">
        <f>IF(ROWS($2:23)&gt;COUNTIF(Operational_RawData!$A:$A,"1_Operational"),"",INDEX(Operational_RawData!G:G,MATCH("1_Operational",Operational_RawData!$A:$A,0)+ROWS($2:23)-1))</f>
        <v>233.32</v>
      </c>
      <c r="H23">
        <f>IF(ROWS($2:23)&gt;COUNTIF(Operational_RawData!$A:$A,"1_Operational"),"",INDEX(Operational_RawData!H:H,MATCH("1_Operational",Operational_RawData!$A:$A,0)+ROWS($2:23)-1))</f>
        <v>233.32</v>
      </c>
      <c r="I23">
        <f>IF(ROWS($2:23)&gt;COUNTIF(Operational_RawData!$A:$A,"1_Operational"),"",INDEX(Operational_RawData!I:I,MATCH("1_Operational",Operational_RawData!$A:$A,0)+ROWS($2:23)-1))</f>
        <v>233.32</v>
      </c>
      <c r="J23">
        <f>IF(ROWS($2:23)&gt;COUNTIF(Operational_RawData!$A:$A,"1_Operational"),"",INDEX(Operational_RawData!J:J,MATCH("1_Operational",Operational_RawData!$A:$A,0)+ROWS($2:23)-1))</f>
        <v>327.8</v>
      </c>
      <c r="K23">
        <f>IF(ROWS($2:23)&gt;COUNTIF(Operational_RawData!$A:$A,"1_Operational"),"",INDEX(Operational_RawData!K:K,MATCH("1_Operational",Operational_RawData!$A:$A,0)+ROWS($2:23)-1))</f>
        <v>327.8</v>
      </c>
      <c r="L23">
        <f>IF(ROWS($2:23)&gt;COUNTIF(Operational_RawData!$A:$A,"1_Operational"),"",INDEX(Operational_RawData!L:L,MATCH("1_Operational",Operational_RawData!$A:$A,0)+ROWS($2:23)-1))</f>
        <v>327.8</v>
      </c>
      <c r="M23">
        <f>IF(ROWS($2:23)&gt;COUNTIF(Operational_RawData!$A:$A,"1_Operational"),"",INDEX(Operational_RawData!M:M,MATCH("1_Operational",Operational_RawData!$A:$A,0)+ROWS($2:23)-1))</f>
        <v>327.8</v>
      </c>
      <c r="N23">
        <f>IF(ROWS($2:23)&gt;COUNTIF(Operational_RawData!$A:$A,"1_Operational"),"",INDEX(Operational_RawData!N:N,MATCH("1_Operational",Operational_RawData!$A:$A,0)+ROWS($2:23)-1))</f>
        <v>0.08</v>
      </c>
      <c r="O23">
        <f>IF(ROWS($2:23)&gt;COUNTIF(Operational_RawData!$A:$A,"1_Operational"),"",INDEX(Operational_RawData!O:O,MATCH("1_Operational",Operational_RawData!$A:$A,0)+ROWS($2:23)-1))</f>
        <v>0.19</v>
      </c>
      <c r="P23">
        <f>IF(ROWS($2:23)&gt;COUNTIF(Operational_RawData!$A:$A,"1_Operational"),"",INDEX(Operational_RawData!P:P,MATCH("1_Operational",Operational_RawData!$A:$A,0)+ROWS($2:23)-1))</f>
        <v>0.06</v>
      </c>
      <c r="Q23">
        <f>IF(ROWS($2:23)&gt;COUNTIF(Operational_RawData!$A:$A,"1_Operational"),"",INDEX(Operational_RawData!Q:Q,MATCH("1_Operational",Operational_RawData!$A:$A,0)+ROWS($2:23)-1))</f>
        <v>0.1</v>
      </c>
      <c r="R23" t="str">
        <f>IF(ROWS($2:23)&gt;COUNTIF(Operational_RawData!$A:$A,"1_Operational"),"",INDEX(Operational_RawData!R:R,MATCH("1_Operational",Operational_RawData!$A:$A,0)+ROWS($2:23)-1))</f>
        <v>Pass</v>
      </c>
      <c r="S23">
        <f>IF(ROWS($2:23)&gt;COUNTIF(Operational_RawData!$A:$A,"1_Operational"),"",INDEX(Operational_RawData!S:S,MATCH("1_Operational",Operational_RawData!$A:$A,0)+ROWS($2:23)-1))</f>
        <v>0</v>
      </c>
      <c r="T23">
        <f>IF(ROWS($2:23)&gt;COUNTIF(Operational_RawData!$A:$A,"1_Operational"),"",INDEX(Operational_RawData!T:T,MATCH("1_Operational",Operational_RawData!$A:$A,0)+ROWS($2:23)-1))</f>
        <v>0</v>
      </c>
    </row>
    <row r="24" spans="1:20">
      <c r="A24" t="str">
        <f>IF(ROWS($2:24)&gt;COUNTIF(Operational_RawData!$A:$A,"1_Operational"),"",INDEX(Operational_RawData!A:A,MATCH("1_Operational",Operational_RawData!$A:$A,0)+ROWS($2:24)-1))</f>
        <v>1_Operational</v>
      </c>
      <c r="B24">
        <f>IF(ROWS($2:24)&gt;COUNTIF(Operational_RawData!$A:$A,"1_Operational"),"",INDEX(Operational_RawData!B:B,MATCH("1_Operational",Operational_RawData!$A:$A,0)+ROWS($2:24)-1))</f>
        <v>144556.851</v>
      </c>
      <c r="C24">
        <f>IF(ROWS($2:24)&gt;COUNTIF(Operational_RawData!$A:$A,"1_Operational"),"",INDEX(Operational_RawData!C:C,MATCH("1_Operational",Operational_RawData!$A:$A,0)+ROWS($2:24)-1))</f>
        <v>16.579999999999998</v>
      </c>
      <c r="D24">
        <f>IF(ROWS($2:24)&gt;COUNTIF(Operational_RawData!$A:$A,"1_Operational"),"",INDEX(Operational_RawData!D:D,MATCH("1_Operational",Operational_RawData!$A:$A,0)+ROWS($2:24)-1))</f>
        <v>1308.52</v>
      </c>
      <c r="E24">
        <f>IF(ROWS($2:24)&gt;COUNTIF(Operational_RawData!$A:$A,"1_Operational"),"",INDEX(Operational_RawData!E:E,MATCH("1_Operational",Operational_RawData!$A:$A,0)+ROWS($2:24)-1))</f>
        <v>3.63</v>
      </c>
      <c r="F24">
        <f>IF(ROWS($2:24)&gt;COUNTIF(Operational_RawData!$A:$A,"1_Operational"),"",INDEX(Operational_RawData!F:F,MATCH("1_Operational",Operational_RawData!$A:$A,0)+ROWS($2:24)-1))</f>
        <v>232</v>
      </c>
      <c r="G24">
        <f>IF(ROWS($2:24)&gt;COUNTIF(Operational_RawData!$A:$A,"1_Operational"),"",INDEX(Operational_RawData!G:G,MATCH("1_Operational",Operational_RawData!$A:$A,0)+ROWS($2:24)-1))</f>
        <v>232</v>
      </c>
      <c r="H24">
        <f>IF(ROWS($2:24)&gt;COUNTIF(Operational_RawData!$A:$A,"1_Operational"),"",INDEX(Operational_RawData!H:H,MATCH("1_Operational",Operational_RawData!$A:$A,0)+ROWS($2:24)-1))</f>
        <v>232</v>
      </c>
      <c r="I24">
        <f>IF(ROWS($2:24)&gt;COUNTIF(Operational_RawData!$A:$A,"1_Operational"),"",INDEX(Operational_RawData!I:I,MATCH("1_Operational",Operational_RawData!$A:$A,0)+ROWS($2:24)-1))</f>
        <v>232</v>
      </c>
      <c r="J24">
        <f>IF(ROWS($2:24)&gt;COUNTIF(Operational_RawData!$A:$A,"1_Operational"),"",INDEX(Operational_RawData!J:J,MATCH("1_Operational",Operational_RawData!$A:$A,0)+ROWS($2:24)-1))</f>
        <v>326.72000000000003</v>
      </c>
      <c r="K24">
        <f>IF(ROWS($2:24)&gt;COUNTIF(Operational_RawData!$A:$A,"1_Operational"),"",INDEX(Operational_RawData!K:K,MATCH("1_Operational",Operational_RawData!$A:$A,0)+ROWS($2:24)-1))</f>
        <v>326.72000000000003</v>
      </c>
      <c r="L24">
        <f>IF(ROWS($2:24)&gt;COUNTIF(Operational_RawData!$A:$A,"1_Operational"),"",INDEX(Operational_RawData!L:L,MATCH("1_Operational",Operational_RawData!$A:$A,0)+ROWS($2:24)-1))</f>
        <v>326.72000000000003</v>
      </c>
      <c r="M24">
        <f>IF(ROWS($2:24)&gt;COUNTIF(Operational_RawData!$A:$A,"1_Operational"),"",INDEX(Operational_RawData!M:M,MATCH("1_Operational",Operational_RawData!$A:$A,0)+ROWS($2:24)-1))</f>
        <v>326.72000000000003</v>
      </c>
      <c r="N24">
        <f>IF(ROWS($2:24)&gt;COUNTIF(Operational_RawData!$A:$A,"1_Operational"),"",INDEX(Operational_RawData!N:N,MATCH("1_Operational",Operational_RawData!$A:$A,0)+ROWS($2:24)-1))</f>
        <v>0.08</v>
      </c>
      <c r="O24">
        <f>IF(ROWS($2:24)&gt;COUNTIF(Operational_RawData!$A:$A,"1_Operational"),"",INDEX(Operational_RawData!O:O,MATCH("1_Operational",Operational_RawData!$A:$A,0)+ROWS($2:24)-1))</f>
        <v>0.19</v>
      </c>
      <c r="P24">
        <f>IF(ROWS($2:24)&gt;COUNTIF(Operational_RawData!$A:$A,"1_Operational"),"",INDEX(Operational_RawData!P:P,MATCH("1_Operational",Operational_RawData!$A:$A,0)+ROWS($2:24)-1))</f>
        <v>0.06</v>
      </c>
      <c r="Q24">
        <f>IF(ROWS($2:24)&gt;COUNTIF(Operational_RawData!$A:$A,"1_Operational"),"",INDEX(Operational_RawData!Q:Q,MATCH("1_Operational",Operational_RawData!$A:$A,0)+ROWS($2:24)-1))</f>
        <v>0.1</v>
      </c>
      <c r="R24" t="str">
        <f>IF(ROWS($2:24)&gt;COUNTIF(Operational_RawData!$A:$A,"1_Operational"),"",INDEX(Operational_RawData!R:R,MATCH("1_Operational",Operational_RawData!$A:$A,0)+ROWS($2:24)-1))</f>
        <v>Pass</v>
      </c>
      <c r="S24">
        <f>IF(ROWS($2:24)&gt;COUNTIF(Operational_RawData!$A:$A,"1_Operational"),"",INDEX(Operational_RawData!S:S,MATCH("1_Operational",Operational_RawData!$A:$A,0)+ROWS($2:24)-1))</f>
        <v>0</v>
      </c>
      <c r="T24">
        <f>IF(ROWS($2:24)&gt;COUNTIF(Operational_RawData!$A:$A,"1_Operational"),"",INDEX(Operational_RawData!T:T,MATCH("1_Operational",Operational_RawData!$A:$A,0)+ROWS($2:24)-1))</f>
        <v>0</v>
      </c>
    </row>
    <row r="25" spans="1:20">
      <c r="A25" t="str">
        <f>IF(ROWS($2:25)&gt;COUNTIF(Operational_RawData!$A:$A,"1_Operational"),"",INDEX(Operational_RawData!A:A,MATCH("1_Operational",Operational_RawData!$A:$A,0)+ROWS($2:25)-1))</f>
        <v>1_Operational</v>
      </c>
      <c r="B25">
        <f>IF(ROWS($2:25)&gt;COUNTIF(Operational_RawData!$A:$A,"1_Operational"),"",INDEX(Operational_RawData!B:B,MATCH("1_Operational",Operational_RawData!$A:$A,0)+ROWS($2:25)-1))</f>
        <v>144601.85500000001</v>
      </c>
      <c r="C25">
        <f>IF(ROWS($2:25)&gt;COUNTIF(Operational_RawData!$A:$A,"1_Operational"),"",INDEX(Operational_RawData!C:C,MATCH("1_Operational",Operational_RawData!$A:$A,0)+ROWS($2:25)-1))</f>
        <v>17.350000000000001</v>
      </c>
      <c r="D25">
        <f>IF(ROWS($2:25)&gt;COUNTIF(Operational_RawData!$A:$A,"1_Operational"),"",INDEX(Operational_RawData!D:D,MATCH("1_Operational",Operational_RawData!$A:$A,0)+ROWS($2:25)-1))</f>
        <v>1308.576</v>
      </c>
      <c r="E25">
        <f>IF(ROWS($2:25)&gt;COUNTIF(Operational_RawData!$A:$A,"1_Operational"),"",INDEX(Operational_RawData!E:E,MATCH("1_Operational",Operational_RawData!$A:$A,0)+ROWS($2:25)-1))</f>
        <v>3.57</v>
      </c>
      <c r="F25">
        <f>IF(ROWS($2:25)&gt;COUNTIF(Operational_RawData!$A:$A,"1_Operational"),"",INDEX(Operational_RawData!F:F,MATCH("1_Operational",Operational_RawData!$A:$A,0)+ROWS($2:25)-1))</f>
        <v>230.88</v>
      </c>
      <c r="G25">
        <f>IF(ROWS($2:25)&gt;COUNTIF(Operational_RawData!$A:$A,"1_Operational"),"",INDEX(Operational_RawData!G:G,MATCH("1_Operational",Operational_RawData!$A:$A,0)+ROWS($2:25)-1))</f>
        <v>230.88</v>
      </c>
      <c r="H25">
        <f>IF(ROWS($2:25)&gt;COUNTIF(Operational_RawData!$A:$A,"1_Operational"),"",INDEX(Operational_RawData!H:H,MATCH("1_Operational",Operational_RawData!$A:$A,0)+ROWS($2:25)-1))</f>
        <v>230.88</v>
      </c>
      <c r="I25">
        <f>IF(ROWS($2:25)&gt;COUNTIF(Operational_RawData!$A:$A,"1_Operational"),"",INDEX(Operational_RawData!I:I,MATCH("1_Operational",Operational_RawData!$A:$A,0)+ROWS($2:25)-1))</f>
        <v>230.88</v>
      </c>
      <c r="J25">
        <f>IF(ROWS($2:25)&gt;COUNTIF(Operational_RawData!$A:$A,"1_Operational"),"",INDEX(Operational_RawData!J:J,MATCH("1_Operational",Operational_RawData!$A:$A,0)+ROWS($2:25)-1))</f>
        <v>325.68</v>
      </c>
      <c r="K25">
        <f>IF(ROWS($2:25)&gt;COUNTIF(Operational_RawData!$A:$A,"1_Operational"),"",INDEX(Operational_RawData!K:K,MATCH("1_Operational",Operational_RawData!$A:$A,0)+ROWS($2:25)-1))</f>
        <v>325.68</v>
      </c>
      <c r="L25">
        <f>IF(ROWS($2:25)&gt;COUNTIF(Operational_RawData!$A:$A,"1_Operational"),"",INDEX(Operational_RawData!L:L,MATCH("1_Operational",Operational_RawData!$A:$A,0)+ROWS($2:25)-1))</f>
        <v>325.68</v>
      </c>
      <c r="M25">
        <f>IF(ROWS($2:25)&gt;COUNTIF(Operational_RawData!$A:$A,"1_Operational"),"",INDEX(Operational_RawData!M:M,MATCH("1_Operational",Operational_RawData!$A:$A,0)+ROWS($2:25)-1))</f>
        <v>325.68</v>
      </c>
      <c r="N25">
        <f>IF(ROWS($2:25)&gt;COUNTIF(Operational_RawData!$A:$A,"1_Operational"),"",INDEX(Operational_RawData!N:N,MATCH("1_Operational",Operational_RawData!$A:$A,0)+ROWS($2:25)-1))</f>
        <v>7.0000000000000007E-2</v>
      </c>
      <c r="O25">
        <f>IF(ROWS($2:25)&gt;COUNTIF(Operational_RawData!$A:$A,"1_Operational"),"",INDEX(Operational_RawData!O:O,MATCH("1_Operational",Operational_RawData!$A:$A,0)+ROWS($2:25)-1))</f>
        <v>0.19</v>
      </c>
      <c r="P25">
        <f>IF(ROWS($2:25)&gt;COUNTIF(Operational_RawData!$A:$A,"1_Operational"),"",INDEX(Operational_RawData!P:P,MATCH("1_Operational",Operational_RawData!$A:$A,0)+ROWS($2:25)-1))</f>
        <v>0.06</v>
      </c>
      <c r="Q25">
        <f>IF(ROWS($2:25)&gt;COUNTIF(Operational_RawData!$A:$A,"1_Operational"),"",INDEX(Operational_RawData!Q:Q,MATCH("1_Operational",Operational_RawData!$A:$A,0)+ROWS($2:25)-1))</f>
        <v>0.1</v>
      </c>
      <c r="R25" t="str">
        <f>IF(ROWS($2:25)&gt;COUNTIF(Operational_RawData!$A:$A,"1_Operational"),"",INDEX(Operational_RawData!R:R,MATCH("1_Operational",Operational_RawData!$A:$A,0)+ROWS($2:25)-1))</f>
        <v>Pass</v>
      </c>
      <c r="S25">
        <f>IF(ROWS($2:25)&gt;COUNTIF(Operational_RawData!$A:$A,"1_Operational"),"",INDEX(Operational_RawData!S:S,MATCH("1_Operational",Operational_RawData!$A:$A,0)+ROWS($2:25)-1))</f>
        <v>0</v>
      </c>
      <c r="T25">
        <f>IF(ROWS($2:25)&gt;COUNTIF(Operational_RawData!$A:$A,"1_Operational"),"",INDEX(Operational_RawData!T:T,MATCH("1_Operational",Operational_RawData!$A:$A,0)+ROWS($2:25)-1))</f>
        <v>0</v>
      </c>
    </row>
    <row r="26" spans="1:20">
      <c r="A26" t="str">
        <f>IF(ROWS($2:26)&gt;COUNTIF(Operational_RawData!$A:$A,"1_Operational"),"",INDEX(Operational_RawData!A:A,MATCH("1_Operational",Operational_RawData!$A:$A,0)+ROWS($2:26)-1))</f>
        <v>1_Operational</v>
      </c>
      <c r="B26">
        <f>IF(ROWS($2:26)&gt;COUNTIF(Operational_RawData!$A:$A,"1_Operational"),"",INDEX(Operational_RawData!B:B,MATCH("1_Operational",Operational_RawData!$A:$A,0)+ROWS($2:26)-1))</f>
        <v>144606.85399999999</v>
      </c>
      <c r="C26">
        <f>IF(ROWS($2:26)&gt;COUNTIF(Operational_RawData!$A:$A,"1_Operational"),"",INDEX(Operational_RawData!C:C,MATCH("1_Operational",Operational_RawData!$A:$A,0)+ROWS($2:26)-1))</f>
        <v>18.079999999999998</v>
      </c>
      <c r="D26">
        <f>IF(ROWS($2:26)&gt;COUNTIF(Operational_RawData!$A:$A,"1_Operational"),"",INDEX(Operational_RawData!D:D,MATCH("1_Operational",Operational_RawData!$A:$A,0)+ROWS($2:26)-1))</f>
        <v>1308.6369999999999</v>
      </c>
      <c r="E26">
        <f>IF(ROWS($2:26)&gt;COUNTIF(Operational_RawData!$A:$A,"1_Operational"),"",INDEX(Operational_RawData!E:E,MATCH("1_Operational",Operational_RawData!$A:$A,0)+ROWS($2:26)-1))</f>
        <v>3.46</v>
      </c>
      <c r="F26">
        <f>IF(ROWS($2:26)&gt;COUNTIF(Operational_RawData!$A:$A,"1_Operational"),"",INDEX(Operational_RawData!F:F,MATCH("1_Operational",Operational_RawData!$A:$A,0)+ROWS($2:26)-1))</f>
        <v>229.76</v>
      </c>
      <c r="G26">
        <f>IF(ROWS($2:26)&gt;COUNTIF(Operational_RawData!$A:$A,"1_Operational"),"",INDEX(Operational_RawData!G:G,MATCH("1_Operational",Operational_RawData!$A:$A,0)+ROWS($2:26)-1))</f>
        <v>229.76</v>
      </c>
      <c r="H26">
        <f>IF(ROWS($2:26)&gt;COUNTIF(Operational_RawData!$A:$A,"1_Operational"),"",INDEX(Operational_RawData!H:H,MATCH("1_Operational",Operational_RawData!$A:$A,0)+ROWS($2:26)-1))</f>
        <v>229.76</v>
      </c>
      <c r="I26">
        <f>IF(ROWS($2:26)&gt;COUNTIF(Operational_RawData!$A:$A,"1_Operational"),"",INDEX(Operational_RawData!I:I,MATCH("1_Operational",Operational_RawData!$A:$A,0)+ROWS($2:26)-1))</f>
        <v>229.76</v>
      </c>
      <c r="J26">
        <f>IF(ROWS($2:26)&gt;COUNTIF(Operational_RawData!$A:$A,"1_Operational"),"",INDEX(Operational_RawData!J:J,MATCH("1_Operational",Operational_RawData!$A:$A,0)+ROWS($2:26)-1))</f>
        <v>324.76</v>
      </c>
      <c r="K26">
        <f>IF(ROWS($2:26)&gt;COUNTIF(Operational_RawData!$A:$A,"1_Operational"),"",INDEX(Operational_RawData!K:K,MATCH("1_Operational",Operational_RawData!$A:$A,0)+ROWS($2:26)-1))</f>
        <v>324.76</v>
      </c>
      <c r="L26">
        <f>IF(ROWS($2:26)&gt;COUNTIF(Operational_RawData!$A:$A,"1_Operational"),"",INDEX(Operational_RawData!L:L,MATCH("1_Operational",Operational_RawData!$A:$A,0)+ROWS($2:26)-1))</f>
        <v>324.76</v>
      </c>
      <c r="M26">
        <f>IF(ROWS($2:26)&gt;COUNTIF(Operational_RawData!$A:$A,"1_Operational"),"",INDEX(Operational_RawData!M:M,MATCH("1_Operational",Operational_RawData!$A:$A,0)+ROWS($2:26)-1))</f>
        <v>324.76</v>
      </c>
      <c r="N26">
        <f>IF(ROWS($2:26)&gt;COUNTIF(Operational_RawData!$A:$A,"1_Operational"),"",INDEX(Operational_RawData!N:N,MATCH("1_Operational",Operational_RawData!$A:$A,0)+ROWS($2:26)-1))</f>
        <v>0.08</v>
      </c>
      <c r="O26">
        <f>IF(ROWS($2:26)&gt;COUNTIF(Operational_RawData!$A:$A,"1_Operational"),"",INDEX(Operational_RawData!O:O,MATCH("1_Operational",Operational_RawData!$A:$A,0)+ROWS($2:26)-1))</f>
        <v>0.19</v>
      </c>
      <c r="P26">
        <f>IF(ROWS($2:26)&gt;COUNTIF(Operational_RawData!$A:$A,"1_Operational"),"",INDEX(Operational_RawData!P:P,MATCH("1_Operational",Operational_RawData!$A:$A,0)+ROWS($2:26)-1))</f>
        <v>0.06</v>
      </c>
      <c r="Q26">
        <f>IF(ROWS($2:26)&gt;COUNTIF(Operational_RawData!$A:$A,"1_Operational"),"",INDEX(Operational_RawData!Q:Q,MATCH("1_Operational",Operational_RawData!$A:$A,0)+ROWS($2:26)-1))</f>
        <v>0.1</v>
      </c>
      <c r="R26" t="str">
        <f>IF(ROWS($2:26)&gt;COUNTIF(Operational_RawData!$A:$A,"1_Operational"),"",INDEX(Operational_RawData!R:R,MATCH("1_Operational",Operational_RawData!$A:$A,0)+ROWS($2:26)-1))</f>
        <v>Pass</v>
      </c>
      <c r="S26">
        <f>IF(ROWS($2:26)&gt;COUNTIF(Operational_RawData!$A:$A,"1_Operational"),"",INDEX(Operational_RawData!S:S,MATCH("1_Operational",Operational_RawData!$A:$A,0)+ROWS($2:26)-1))</f>
        <v>0</v>
      </c>
      <c r="T26">
        <f>IF(ROWS($2:26)&gt;COUNTIF(Operational_RawData!$A:$A,"1_Operational"),"",INDEX(Operational_RawData!T:T,MATCH("1_Operational",Operational_RawData!$A:$A,0)+ROWS($2:26)-1))</f>
        <v>0</v>
      </c>
    </row>
    <row r="27" spans="1:20">
      <c r="A27" t="str">
        <f>IF(ROWS($2:27)&gt;COUNTIF(Operational_RawData!$A:$A,"1_Operational"),"",INDEX(Operational_RawData!A:A,MATCH("1_Operational",Operational_RawData!$A:$A,0)+ROWS($2:27)-1))</f>
        <v>1_Operational</v>
      </c>
      <c r="B27">
        <f>IF(ROWS($2:27)&gt;COUNTIF(Operational_RawData!$A:$A,"1_Operational"),"",INDEX(Operational_RawData!B:B,MATCH("1_Operational",Operational_RawData!$A:$A,0)+ROWS($2:27)-1))</f>
        <v>144611.859</v>
      </c>
      <c r="C27">
        <f>IF(ROWS($2:27)&gt;COUNTIF(Operational_RawData!$A:$A,"1_Operational"),"",INDEX(Operational_RawData!C:C,MATCH("1_Operational",Operational_RawData!$A:$A,0)+ROWS($2:27)-1))</f>
        <v>18.84</v>
      </c>
      <c r="D27">
        <f>IF(ROWS($2:27)&gt;COUNTIF(Operational_RawData!$A:$A,"1_Operational"),"",INDEX(Operational_RawData!D:D,MATCH("1_Operational",Operational_RawData!$A:$A,0)+ROWS($2:27)-1))</f>
        <v>1308.704</v>
      </c>
      <c r="E27">
        <f>IF(ROWS($2:27)&gt;COUNTIF(Operational_RawData!$A:$A,"1_Operational"),"",INDEX(Operational_RawData!E:E,MATCH("1_Operational",Operational_RawData!$A:$A,0)+ROWS($2:27)-1))</f>
        <v>3.45</v>
      </c>
      <c r="F27">
        <f>IF(ROWS($2:27)&gt;COUNTIF(Operational_RawData!$A:$A,"1_Operational"),"",INDEX(Operational_RawData!F:F,MATCH("1_Operational",Operational_RawData!$A:$A,0)+ROWS($2:27)-1))</f>
        <v>228.8</v>
      </c>
      <c r="G27">
        <f>IF(ROWS($2:27)&gt;COUNTIF(Operational_RawData!$A:$A,"1_Operational"),"",INDEX(Operational_RawData!G:G,MATCH("1_Operational",Operational_RawData!$A:$A,0)+ROWS($2:27)-1))</f>
        <v>228.8</v>
      </c>
      <c r="H27">
        <f>IF(ROWS($2:27)&gt;COUNTIF(Operational_RawData!$A:$A,"1_Operational"),"",INDEX(Operational_RawData!H:H,MATCH("1_Operational",Operational_RawData!$A:$A,0)+ROWS($2:27)-1))</f>
        <v>228.8</v>
      </c>
      <c r="I27">
        <f>IF(ROWS($2:27)&gt;COUNTIF(Operational_RawData!$A:$A,"1_Operational"),"",INDEX(Operational_RawData!I:I,MATCH("1_Operational",Operational_RawData!$A:$A,0)+ROWS($2:27)-1))</f>
        <v>228.8</v>
      </c>
      <c r="J27">
        <f>IF(ROWS($2:27)&gt;COUNTIF(Operational_RawData!$A:$A,"1_Operational"),"",INDEX(Operational_RawData!J:J,MATCH("1_Operational",Operational_RawData!$A:$A,0)+ROWS($2:27)-1))</f>
        <v>323.88</v>
      </c>
      <c r="K27">
        <f>IF(ROWS($2:27)&gt;COUNTIF(Operational_RawData!$A:$A,"1_Operational"),"",INDEX(Operational_RawData!K:K,MATCH("1_Operational",Operational_RawData!$A:$A,0)+ROWS($2:27)-1))</f>
        <v>323.88</v>
      </c>
      <c r="L27">
        <f>IF(ROWS($2:27)&gt;COUNTIF(Operational_RawData!$A:$A,"1_Operational"),"",INDEX(Operational_RawData!L:L,MATCH("1_Operational",Operational_RawData!$A:$A,0)+ROWS($2:27)-1))</f>
        <v>323.88</v>
      </c>
      <c r="M27">
        <f>IF(ROWS($2:27)&gt;COUNTIF(Operational_RawData!$A:$A,"1_Operational"),"",INDEX(Operational_RawData!M:M,MATCH("1_Operational",Operational_RawData!$A:$A,0)+ROWS($2:27)-1))</f>
        <v>323.88</v>
      </c>
      <c r="N27">
        <f>IF(ROWS($2:27)&gt;COUNTIF(Operational_RawData!$A:$A,"1_Operational"),"",INDEX(Operational_RawData!N:N,MATCH("1_Operational",Operational_RawData!$A:$A,0)+ROWS($2:27)-1))</f>
        <v>0.09</v>
      </c>
      <c r="O27">
        <f>IF(ROWS($2:27)&gt;COUNTIF(Operational_RawData!$A:$A,"1_Operational"),"",INDEX(Operational_RawData!O:O,MATCH("1_Operational",Operational_RawData!$A:$A,0)+ROWS($2:27)-1))</f>
        <v>0.19</v>
      </c>
      <c r="P27">
        <f>IF(ROWS($2:27)&gt;COUNTIF(Operational_RawData!$A:$A,"1_Operational"),"",INDEX(Operational_RawData!P:P,MATCH("1_Operational",Operational_RawData!$A:$A,0)+ROWS($2:27)-1))</f>
        <v>0.06</v>
      </c>
      <c r="Q27">
        <f>IF(ROWS($2:27)&gt;COUNTIF(Operational_RawData!$A:$A,"1_Operational"),"",INDEX(Operational_RawData!Q:Q,MATCH("1_Operational",Operational_RawData!$A:$A,0)+ROWS($2:27)-1))</f>
        <v>0.1</v>
      </c>
      <c r="R27" t="str">
        <f>IF(ROWS($2:27)&gt;COUNTIF(Operational_RawData!$A:$A,"1_Operational"),"",INDEX(Operational_RawData!R:R,MATCH("1_Operational",Operational_RawData!$A:$A,0)+ROWS($2:27)-1))</f>
        <v>Pass</v>
      </c>
      <c r="S27">
        <f>IF(ROWS($2:27)&gt;COUNTIF(Operational_RawData!$A:$A,"1_Operational"),"",INDEX(Operational_RawData!S:S,MATCH("1_Operational",Operational_RawData!$A:$A,0)+ROWS($2:27)-1))</f>
        <v>0</v>
      </c>
      <c r="T27">
        <f>IF(ROWS($2:27)&gt;COUNTIF(Operational_RawData!$A:$A,"1_Operational"),"",INDEX(Operational_RawData!T:T,MATCH("1_Operational",Operational_RawData!$A:$A,0)+ROWS($2:27)-1))</f>
        <v>0</v>
      </c>
    </row>
    <row r="28" spans="1:20">
      <c r="A28" t="str">
        <f>IF(ROWS($2:28)&gt;COUNTIF(Operational_RawData!$A:$A,"1_Operational"),"",INDEX(Operational_RawData!A:A,MATCH("1_Operational",Operational_RawData!$A:$A,0)+ROWS($2:28)-1))</f>
        <v>1_Operational</v>
      </c>
      <c r="B28">
        <f>IF(ROWS($2:28)&gt;COUNTIF(Operational_RawData!$A:$A,"1_Operational"),"",INDEX(Operational_RawData!B:B,MATCH("1_Operational",Operational_RawData!$A:$A,0)+ROWS($2:28)-1))</f>
        <v>144616.853</v>
      </c>
      <c r="C28">
        <f>IF(ROWS($2:28)&gt;COUNTIF(Operational_RawData!$A:$A,"1_Operational"),"",INDEX(Operational_RawData!C:C,MATCH("1_Operational",Operational_RawData!$A:$A,0)+ROWS($2:28)-1))</f>
        <v>19.559999999999999</v>
      </c>
      <c r="D28">
        <f>IF(ROWS($2:28)&gt;COUNTIF(Operational_RawData!$A:$A,"1_Operational"),"",INDEX(Operational_RawData!D:D,MATCH("1_Operational",Operational_RawData!$A:$A,0)+ROWS($2:28)-1))</f>
        <v>1308.76</v>
      </c>
      <c r="E28">
        <f>IF(ROWS($2:28)&gt;COUNTIF(Operational_RawData!$A:$A,"1_Operational"),"",INDEX(Operational_RawData!E:E,MATCH("1_Operational",Operational_RawData!$A:$A,0)+ROWS($2:28)-1))</f>
        <v>3.51</v>
      </c>
      <c r="F28">
        <f>IF(ROWS($2:28)&gt;COUNTIF(Operational_RawData!$A:$A,"1_Operational"),"",INDEX(Operational_RawData!F:F,MATCH("1_Operational",Operational_RawData!$A:$A,0)+ROWS($2:28)-1))</f>
        <v>227.8</v>
      </c>
      <c r="G28">
        <f>IF(ROWS($2:28)&gt;COUNTIF(Operational_RawData!$A:$A,"1_Operational"),"",INDEX(Operational_RawData!G:G,MATCH("1_Operational",Operational_RawData!$A:$A,0)+ROWS($2:28)-1))</f>
        <v>227.8</v>
      </c>
      <c r="H28">
        <f>IF(ROWS($2:28)&gt;COUNTIF(Operational_RawData!$A:$A,"1_Operational"),"",INDEX(Operational_RawData!H:H,MATCH("1_Operational",Operational_RawData!$A:$A,0)+ROWS($2:28)-1))</f>
        <v>227.8</v>
      </c>
      <c r="I28">
        <f>IF(ROWS($2:28)&gt;COUNTIF(Operational_RawData!$A:$A,"1_Operational"),"",INDEX(Operational_RawData!I:I,MATCH("1_Operational",Operational_RawData!$A:$A,0)+ROWS($2:28)-1))</f>
        <v>227.8</v>
      </c>
      <c r="J28">
        <f>IF(ROWS($2:28)&gt;COUNTIF(Operational_RawData!$A:$A,"1_Operational"),"",INDEX(Operational_RawData!J:J,MATCH("1_Operational",Operational_RawData!$A:$A,0)+ROWS($2:28)-1))</f>
        <v>323.12</v>
      </c>
      <c r="K28">
        <f>IF(ROWS($2:28)&gt;COUNTIF(Operational_RawData!$A:$A,"1_Operational"),"",INDEX(Operational_RawData!K:K,MATCH("1_Operational",Operational_RawData!$A:$A,0)+ROWS($2:28)-1))</f>
        <v>323.12</v>
      </c>
      <c r="L28">
        <f>IF(ROWS($2:28)&gt;COUNTIF(Operational_RawData!$A:$A,"1_Operational"),"",INDEX(Operational_RawData!L:L,MATCH("1_Operational",Operational_RawData!$A:$A,0)+ROWS($2:28)-1))</f>
        <v>323.12</v>
      </c>
      <c r="M28">
        <f>IF(ROWS($2:28)&gt;COUNTIF(Operational_RawData!$A:$A,"1_Operational"),"",INDEX(Operational_RawData!M:M,MATCH("1_Operational",Operational_RawData!$A:$A,0)+ROWS($2:28)-1))</f>
        <v>323.12</v>
      </c>
      <c r="N28">
        <f>IF(ROWS($2:28)&gt;COUNTIF(Operational_RawData!$A:$A,"1_Operational"),"",INDEX(Operational_RawData!N:N,MATCH("1_Operational",Operational_RawData!$A:$A,0)+ROWS($2:28)-1))</f>
        <v>0.08</v>
      </c>
      <c r="O28">
        <f>IF(ROWS($2:28)&gt;COUNTIF(Operational_RawData!$A:$A,"1_Operational"),"",INDEX(Operational_RawData!O:O,MATCH("1_Operational",Operational_RawData!$A:$A,0)+ROWS($2:28)-1))</f>
        <v>0.19</v>
      </c>
      <c r="P28">
        <f>IF(ROWS($2:28)&gt;COUNTIF(Operational_RawData!$A:$A,"1_Operational"),"",INDEX(Operational_RawData!P:P,MATCH("1_Operational",Operational_RawData!$A:$A,0)+ROWS($2:28)-1))</f>
        <v>0.06</v>
      </c>
      <c r="Q28">
        <f>IF(ROWS($2:28)&gt;COUNTIF(Operational_RawData!$A:$A,"1_Operational"),"",INDEX(Operational_RawData!Q:Q,MATCH("1_Operational",Operational_RawData!$A:$A,0)+ROWS($2:28)-1))</f>
        <v>0.1</v>
      </c>
      <c r="R28" t="str">
        <f>IF(ROWS($2:28)&gt;COUNTIF(Operational_RawData!$A:$A,"1_Operational"),"",INDEX(Operational_RawData!R:R,MATCH("1_Operational",Operational_RawData!$A:$A,0)+ROWS($2:28)-1))</f>
        <v>Pass</v>
      </c>
      <c r="S28">
        <f>IF(ROWS($2:28)&gt;COUNTIF(Operational_RawData!$A:$A,"1_Operational"),"",INDEX(Operational_RawData!S:S,MATCH("1_Operational",Operational_RawData!$A:$A,0)+ROWS($2:28)-1))</f>
        <v>0</v>
      </c>
      <c r="T28">
        <f>IF(ROWS($2:28)&gt;COUNTIF(Operational_RawData!$A:$A,"1_Operational"),"",INDEX(Operational_RawData!T:T,MATCH("1_Operational",Operational_RawData!$A:$A,0)+ROWS($2:28)-1))</f>
        <v>0</v>
      </c>
    </row>
    <row r="29" spans="1:20">
      <c r="A29" t="str">
        <f>IF(ROWS($2:29)&gt;COUNTIF(Operational_RawData!$A:$A,"1_Operational"),"",INDEX(Operational_RawData!A:A,MATCH("1_Operational",Operational_RawData!$A:$A,0)+ROWS($2:29)-1))</f>
        <v>1_Operational</v>
      </c>
      <c r="B29">
        <f>IF(ROWS($2:29)&gt;COUNTIF(Operational_RawData!$A:$A,"1_Operational"),"",INDEX(Operational_RawData!B:B,MATCH("1_Operational",Operational_RawData!$A:$A,0)+ROWS($2:29)-1))</f>
        <v>144621.856</v>
      </c>
      <c r="C29">
        <f>IF(ROWS($2:29)&gt;COUNTIF(Operational_RawData!$A:$A,"1_Operational"),"",INDEX(Operational_RawData!C:C,MATCH("1_Operational",Operational_RawData!$A:$A,0)+ROWS($2:29)-1))</f>
        <v>20.32</v>
      </c>
      <c r="D29">
        <f>IF(ROWS($2:29)&gt;COUNTIF(Operational_RawData!$A:$A,"1_Operational"),"",INDEX(Operational_RawData!D:D,MATCH("1_Operational",Operational_RawData!$A:$A,0)+ROWS($2:29)-1))</f>
        <v>1308.8230000000001</v>
      </c>
      <c r="E29">
        <f>IF(ROWS($2:29)&gt;COUNTIF(Operational_RawData!$A:$A,"1_Operational"),"",INDEX(Operational_RawData!E:E,MATCH("1_Operational",Operational_RawData!$A:$A,0)+ROWS($2:29)-1))</f>
        <v>3.54</v>
      </c>
      <c r="F29">
        <f>IF(ROWS($2:29)&gt;COUNTIF(Operational_RawData!$A:$A,"1_Operational"),"",INDEX(Operational_RawData!F:F,MATCH("1_Operational",Operational_RawData!$A:$A,0)+ROWS($2:29)-1))</f>
        <v>227</v>
      </c>
      <c r="G29">
        <f>IF(ROWS($2:29)&gt;COUNTIF(Operational_RawData!$A:$A,"1_Operational"),"",INDEX(Operational_RawData!G:G,MATCH("1_Operational",Operational_RawData!$A:$A,0)+ROWS($2:29)-1))</f>
        <v>227</v>
      </c>
      <c r="H29">
        <f>IF(ROWS($2:29)&gt;COUNTIF(Operational_RawData!$A:$A,"1_Operational"),"",INDEX(Operational_RawData!H:H,MATCH("1_Operational",Operational_RawData!$A:$A,0)+ROWS($2:29)-1))</f>
        <v>227</v>
      </c>
      <c r="I29">
        <f>IF(ROWS($2:29)&gt;COUNTIF(Operational_RawData!$A:$A,"1_Operational"),"",INDEX(Operational_RawData!I:I,MATCH("1_Operational",Operational_RawData!$A:$A,0)+ROWS($2:29)-1))</f>
        <v>227</v>
      </c>
      <c r="J29">
        <f>IF(ROWS($2:29)&gt;COUNTIF(Operational_RawData!$A:$A,"1_Operational"),"",INDEX(Operational_RawData!J:J,MATCH("1_Operational",Operational_RawData!$A:$A,0)+ROWS($2:29)-1))</f>
        <v>322.32</v>
      </c>
      <c r="K29">
        <f>IF(ROWS($2:29)&gt;COUNTIF(Operational_RawData!$A:$A,"1_Operational"),"",INDEX(Operational_RawData!K:K,MATCH("1_Operational",Operational_RawData!$A:$A,0)+ROWS($2:29)-1))</f>
        <v>322.32</v>
      </c>
      <c r="L29">
        <f>IF(ROWS($2:29)&gt;COUNTIF(Operational_RawData!$A:$A,"1_Operational"),"",INDEX(Operational_RawData!L:L,MATCH("1_Operational",Operational_RawData!$A:$A,0)+ROWS($2:29)-1))</f>
        <v>322.32</v>
      </c>
      <c r="M29">
        <f>IF(ROWS($2:29)&gt;COUNTIF(Operational_RawData!$A:$A,"1_Operational"),"",INDEX(Operational_RawData!M:M,MATCH("1_Operational",Operational_RawData!$A:$A,0)+ROWS($2:29)-1))</f>
        <v>322.32</v>
      </c>
      <c r="N29">
        <f>IF(ROWS($2:29)&gt;COUNTIF(Operational_RawData!$A:$A,"1_Operational"),"",INDEX(Operational_RawData!N:N,MATCH("1_Operational",Operational_RawData!$A:$A,0)+ROWS($2:29)-1))</f>
        <v>0.08</v>
      </c>
      <c r="O29">
        <f>IF(ROWS($2:29)&gt;COUNTIF(Operational_RawData!$A:$A,"1_Operational"),"",INDEX(Operational_RawData!O:O,MATCH("1_Operational",Operational_RawData!$A:$A,0)+ROWS($2:29)-1))</f>
        <v>0.19</v>
      </c>
      <c r="P29">
        <f>IF(ROWS($2:29)&gt;COUNTIF(Operational_RawData!$A:$A,"1_Operational"),"",INDEX(Operational_RawData!P:P,MATCH("1_Operational",Operational_RawData!$A:$A,0)+ROWS($2:29)-1))</f>
        <v>0.06</v>
      </c>
      <c r="Q29">
        <f>IF(ROWS($2:29)&gt;COUNTIF(Operational_RawData!$A:$A,"1_Operational"),"",INDEX(Operational_RawData!Q:Q,MATCH("1_Operational",Operational_RawData!$A:$A,0)+ROWS($2:29)-1))</f>
        <v>0.1</v>
      </c>
      <c r="R29" t="str">
        <f>IF(ROWS($2:29)&gt;COUNTIF(Operational_RawData!$A:$A,"1_Operational"),"",INDEX(Operational_RawData!R:R,MATCH("1_Operational",Operational_RawData!$A:$A,0)+ROWS($2:29)-1))</f>
        <v>Pass</v>
      </c>
      <c r="S29">
        <f>IF(ROWS($2:29)&gt;COUNTIF(Operational_RawData!$A:$A,"1_Operational"),"",INDEX(Operational_RawData!S:S,MATCH("1_Operational",Operational_RawData!$A:$A,0)+ROWS($2:29)-1))</f>
        <v>0</v>
      </c>
      <c r="T29">
        <f>IF(ROWS($2:29)&gt;COUNTIF(Operational_RawData!$A:$A,"1_Operational"),"",INDEX(Operational_RawData!T:T,MATCH("1_Operational",Operational_RawData!$A:$A,0)+ROWS($2:29)-1))</f>
        <v>0</v>
      </c>
    </row>
    <row r="30" spans="1:20">
      <c r="A30" t="str">
        <f>IF(ROWS($2:30)&gt;COUNTIF(Operational_RawData!$A:$A,"1_Operational"),"",INDEX(Operational_RawData!A:A,MATCH("1_Operational",Operational_RawData!$A:$A,0)+ROWS($2:30)-1))</f>
        <v>1_Operational</v>
      </c>
      <c r="B30">
        <f>IF(ROWS($2:30)&gt;COUNTIF(Operational_RawData!$A:$A,"1_Operational"),"",INDEX(Operational_RawData!B:B,MATCH("1_Operational",Operational_RawData!$A:$A,0)+ROWS($2:30)-1))</f>
        <v>144626.85800000001</v>
      </c>
      <c r="C30">
        <f>IF(ROWS($2:30)&gt;COUNTIF(Operational_RawData!$A:$A,"1_Operational"),"",INDEX(Operational_RawData!C:C,MATCH("1_Operational",Operational_RawData!$A:$A,0)+ROWS($2:30)-1))</f>
        <v>21.09</v>
      </c>
      <c r="D30">
        <f>IF(ROWS($2:30)&gt;COUNTIF(Operational_RawData!$A:$A,"1_Operational"),"",INDEX(Operational_RawData!D:D,MATCH("1_Operational",Operational_RawData!$A:$A,0)+ROWS($2:30)-1))</f>
        <v>1308.893</v>
      </c>
      <c r="E30">
        <f>IF(ROWS($2:30)&gt;COUNTIF(Operational_RawData!$A:$A,"1_Operational"),"",INDEX(Operational_RawData!E:E,MATCH("1_Operational",Operational_RawData!$A:$A,0)+ROWS($2:30)-1))</f>
        <v>3.53</v>
      </c>
      <c r="F30">
        <f>IF(ROWS($2:30)&gt;COUNTIF(Operational_RawData!$A:$A,"1_Operational"),"",INDEX(Operational_RawData!F:F,MATCH("1_Operational",Operational_RawData!$A:$A,0)+ROWS($2:30)-1))</f>
        <v>226.16</v>
      </c>
      <c r="G30">
        <f>IF(ROWS($2:30)&gt;COUNTIF(Operational_RawData!$A:$A,"1_Operational"),"",INDEX(Operational_RawData!G:G,MATCH("1_Operational",Operational_RawData!$A:$A,0)+ROWS($2:30)-1))</f>
        <v>226.16</v>
      </c>
      <c r="H30">
        <f>IF(ROWS($2:30)&gt;COUNTIF(Operational_RawData!$A:$A,"1_Operational"),"",INDEX(Operational_RawData!H:H,MATCH("1_Operational",Operational_RawData!$A:$A,0)+ROWS($2:30)-1))</f>
        <v>226.16</v>
      </c>
      <c r="I30">
        <f>IF(ROWS($2:30)&gt;COUNTIF(Operational_RawData!$A:$A,"1_Operational"),"",INDEX(Operational_RawData!I:I,MATCH("1_Operational",Operational_RawData!$A:$A,0)+ROWS($2:30)-1))</f>
        <v>226.16</v>
      </c>
      <c r="J30">
        <f>IF(ROWS($2:30)&gt;COUNTIF(Operational_RawData!$A:$A,"1_Operational"),"",INDEX(Operational_RawData!J:J,MATCH("1_Operational",Operational_RawData!$A:$A,0)+ROWS($2:30)-1))</f>
        <v>321.8</v>
      </c>
      <c r="K30">
        <f>IF(ROWS($2:30)&gt;COUNTIF(Operational_RawData!$A:$A,"1_Operational"),"",INDEX(Operational_RawData!K:K,MATCH("1_Operational",Operational_RawData!$A:$A,0)+ROWS($2:30)-1))</f>
        <v>321.8</v>
      </c>
      <c r="L30">
        <f>IF(ROWS($2:30)&gt;COUNTIF(Operational_RawData!$A:$A,"1_Operational"),"",INDEX(Operational_RawData!L:L,MATCH("1_Operational",Operational_RawData!$A:$A,0)+ROWS($2:30)-1))</f>
        <v>321.8</v>
      </c>
      <c r="M30">
        <f>IF(ROWS($2:30)&gt;COUNTIF(Operational_RawData!$A:$A,"1_Operational"),"",INDEX(Operational_RawData!M:M,MATCH("1_Operational",Operational_RawData!$A:$A,0)+ROWS($2:30)-1))</f>
        <v>321.8</v>
      </c>
      <c r="N30">
        <f>IF(ROWS($2:30)&gt;COUNTIF(Operational_RawData!$A:$A,"1_Operational"),"",INDEX(Operational_RawData!N:N,MATCH("1_Operational",Operational_RawData!$A:$A,0)+ROWS($2:30)-1))</f>
        <v>0.09</v>
      </c>
      <c r="O30">
        <f>IF(ROWS($2:30)&gt;COUNTIF(Operational_RawData!$A:$A,"1_Operational"),"",INDEX(Operational_RawData!O:O,MATCH("1_Operational",Operational_RawData!$A:$A,0)+ROWS($2:30)-1))</f>
        <v>0.19</v>
      </c>
      <c r="P30">
        <f>IF(ROWS($2:30)&gt;COUNTIF(Operational_RawData!$A:$A,"1_Operational"),"",INDEX(Operational_RawData!P:P,MATCH("1_Operational",Operational_RawData!$A:$A,0)+ROWS($2:30)-1))</f>
        <v>0.06</v>
      </c>
      <c r="Q30">
        <f>IF(ROWS($2:30)&gt;COUNTIF(Operational_RawData!$A:$A,"1_Operational"),"",INDEX(Operational_RawData!Q:Q,MATCH("1_Operational",Operational_RawData!$A:$A,0)+ROWS($2:30)-1))</f>
        <v>0.1</v>
      </c>
      <c r="R30" t="str">
        <f>IF(ROWS($2:30)&gt;COUNTIF(Operational_RawData!$A:$A,"1_Operational"),"",INDEX(Operational_RawData!R:R,MATCH("1_Operational",Operational_RawData!$A:$A,0)+ROWS($2:30)-1))</f>
        <v>Pass</v>
      </c>
      <c r="S30">
        <f>IF(ROWS($2:30)&gt;COUNTIF(Operational_RawData!$A:$A,"1_Operational"),"",INDEX(Operational_RawData!S:S,MATCH("1_Operational",Operational_RawData!$A:$A,0)+ROWS($2:30)-1))</f>
        <v>0</v>
      </c>
      <c r="T30">
        <f>IF(ROWS($2:30)&gt;COUNTIF(Operational_RawData!$A:$A,"1_Operational"),"",INDEX(Operational_RawData!T:T,MATCH("1_Operational",Operational_RawData!$A:$A,0)+ROWS($2:30)-1))</f>
        <v>0</v>
      </c>
    </row>
    <row r="31" spans="1:20">
      <c r="A31" t="str">
        <f>IF(ROWS($2:31)&gt;COUNTIF(Operational_RawData!$A:$A,"1_Operational"),"",INDEX(Operational_RawData!A:A,MATCH("1_Operational",Operational_RawData!$A:$A,0)+ROWS($2:31)-1))</f>
        <v>1_Operational</v>
      </c>
      <c r="B31">
        <f>IF(ROWS($2:31)&gt;COUNTIF(Operational_RawData!$A:$A,"1_Operational"),"",INDEX(Operational_RawData!B:B,MATCH("1_Operational",Operational_RawData!$A:$A,0)+ROWS($2:31)-1))</f>
        <v>144631.859</v>
      </c>
      <c r="C31">
        <f>IF(ROWS($2:31)&gt;COUNTIF(Operational_RawData!$A:$A,"1_Operational"),"",INDEX(Operational_RawData!C:C,MATCH("1_Operational",Operational_RawData!$A:$A,0)+ROWS($2:31)-1))</f>
        <v>21.83</v>
      </c>
      <c r="D31">
        <f>IF(ROWS($2:31)&gt;COUNTIF(Operational_RawData!$A:$A,"1_Operational"),"",INDEX(Operational_RawData!D:D,MATCH("1_Operational",Operational_RawData!$A:$A,0)+ROWS($2:31)-1))</f>
        <v>1308.95</v>
      </c>
      <c r="E31">
        <f>IF(ROWS($2:31)&gt;COUNTIF(Operational_RawData!$A:$A,"1_Operational"),"",INDEX(Operational_RawData!E:E,MATCH("1_Operational",Operational_RawData!$A:$A,0)+ROWS($2:31)-1))</f>
        <v>3.48</v>
      </c>
      <c r="F31">
        <f>IF(ROWS($2:31)&gt;COUNTIF(Operational_RawData!$A:$A,"1_Operational"),"",INDEX(Operational_RawData!F:F,MATCH("1_Operational",Operational_RawData!$A:$A,0)+ROWS($2:31)-1))</f>
        <v>225.48</v>
      </c>
      <c r="G31">
        <f>IF(ROWS($2:31)&gt;COUNTIF(Operational_RawData!$A:$A,"1_Operational"),"",INDEX(Operational_RawData!G:G,MATCH("1_Operational",Operational_RawData!$A:$A,0)+ROWS($2:31)-1))</f>
        <v>225.48</v>
      </c>
      <c r="H31">
        <f>IF(ROWS($2:31)&gt;COUNTIF(Operational_RawData!$A:$A,"1_Operational"),"",INDEX(Operational_RawData!H:H,MATCH("1_Operational",Operational_RawData!$A:$A,0)+ROWS($2:31)-1))</f>
        <v>225.48</v>
      </c>
      <c r="I31">
        <f>IF(ROWS($2:31)&gt;COUNTIF(Operational_RawData!$A:$A,"1_Operational"),"",INDEX(Operational_RawData!I:I,MATCH("1_Operational",Operational_RawData!$A:$A,0)+ROWS($2:31)-1))</f>
        <v>225.48</v>
      </c>
      <c r="J31">
        <f>IF(ROWS($2:31)&gt;COUNTIF(Operational_RawData!$A:$A,"1_Operational"),"",INDEX(Operational_RawData!J:J,MATCH("1_Operational",Operational_RawData!$A:$A,0)+ROWS($2:31)-1))</f>
        <v>321.32</v>
      </c>
      <c r="K31">
        <f>IF(ROWS($2:31)&gt;COUNTIF(Operational_RawData!$A:$A,"1_Operational"),"",INDEX(Operational_RawData!K:K,MATCH("1_Operational",Operational_RawData!$A:$A,0)+ROWS($2:31)-1))</f>
        <v>321.32</v>
      </c>
      <c r="L31">
        <f>IF(ROWS($2:31)&gt;COUNTIF(Operational_RawData!$A:$A,"1_Operational"),"",INDEX(Operational_RawData!L:L,MATCH("1_Operational",Operational_RawData!$A:$A,0)+ROWS($2:31)-1))</f>
        <v>321.32</v>
      </c>
      <c r="M31">
        <f>IF(ROWS($2:31)&gt;COUNTIF(Operational_RawData!$A:$A,"1_Operational"),"",INDEX(Operational_RawData!M:M,MATCH("1_Operational",Operational_RawData!$A:$A,0)+ROWS($2:31)-1))</f>
        <v>321.32</v>
      </c>
      <c r="N31">
        <f>IF(ROWS($2:31)&gt;COUNTIF(Operational_RawData!$A:$A,"1_Operational"),"",INDEX(Operational_RawData!N:N,MATCH("1_Operational",Operational_RawData!$A:$A,0)+ROWS($2:31)-1))</f>
        <v>0.08</v>
      </c>
      <c r="O31">
        <f>IF(ROWS($2:31)&gt;COUNTIF(Operational_RawData!$A:$A,"1_Operational"),"",INDEX(Operational_RawData!O:O,MATCH("1_Operational",Operational_RawData!$A:$A,0)+ROWS($2:31)-1))</f>
        <v>0.19</v>
      </c>
      <c r="P31">
        <f>IF(ROWS($2:31)&gt;COUNTIF(Operational_RawData!$A:$A,"1_Operational"),"",INDEX(Operational_RawData!P:P,MATCH("1_Operational",Operational_RawData!$A:$A,0)+ROWS($2:31)-1))</f>
        <v>0.06</v>
      </c>
      <c r="Q31">
        <f>IF(ROWS($2:31)&gt;COUNTIF(Operational_RawData!$A:$A,"1_Operational"),"",INDEX(Operational_RawData!Q:Q,MATCH("1_Operational",Operational_RawData!$A:$A,0)+ROWS($2:31)-1))</f>
        <v>0.1</v>
      </c>
      <c r="R31" t="str">
        <f>IF(ROWS($2:31)&gt;COUNTIF(Operational_RawData!$A:$A,"1_Operational"),"",INDEX(Operational_RawData!R:R,MATCH("1_Operational",Operational_RawData!$A:$A,0)+ROWS($2:31)-1))</f>
        <v>Pass</v>
      </c>
      <c r="S31">
        <f>IF(ROWS($2:31)&gt;COUNTIF(Operational_RawData!$A:$A,"1_Operational"),"",INDEX(Operational_RawData!S:S,MATCH("1_Operational",Operational_RawData!$A:$A,0)+ROWS($2:31)-1))</f>
        <v>0</v>
      </c>
      <c r="T31">
        <f>IF(ROWS($2:31)&gt;COUNTIF(Operational_RawData!$A:$A,"1_Operational"),"",INDEX(Operational_RawData!T:T,MATCH("1_Operational",Operational_RawData!$A:$A,0)+ROWS($2:31)-1))</f>
        <v>0</v>
      </c>
    </row>
    <row r="32" spans="1:20">
      <c r="A32" t="str">
        <f>IF(ROWS($2:32)&gt;COUNTIF(Operational_RawData!$A:$A,"1_Operational"),"",INDEX(Operational_RawData!A:A,MATCH("1_Operational",Operational_RawData!$A:$A,0)+ROWS($2:32)-1))</f>
        <v>1_Operational</v>
      </c>
      <c r="B32">
        <f>IF(ROWS($2:32)&gt;COUNTIF(Operational_RawData!$A:$A,"1_Operational"),"",INDEX(Operational_RawData!B:B,MATCH("1_Operational",Operational_RawData!$A:$A,0)+ROWS($2:32)-1))</f>
        <v>144636.861</v>
      </c>
      <c r="C32">
        <f>IF(ROWS($2:32)&gt;COUNTIF(Operational_RawData!$A:$A,"1_Operational"),"",INDEX(Operational_RawData!C:C,MATCH("1_Operational",Operational_RawData!$A:$A,0)+ROWS($2:32)-1))</f>
        <v>22.58</v>
      </c>
      <c r="D32">
        <f>IF(ROWS($2:32)&gt;COUNTIF(Operational_RawData!$A:$A,"1_Operational"),"",INDEX(Operational_RawData!D:D,MATCH("1_Operational",Operational_RawData!$A:$A,0)+ROWS($2:32)-1))</f>
        <v>1309.021</v>
      </c>
      <c r="E32">
        <f>IF(ROWS($2:32)&gt;COUNTIF(Operational_RawData!$A:$A,"1_Operational"),"",INDEX(Operational_RawData!E:E,MATCH("1_Operational",Operational_RawData!$A:$A,0)+ROWS($2:32)-1))</f>
        <v>3.57</v>
      </c>
      <c r="F32">
        <f>IF(ROWS($2:32)&gt;COUNTIF(Operational_RawData!$A:$A,"1_Operational"),"",INDEX(Operational_RawData!F:F,MATCH("1_Operational",Operational_RawData!$A:$A,0)+ROWS($2:32)-1))</f>
        <v>224.8</v>
      </c>
      <c r="G32">
        <f>IF(ROWS($2:32)&gt;COUNTIF(Operational_RawData!$A:$A,"1_Operational"),"",INDEX(Operational_RawData!G:G,MATCH("1_Operational",Operational_RawData!$A:$A,0)+ROWS($2:32)-1))</f>
        <v>224.8</v>
      </c>
      <c r="H32">
        <f>IF(ROWS($2:32)&gt;COUNTIF(Operational_RawData!$A:$A,"1_Operational"),"",INDEX(Operational_RawData!H:H,MATCH("1_Operational",Operational_RawData!$A:$A,0)+ROWS($2:32)-1))</f>
        <v>224.8</v>
      </c>
      <c r="I32">
        <f>IF(ROWS($2:32)&gt;COUNTIF(Operational_RawData!$A:$A,"1_Operational"),"",INDEX(Operational_RawData!I:I,MATCH("1_Operational",Operational_RawData!$A:$A,0)+ROWS($2:32)-1))</f>
        <v>224.8</v>
      </c>
      <c r="J32">
        <f>IF(ROWS($2:32)&gt;COUNTIF(Operational_RawData!$A:$A,"1_Operational"),"",INDEX(Operational_RawData!J:J,MATCH("1_Operational",Operational_RawData!$A:$A,0)+ROWS($2:32)-1))</f>
        <v>320.95999999999998</v>
      </c>
      <c r="K32">
        <f>IF(ROWS($2:32)&gt;COUNTIF(Operational_RawData!$A:$A,"1_Operational"),"",INDEX(Operational_RawData!K:K,MATCH("1_Operational",Operational_RawData!$A:$A,0)+ROWS($2:32)-1))</f>
        <v>320.95999999999998</v>
      </c>
      <c r="L32">
        <f>IF(ROWS($2:32)&gt;COUNTIF(Operational_RawData!$A:$A,"1_Operational"),"",INDEX(Operational_RawData!L:L,MATCH("1_Operational",Operational_RawData!$A:$A,0)+ROWS($2:32)-1))</f>
        <v>320.95999999999998</v>
      </c>
      <c r="M32">
        <f>IF(ROWS($2:32)&gt;COUNTIF(Operational_RawData!$A:$A,"1_Operational"),"",INDEX(Operational_RawData!M:M,MATCH("1_Operational",Operational_RawData!$A:$A,0)+ROWS($2:32)-1))</f>
        <v>320.95999999999998</v>
      </c>
      <c r="N32">
        <f>IF(ROWS($2:32)&gt;COUNTIF(Operational_RawData!$A:$A,"1_Operational"),"",INDEX(Operational_RawData!N:N,MATCH("1_Operational",Operational_RawData!$A:$A,0)+ROWS($2:32)-1))</f>
        <v>0.09</v>
      </c>
      <c r="O32">
        <f>IF(ROWS($2:32)&gt;COUNTIF(Operational_RawData!$A:$A,"1_Operational"),"",INDEX(Operational_RawData!O:O,MATCH("1_Operational",Operational_RawData!$A:$A,0)+ROWS($2:32)-1))</f>
        <v>0.19</v>
      </c>
      <c r="P32">
        <f>IF(ROWS($2:32)&gt;COUNTIF(Operational_RawData!$A:$A,"1_Operational"),"",INDEX(Operational_RawData!P:P,MATCH("1_Operational",Operational_RawData!$A:$A,0)+ROWS($2:32)-1))</f>
        <v>0.06</v>
      </c>
      <c r="Q32">
        <f>IF(ROWS($2:32)&gt;COUNTIF(Operational_RawData!$A:$A,"1_Operational"),"",INDEX(Operational_RawData!Q:Q,MATCH("1_Operational",Operational_RawData!$A:$A,0)+ROWS($2:32)-1))</f>
        <v>0.1</v>
      </c>
      <c r="R32" t="str">
        <f>IF(ROWS($2:32)&gt;COUNTIF(Operational_RawData!$A:$A,"1_Operational"),"",INDEX(Operational_RawData!R:R,MATCH("1_Operational",Operational_RawData!$A:$A,0)+ROWS($2:32)-1))</f>
        <v>Pass</v>
      </c>
      <c r="S32">
        <f>IF(ROWS($2:32)&gt;COUNTIF(Operational_RawData!$A:$A,"1_Operational"),"",INDEX(Operational_RawData!S:S,MATCH("1_Operational",Operational_RawData!$A:$A,0)+ROWS($2:32)-1))</f>
        <v>0</v>
      </c>
      <c r="T32">
        <f>IF(ROWS($2:32)&gt;COUNTIF(Operational_RawData!$A:$A,"1_Operational"),"",INDEX(Operational_RawData!T:T,MATCH("1_Operational",Operational_RawData!$A:$A,0)+ROWS($2:32)-1))</f>
        <v>0</v>
      </c>
    </row>
    <row r="33" spans="1:20">
      <c r="A33" t="str">
        <f>IF(ROWS($2:33)&gt;COUNTIF(Operational_RawData!$A:$A,"1_Operational"),"",INDEX(Operational_RawData!A:A,MATCH("1_Operational",Operational_RawData!$A:$A,0)+ROWS($2:33)-1))</f>
        <v>1_Operational</v>
      </c>
      <c r="B33">
        <f>IF(ROWS($2:33)&gt;COUNTIF(Operational_RawData!$A:$A,"1_Operational"),"",INDEX(Operational_RawData!B:B,MATCH("1_Operational",Operational_RawData!$A:$A,0)+ROWS($2:33)-1))</f>
        <v>144641.861</v>
      </c>
      <c r="C33">
        <f>IF(ROWS($2:33)&gt;COUNTIF(Operational_RawData!$A:$A,"1_Operational"),"",INDEX(Operational_RawData!C:C,MATCH("1_Operational",Operational_RawData!$A:$A,0)+ROWS($2:33)-1))</f>
        <v>23.31</v>
      </c>
      <c r="D33">
        <f>IF(ROWS($2:33)&gt;COUNTIF(Operational_RawData!$A:$A,"1_Operational"),"",INDEX(Operational_RawData!D:D,MATCH("1_Operational",Operational_RawData!$A:$A,0)+ROWS($2:33)-1))</f>
        <v>1309.086</v>
      </c>
      <c r="E33">
        <f>IF(ROWS($2:33)&gt;COUNTIF(Operational_RawData!$A:$A,"1_Operational"),"",INDEX(Operational_RawData!E:E,MATCH("1_Operational",Operational_RawData!$A:$A,0)+ROWS($2:33)-1))</f>
        <v>3.52</v>
      </c>
      <c r="F33">
        <f>IF(ROWS($2:33)&gt;COUNTIF(Operational_RawData!$A:$A,"1_Operational"),"",INDEX(Operational_RawData!F:F,MATCH("1_Operational",Operational_RawData!$A:$A,0)+ROWS($2:33)-1))</f>
        <v>224.2</v>
      </c>
      <c r="G33">
        <f>IF(ROWS($2:33)&gt;COUNTIF(Operational_RawData!$A:$A,"1_Operational"),"",INDEX(Operational_RawData!G:G,MATCH("1_Operational",Operational_RawData!$A:$A,0)+ROWS($2:33)-1))</f>
        <v>224.2</v>
      </c>
      <c r="H33">
        <f>IF(ROWS($2:33)&gt;COUNTIF(Operational_RawData!$A:$A,"1_Operational"),"",INDEX(Operational_RawData!H:H,MATCH("1_Operational",Operational_RawData!$A:$A,0)+ROWS($2:33)-1))</f>
        <v>224.2</v>
      </c>
      <c r="I33">
        <f>IF(ROWS($2:33)&gt;COUNTIF(Operational_RawData!$A:$A,"1_Operational"),"",INDEX(Operational_RawData!I:I,MATCH("1_Operational",Operational_RawData!$A:$A,0)+ROWS($2:33)-1))</f>
        <v>224.2</v>
      </c>
      <c r="J33">
        <f>IF(ROWS($2:33)&gt;COUNTIF(Operational_RawData!$A:$A,"1_Operational"),"",INDEX(Operational_RawData!J:J,MATCH("1_Operational",Operational_RawData!$A:$A,0)+ROWS($2:33)-1))</f>
        <v>320.64</v>
      </c>
      <c r="K33">
        <f>IF(ROWS($2:33)&gt;COUNTIF(Operational_RawData!$A:$A,"1_Operational"),"",INDEX(Operational_RawData!K:K,MATCH("1_Operational",Operational_RawData!$A:$A,0)+ROWS($2:33)-1))</f>
        <v>320.64</v>
      </c>
      <c r="L33">
        <f>IF(ROWS($2:33)&gt;COUNTIF(Operational_RawData!$A:$A,"1_Operational"),"",INDEX(Operational_RawData!L:L,MATCH("1_Operational",Operational_RawData!$A:$A,0)+ROWS($2:33)-1))</f>
        <v>320.64</v>
      </c>
      <c r="M33">
        <f>IF(ROWS($2:33)&gt;COUNTIF(Operational_RawData!$A:$A,"1_Operational"),"",INDEX(Operational_RawData!M:M,MATCH("1_Operational",Operational_RawData!$A:$A,0)+ROWS($2:33)-1))</f>
        <v>320.64</v>
      </c>
      <c r="N33">
        <f>IF(ROWS($2:33)&gt;COUNTIF(Operational_RawData!$A:$A,"1_Operational"),"",INDEX(Operational_RawData!N:N,MATCH("1_Operational",Operational_RawData!$A:$A,0)+ROWS($2:33)-1))</f>
        <v>0.09</v>
      </c>
      <c r="O33">
        <f>IF(ROWS($2:33)&gt;COUNTIF(Operational_RawData!$A:$A,"1_Operational"),"",INDEX(Operational_RawData!O:O,MATCH("1_Operational",Operational_RawData!$A:$A,0)+ROWS($2:33)-1))</f>
        <v>0.19</v>
      </c>
      <c r="P33">
        <f>IF(ROWS($2:33)&gt;COUNTIF(Operational_RawData!$A:$A,"1_Operational"),"",INDEX(Operational_RawData!P:P,MATCH("1_Operational",Operational_RawData!$A:$A,0)+ROWS($2:33)-1))</f>
        <v>0.06</v>
      </c>
      <c r="Q33">
        <f>IF(ROWS($2:33)&gt;COUNTIF(Operational_RawData!$A:$A,"1_Operational"),"",INDEX(Operational_RawData!Q:Q,MATCH("1_Operational",Operational_RawData!$A:$A,0)+ROWS($2:33)-1))</f>
        <v>0.1</v>
      </c>
      <c r="R33" t="str">
        <f>IF(ROWS($2:33)&gt;COUNTIF(Operational_RawData!$A:$A,"1_Operational"),"",INDEX(Operational_RawData!R:R,MATCH("1_Operational",Operational_RawData!$A:$A,0)+ROWS($2:33)-1))</f>
        <v>Pass</v>
      </c>
      <c r="S33">
        <f>IF(ROWS($2:33)&gt;COUNTIF(Operational_RawData!$A:$A,"1_Operational"),"",INDEX(Operational_RawData!S:S,MATCH("1_Operational",Operational_RawData!$A:$A,0)+ROWS($2:33)-1))</f>
        <v>0</v>
      </c>
      <c r="T33">
        <f>IF(ROWS($2:33)&gt;COUNTIF(Operational_RawData!$A:$A,"1_Operational"),"",INDEX(Operational_RawData!T:T,MATCH("1_Operational",Operational_RawData!$A:$A,0)+ROWS($2:33)-1))</f>
        <v>0</v>
      </c>
    </row>
    <row r="34" spans="1:20">
      <c r="A34" t="str">
        <f>IF(ROWS($2:34)&gt;COUNTIF(Operational_RawData!$A:$A,"1_Operational"),"",INDEX(Operational_RawData!A:A,MATCH("1_Operational",Operational_RawData!$A:$A,0)+ROWS($2:34)-1))</f>
        <v>1_Operational</v>
      </c>
      <c r="B34">
        <f>IF(ROWS($2:34)&gt;COUNTIF(Operational_RawData!$A:$A,"1_Operational"),"",INDEX(Operational_RawData!B:B,MATCH("1_Operational",Operational_RawData!$A:$A,0)+ROWS($2:34)-1))</f>
        <v>144646.867</v>
      </c>
      <c r="C34">
        <f>IF(ROWS($2:34)&gt;COUNTIF(Operational_RawData!$A:$A,"1_Operational"),"",INDEX(Operational_RawData!C:C,MATCH("1_Operational",Operational_RawData!$A:$A,0)+ROWS($2:34)-1))</f>
        <v>24.04</v>
      </c>
      <c r="D34">
        <f>IF(ROWS($2:34)&gt;COUNTIF(Operational_RawData!$A:$A,"1_Operational"),"",INDEX(Operational_RawData!D:D,MATCH("1_Operational",Operational_RawData!$A:$A,0)+ROWS($2:34)-1))</f>
        <v>1309.152</v>
      </c>
      <c r="E34">
        <f>IF(ROWS($2:34)&gt;COUNTIF(Operational_RawData!$A:$A,"1_Operational"),"",INDEX(Operational_RawData!E:E,MATCH("1_Operational",Operational_RawData!$A:$A,0)+ROWS($2:34)-1))</f>
        <v>3.48</v>
      </c>
      <c r="F34">
        <f>IF(ROWS($2:34)&gt;COUNTIF(Operational_RawData!$A:$A,"1_Operational"),"",INDEX(Operational_RawData!F:F,MATCH("1_Operational",Operational_RawData!$A:$A,0)+ROWS($2:34)-1))</f>
        <v>223.64</v>
      </c>
      <c r="G34">
        <f>IF(ROWS($2:34)&gt;COUNTIF(Operational_RawData!$A:$A,"1_Operational"),"",INDEX(Operational_RawData!G:G,MATCH("1_Operational",Operational_RawData!$A:$A,0)+ROWS($2:34)-1))</f>
        <v>223.64</v>
      </c>
      <c r="H34">
        <f>IF(ROWS($2:34)&gt;COUNTIF(Operational_RawData!$A:$A,"1_Operational"),"",INDEX(Operational_RawData!H:H,MATCH("1_Operational",Operational_RawData!$A:$A,0)+ROWS($2:34)-1))</f>
        <v>223.64</v>
      </c>
      <c r="I34">
        <f>IF(ROWS($2:34)&gt;COUNTIF(Operational_RawData!$A:$A,"1_Operational"),"",INDEX(Operational_RawData!I:I,MATCH("1_Operational",Operational_RawData!$A:$A,0)+ROWS($2:34)-1))</f>
        <v>223.64</v>
      </c>
      <c r="J34">
        <f>IF(ROWS($2:34)&gt;COUNTIF(Operational_RawData!$A:$A,"1_Operational"),"",INDEX(Operational_RawData!J:J,MATCH("1_Operational",Operational_RawData!$A:$A,0)+ROWS($2:34)-1))</f>
        <v>320.48</v>
      </c>
      <c r="K34">
        <f>IF(ROWS($2:34)&gt;COUNTIF(Operational_RawData!$A:$A,"1_Operational"),"",INDEX(Operational_RawData!K:K,MATCH("1_Operational",Operational_RawData!$A:$A,0)+ROWS($2:34)-1))</f>
        <v>320.48</v>
      </c>
      <c r="L34">
        <f>IF(ROWS($2:34)&gt;COUNTIF(Operational_RawData!$A:$A,"1_Operational"),"",INDEX(Operational_RawData!L:L,MATCH("1_Operational",Operational_RawData!$A:$A,0)+ROWS($2:34)-1))</f>
        <v>320.48</v>
      </c>
      <c r="M34">
        <f>IF(ROWS($2:34)&gt;COUNTIF(Operational_RawData!$A:$A,"1_Operational"),"",INDEX(Operational_RawData!M:M,MATCH("1_Operational",Operational_RawData!$A:$A,0)+ROWS($2:34)-1))</f>
        <v>320.48</v>
      </c>
      <c r="N34">
        <f>IF(ROWS($2:34)&gt;COUNTIF(Operational_RawData!$A:$A,"1_Operational"),"",INDEX(Operational_RawData!N:N,MATCH("1_Operational",Operational_RawData!$A:$A,0)+ROWS($2:34)-1))</f>
        <v>0.09</v>
      </c>
      <c r="O34">
        <f>IF(ROWS($2:34)&gt;COUNTIF(Operational_RawData!$A:$A,"1_Operational"),"",INDEX(Operational_RawData!O:O,MATCH("1_Operational",Operational_RawData!$A:$A,0)+ROWS($2:34)-1))</f>
        <v>0.19</v>
      </c>
      <c r="P34">
        <f>IF(ROWS($2:34)&gt;COUNTIF(Operational_RawData!$A:$A,"1_Operational"),"",INDEX(Operational_RawData!P:P,MATCH("1_Operational",Operational_RawData!$A:$A,0)+ROWS($2:34)-1))</f>
        <v>0.06</v>
      </c>
      <c r="Q34">
        <f>IF(ROWS($2:34)&gt;COUNTIF(Operational_RawData!$A:$A,"1_Operational"),"",INDEX(Operational_RawData!Q:Q,MATCH("1_Operational",Operational_RawData!$A:$A,0)+ROWS($2:34)-1))</f>
        <v>0.1</v>
      </c>
      <c r="R34" t="str">
        <f>IF(ROWS($2:34)&gt;COUNTIF(Operational_RawData!$A:$A,"1_Operational"),"",INDEX(Operational_RawData!R:R,MATCH("1_Operational",Operational_RawData!$A:$A,0)+ROWS($2:34)-1))</f>
        <v>Pass</v>
      </c>
      <c r="S34">
        <f>IF(ROWS($2:34)&gt;COUNTIF(Operational_RawData!$A:$A,"1_Operational"),"",INDEX(Operational_RawData!S:S,MATCH("1_Operational",Operational_RawData!$A:$A,0)+ROWS($2:34)-1))</f>
        <v>0</v>
      </c>
      <c r="T34">
        <f>IF(ROWS($2:34)&gt;COUNTIF(Operational_RawData!$A:$A,"1_Operational"),"",INDEX(Operational_RawData!T:T,MATCH("1_Operational",Operational_RawData!$A:$A,0)+ROWS($2:34)-1))</f>
        <v>0</v>
      </c>
    </row>
    <row r="35" spans="1:20">
      <c r="A35" t="str">
        <f>IF(ROWS($2:35)&gt;COUNTIF(Operational_RawData!$A:$A,"1_Operational"),"",INDEX(Operational_RawData!A:A,MATCH("1_Operational",Operational_RawData!$A:$A,0)+ROWS($2:35)-1))</f>
        <v>1_Operational</v>
      </c>
      <c r="B35">
        <f>IF(ROWS($2:35)&gt;COUNTIF(Operational_RawData!$A:$A,"1_Operational"),"",INDEX(Operational_RawData!B:B,MATCH("1_Operational",Operational_RawData!$A:$A,0)+ROWS($2:35)-1))</f>
        <v>144651.86499999999</v>
      </c>
      <c r="C35">
        <f>IF(ROWS($2:35)&gt;COUNTIF(Operational_RawData!$A:$A,"1_Operational"),"",INDEX(Operational_RawData!C:C,MATCH("1_Operational",Operational_RawData!$A:$A,0)+ROWS($2:35)-1))</f>
        <v>24.75</v>
      </c>
      <c r="D35">
        <f>IF(ROWS($2:35)&gt;COUNTIF(Operational_RawData!$A:$A,"1_Operational"),"",INDEX(Operational_RawData!D:D,MATCH("1_Operational",Operational_RawData!$A:$A,0)+ROWS($2:35)-1))</f>
        <v>1309.2170000000001</v>
      </c>
      <c r="E35">
        <f>IF(ROWS($2:35)&gt;COUNTIF(Operational_RawData!$A:$A,"1_Operational"),"",INDEX(Operational_RawData!E:E,MATCH("1_Operational",Operational_RawData!$A:$A,0)+ROWS($2:35)-1))</f>
        <v>3.39</v>
      </c>
      <c r="F35">
        <f>IF(ROWS($2:35)&gt;COUNTIF(Operational_RawData!$A:$A,"1_Operational"),"",INDEX(Operational_RawData!F:F,MATCH("1_Operational",Operational_RawData!$A:$A,0)+ROWS($2:35)-1))</f>
        <v>223.2</v>
      </c>
      <c r="G35">
        <f>IF(ROWS($2:35)&gt;COUNTIF(Operational_RawData!$A:$A,"1_Operational"),"",INDEX(Operational_RawData!G:G,MATCH("1_Operational",Operational_RawData!$A:$A,0)+ROWS($2:35)-1))</f>
        <v>223.2</v>
      </c>
      <c r="H35">
        <f>IF(ROWS($2:35)&gt;COUNTIF(Operational_RawData!$A:$A,"1_Operational"),"",INDEX(Operational_RawData!H:H,MATCH("1_Operational",Operational_RawData!$A:$A,0)+ROWS($2:35)-1))</f>
        <v>223.2</v>
      </c>
      <c r="I35">
        <f>IF(ROWS($2:35)&gt;COUNTIF(Operational_RawData!$A:$A,"1_Operational"),"",INDEX(Operational_RawData!I:I,MATCH("1_Operational",Operational_RawData!$A:$A,0)+ROWS($2:35)-1))</f>
        <v>223.2</v>
      </c>
      <c r="J35">
        <f>IF(ROWS($2:35)&gt;COUNTIF(Operational_RawData!$A:$A,"1_Operational"),"",INDEX(Operational_RawData!J:J,MATCH("1_Operational",Operational_RawData!$A:$A,0)+ROWS($2:35)-1))</f>
        <v>320.44</v>
      </c>
      <c r="K35">
        <f>IF(ROWS($2:35)&gt;COUNTIF(Operational_RawData!$A:$A,"1_Operational"),"",INDEX(Operational_RawData!K:K,MATCH("1_Operational",Operational_RawData!$A:$A,0)+ROWS($2:35)-1))</f>
        <v>320.44</v>
      </c>
      <c r="L35">
        <f>IF(ROWS($2:35)&gt;COUNTIF(Operational_RawData!$A:$A,"1_Operational"),"",INDEX(Operational_RawData!L:L,MATCH("1_Operational",Operational_RawData!$A:$A,0)+ROWS($2:35)-1))</f>
        <v>320.44</v>
      </c>
      <c r="M35">
        <f>IF(ROWS($2:35)&gt;COUNTIF(Operational_RawData!$A:$A,"1_Operational"),"",INDEX(Operational_RawData!M:M,MATCH("1_Operational",Operational_RawData!$A:$A,0)+ROWS($2:35)-1))</f>
        <v>320.44</v>
      </c>
      <c r="N35">
        <f>IF(ROWS($2:35)&gt;COUNTIF(Operational_RawData!$A:$A,"1_Operational"),"",INDEX(Operational_RawData!N:N,MATCH("1_Operational",Operational_RawData!$A:$A,0)+ROWS($2:35)-1))</f>
        <v>0.09</v>
      </c>
      <c r="O35">
        <f>IF(ROWS($2:35)&gt;COUNTIF(Operational_RawData!$A:$A,"1_Operational"),"",INDEX(Operational_RawData!O:O,MATCH("1_Operational",Operational_RawData!$A:$A,0)+ROWS($2:35)-1))</f>
        <v>0.19</v>
      </c>
      <c r="P35">
        <f>IF(ROWS($2:35)&gt;COUNTIF(Operational_RawData!$A:$A,"1_Operational"),"",INDEX(Operational_RawData!P:P,MATCH("1_Operational",Operational_RawData!$A:$A,0)+ROWS($2:35)-1))</f>
        <v>0.06</v>
      </c>
      <c r="Q35">
        <f>IF(ROWS($2:35)&gt;COUNTIF(Operational_RawData!$A:$A,"1_Operational"),"",INDEX(Operational_RawData!Q:Q,MATCH("1_Operational",Operational_RawData!$A:$A,0)+ROWS($2:35)-1))</f>
        <v>0.1</v>
      </c>
      <c r="R35" t="str">
        <f>IF(ROWS($2:35)&gt;COUNTIF(Operational_RawData!$A:$A,"1_Operational"),"",INDEX(Operational_RawData!R:R,MATCH("1_Operational",Operational_RawData!$A:$A,0)+ROWS($2:35)-1))</f>
        <v>Pass</v>
      </c>
      <c r="S35">
        <f>IF(ROWS($2:35)&gt;COUNTIF(Operational_RawData!$A:$A,"1_Operational"),"",INDEX(Operational_RawData!S:S,MATCH("1_Operational",Operational_RawData!$A:$A,0)+ROWS($2:35)-1))</f>
        <v>0</v>
      </c>
      <c r="T35">
        <f>IF(ROWS($2:35)&gt;COUNTIF(Operational_RawData!$A:$A,"1_Operational"),"",INDEX(Operational_RawData!T:T,MATCH("1_Operational",Operational_RawData!$A:$A,0)+ROWS($2:35)-1))</f>
        <v>0</v>
      </c>
    </row>
    <row r="36" spans="1:20">
      <c r="A36" t="str">
        <f>IF(ROWS($2:36)&gt;COUNTIF(Operational_RawData!$A:$A,"1_Operational"),"",INDEX(Operational_RawData!A:A,MATCH("1_Operational",Operational_RawData!$A:$A,0)+ROWS($2:36)-1))</f>
        <v>1_Operational</v>
      </c>
      <c r="B36">
        <f>IF(ROWS($2:36)&gt;COUNTIF(Operational_RawData!$A:$A,"1_Operational"),"",INDEX(Operational_RawData!B:B,MATCH("1_Operational",Operational_RawData!$A:$A,0)+ROWS($2:36)-1))</f>
        <v>144656.86199999999</v>
      </c>
      <c r="C36">
        <f>IF(ROWS($2:36)&gt;COUNTIF(Operational_RawData!$A:$A,"1_Operational"),"",INDEX(Operational_RawData!C:C,MATCH("1_Operational",Operational_RawData!$A:$A,0)+ROWS($2:36)-1))</f>
        <v>25.5</v>
      </c>
      <c r="D36">
        <f>IF(ROWS($2:36)&gt;COUNTIF(Operational_RawData!$A:$A,"1_Operational"),"",INDEX(Operational_RawData!D:D,MATCH("1_Operational",Operational_RawData!$A:$A,0)+ROWS($2:36)-1))</f>
        <v>1309.2819999999999</v>
      </c>
      <c r="E36">
        <f>IF(ROWS($2:36)&gt;COUNTIF(Operational_RawData!$A:$A,"1_Operational"),"",INDEX(Operational_RawData!E:E,MATCH("1_Operational",Operational_RawData!$A:$A,0)+ROWS($2:36)-1))</f>
        <v>3.41</v>
      </c>
      <c r="F36">
        <f>IF(ROWS($2:36)&gt;COUNTIF(Operational_RawData!$A:$A,"1_Operational"),"",INDEX(Operational_RawData!F:F,MATCH("1_Operational",Operational_RawData!$A:$A,0)+ROWS($2:36)-1))</f>
        <v>222.88</v>
      </c>
      <c r="G36">
        <f>IF(ROWS($2:36)&gt;COUNTIF(Operational_RawData!$A:$A,"1_Operational"),"",INDEX(Operational_RawData!G:G,MATCH("1_Operational",Operational_RawData!$A:$A,0)+ROWS($2:36)-1))</f>
        <v>222.88</v>
      </c>
      <c r="H36">
        <f>IF(ROWS($2:36)&gt;COUNTIF(Operational_RawData!$A:$A,"1_Operational"),"",INDEX(Operational_RawData!H:H,MATCH("1_Operational",Operational_RawData!$A:$A,0)+ROWS($2:36)-1))</f>
        <v>222.88</v>
      </c>
      <c r="I36">
        <f>IF(ROWS($2:36)&gt;COUNTIF(Operational_RawData!$A:$A,"1_Operational"),"",INDEX(Operational_RawData!I:I,MATCH("1_Operational",Operational_RawData!$A:$A,0)+ROWS($2:36)-1))</f>
        <v>222.88</v>
      </c>
      <c r="J36">
        <f>IF(ROWS($2:36)&gt;COUNTIF(Operational_RawData!$A:$A,"1_Operational"),"",INDEX(Operational_RawData!J:J,MATCH("1_Operational",Operational_RawData!$A:$A,0)+ROWS($2:36)-1))</f>
        <v>320.48</v>
      </c>
      <c r="K36">
        <f>IF(ROWS($2:36)&gt;COUNTIF(Operational_RawData!$A:$A,"1_Operational"),"",INDEX(Operational_RawData!K:K,MATCH("1_Operational",Operational_RawData!$A:$A,0)+ROWS($2:36)-1))</f>
        <v>320.48</v>
      </c>
      <c r="L36">
        <f>IF(ROWS($2:36)&gt;COUNTIF(Operational_RawData!$A:$A,"1_Operational"),"",INDEX(Operational_RawData!L:L,MATCH("1_Operational",Operational_RawData!$A:$A,0)+ROWS($2:36)-1))</f>
        <v>320.48</v>
      </c>
      <c r="M36">
        <f>IF(ROWS($2:36)&gt;COUNTIF(Operational_RawData!$A:$A,"1_Operational"),"",INDEX(Operational_RawData!M:M,MATCH("1_Operational",Operational_RawData!$A:$A,0)+ROWS($2:36)-1))</f>
        <v>320.48</v>
      </c>
      <c r="N36">
        <f>IF(ROWS($2:36)&gt;COUNTIF(Operational_RawData!$A:$A,"1_Operational"),"",INDEX(Operational_RawData!N:N,MATCH("1_Operational",Operational_RawData!$A:$A,0)+ROWS($2:36)-1))</f>
        <v>0.09</v>
      </c>
      <c r="O36">
        <f>IF(ROWS($2:36)&gt;COUNTIF(Operational_RawData!$A:$A,"1_Operational"),"",INDEX(Operational_RawData!O:O,MATCH("1_Operational",Operational_RawData!$A:$A,0)+ROWS($2:36)-1))</f>
        <v>0.19</v>
      </c>
      <c r="P36">
        <f>IF(ROWS($2:36)&gt;COUNTIF(Operational_RawData!$A:$A,"1_Operational"),"",INDEX(Operational_RawData!P:P,MATCH("1_Operational",Operational_RawData!$A:$A,0)+ROWS($2:36)-1))</f>
        <v>0.06</v>
      </c>
      <c r="Q36">
        <f>IF(ROWS($2:36)&gt;COUNTIF(Operational_RawData!$A:$A,"1_Operational"),"",INDEX(Operational_RawData!Q:Q,MATCH("1_Operational",Operational_RawData!$A:$A,0)+ROWS($2:36)-1))</f>
        <v>0.1</v>
      </c>
      <c r="R36" t="str">
        <f>IF(ROWS($2:36)&gt;COUNTIF(Operational_RawData!$A:$A,"1_Operational"),"",INDEX(Operational_RawData!R:R,MATCH("1_Operational",Operational_RawData!$A:$A,0)+ROWS($2:36)-1))</f>
        <v>Pass</v>
      </c>
      <c r="S36">
        <f>IF(ROWS($2:36)&gt;COUNTIF(Operational_RawData!$A:$A,"1_Operational"),"",INDEX(Operational_RawData!S:S,MATCH("1_Operational",Operational_RawData!$A:$A,0)+ROWS($2:36)-1))</f>
        <v>0</v>
      </c>
      <c r="T36">
        <f>IF(ROWS($2:36)&gt;COUNTIF(Operational_RawData!$A:$A,"1_Operational"),"",INDEX(Operational_RawData!T:T,MATCH("1_Operational",Operational_RawData!$A:$A,0)+ROWS($2:36)-1))</f>
        <v>0</v>
      </c>
    </row>
    <row r="37" spans="1:20">
      <c r="A37" t="str">
        <f>IF(ROWS($2:37)&gt;COUNTIF(Operational_RawData!$A:$A,"1_Operational"),"",INDEX(Operational_RawData!A:A,MATCH("1_Operational",Operational_RawData!$A:$A,0)+ROWS($2:37)-1))</f>
        <v>1_Operational</v>
      </c>
      <c r="B37">
        <f>IF(ROWS($2:37)&gt;COUNTIF(Operational_RawData!$A:$A,"1_Operational"),"",INDEX(Operational_RawData!B:B,MATCH("1_Operational",Operational_RawData!$A:$A,0)+ROWS($2:37)-1))</f>
        <v>144701.86799999999</v>
      </c>
      <c r="C37">
        <f>IF(ROWS($2:37)&gt;COUNTIF(Operational_RawData!$A:$A,"1_Operational"),"",INDEX(Operational_RawData!C:C,MATCH("1_Operational",Operational_RawData!$A:$A,0)+ROWS($2:37)-1))</f>
        <v>26.26</v>
      </c>
      <c r="D37">
        <f>IF(ROWS($2:37)&gt;COUNTIF(Operational_RawData!$A:$A,"1_Operational"),"",INDEX(Operational_RawData!D:D,MATCH("1_Operational",Operational_RawData!$A:$A,0)+ROWS($2:37)-1))</f>
        <v>1309.347</v>
      </c>
      <c r="E37">
        <f>IF(ROWS($2:37)&gt;COUNTIF(Operational_RawData!$A:$A,"1_Operational"),"",INDEX(Operational_RawData!E:E,MATCH("1_Operational",Operational_RawData!$A:$A,0)+ROWS($2:37)-1))</f>
        <v>3.41</v>
      </c>
      <c r="F37">
        <f>IF(ROWS($2:37)&gt;COUNTIF(Operational_RawData!$A:$A,"1_Operational"),"",INDEX(Operational_RawData!F:F,MATCH("1_Operational",Operational_RawData!$A:$A,0)+ROWS($2:37)-1))</f>
        <v>222.72</v>
      </c>
      <c r="G37">
        <f>IF(ROWS($2:37)&gt;COUNTIF(Operational_RawData!$A:$A,"1_Operational"),"",INDEX(Operational_RawData!G:G,MATCH("1_Operational",Operational_RawData!$A:$A,0)+ROWS($2:37)-1))</f>
        <v>222.72</v>
      </c>
      <c r="H37">
        <f>IF(ROWS($2:37)&gt;COUNTIF(Operational_RawData!$A:$A,"1_Operational"),"",INDEX(Operational_RawData!H:H,MATCH("1_Operational",Operational_RawData!$A:$A,0)+ROWS($2:37)-1))</f>
        <v>222.72</v>
      </c>
      <c r="I37">
        <f>IF(ROWS($2:37)&gt;COUNTIF(Operational_RawData!$A:$A,"1_Operational"),"",INDEX(Operational_RawData!I:I,MATCH("1_Operational",Operational_RawData!$A:$A,0)+ROWS($2:37)-1))</f>
        <v>222.72</v>
      </c>
      <c r="J37">
        <f>IF(ROWS($2:37)&gt;COUNTIF(Operational_RawData!$A:$A,"1_Operational"),"",INDEX(Operational_RawData!J:J,MATCH("1_Operational",Operational_RawData!$A:$A,0)+ROWS($2:37)-1))</f>
        <v>320.68</v>
      </c>
      <c r="K37">
        <f>IF(ROWS($2:37)&gt;COUNTIF(Operational_RawData!$A:$A,"1_Operational"),"",INDEX(Operational_RawData!K:K,MATCH("1_Operational",Operational_RawData!$A:$A,0)+ROWS($2:37)-1))</f>
        <v>320.68</v>
      </c>
      <c r="L37">
        <f>IF(ROWS($2:37)&gt;COUNTIF(Operational_RawData!$A:$A,"1_Operational"),"",INDEX(Operational_RawData!L:L,MATCH("1_Operational",Operational_RawData!$A:$A,0)+ROWS($2:37)-1))</f>
        <v>320.68</v>
      </c>
      <c r="M37">
        <f>IF(ROWS($2:37)&gt;COUNTIF(Operational_RawData!$A:$A,"1_Operational"),"",INDEX(Operational_RawData!M:M,MATCH("1_Operational",Operational_RawData!$A:$A,0)+ROWS($2:37)-1))</f>
        <v>320.68</v>
      </c>
      <c r="N37">
        <f>IF(ROWS($2:37)&gt;COUNTIF(Operational_RawData!$A:$A,"1_Operational"),"",INDEX(Operational_RawData!N:N,MATCH("1_Operational",Operational_RawData!$A:$A,0)+ROWS($2:37)-1))</f>
        <v>0.09</v>
      </c>
      <c r="O37">
        <f>IF(ROWS($2:37)&gt;COUNTIF(Operational_RawData!$A:$A,"1_Operational"),"",INDEX(Operational_RawData!O:O,MATCH("1_Operational",Operational_RawData!$A:$A,0)+ROWS($2:37)-1))</f>
        <v>0.19</v>
      </c>
      <c r="P37">
        <f>IF(ROWS($2:37)&gt;COUNTIF(Operational_RawData!$A:$A,"1_Operational"),"",INDEX(Operational_RawData!P:P,MATCH("1_Operational",Operational_RawData!$A:$A,0)+ROWS($2:37)-1))</f>
        <v>0.06</v>
      </c>
      <c r="Q37">
        <f>IF(ROWS($2:37)&gt;COUNTIF(Operational_RawData!$A:$A,"1_Operational"),"",INDEX(Operational_RawData!Q:Q,MATCH("1_Operational",Operational_RawData!$A:$A,0)+ROWS($2:37)-1))</f>
        <v>0.1</v>
      </c>
      <c r="R37" t="str">
        <f>IF(ROWS($2:37)&gt;COUNTIF(Operational_RawData!$A:$A,"1_Operational"),"",INDEX(Operational_RawData!R:R,MATCH("1_Operational",Operational_RawData!$A:$A,0)+ROWS($2:37)-1))</f>
        <v>Pass</v>
      </c>
      <c r="S37">
        <f>IF(ROWS($2:37)&gt;COUNTIF(Operational_RawData!$A:$A,"1_Operational"),"",INDEX(Operational_RawData!S:S,MATCH("1_Operational",Operational_RawData!$A:$A,0)+ROWS($2:37)-1))</f>
        <v>0</v>
      </c>
      <c r="T37">
        <f>IF(ROWS($2:37)&gt;COUNTIF(Operational_RawData!$A:$A,"1_Operational"),"",INDEX(Operational_RawData!T:T,MATCH("1_Operational",Operational_RawData!$A:$A,0)+ROWS($2:37)-1))</f>
        <v>0</v>
      </c>
    </row>
    <row r="38" spans="1:20">
      <c r="A38" t="str">
        <f>IF(ROWS($2:38)&gt;COUNTIF(Operational_RawData!$A:$A,"1_Operational"),"",INDEX(Operational_RawData!A:A,MATCH("1_Operational",Operational_RawData!$A:$A,0)+ROWS($2:38)-1))</f>
        <v>1_Operational</v>
      </c>
      <c r="B38">
        <f>IF(ROWS($2:38)&gt;COUNTIF(Operational_RawData!$A:$A,"1_Operational"),"",INDEX(Operational_RawData!B:B,MATCH("1_Operational",Operational_RawData!$A:$A,0)+ROWS($2:38)-1))</f>
        <v>144706.87599999999</v>
      </c>
      <c r="C38">
        <f>IF(ROWS($2:38)&gt;COUNTIF(Operational_RawData!$A:$A,"1_Operational"),"",INDEX(Operational_RawData!C:C,MATCH("1_Operational",Operational_RawData!$A:$A,0)+ROWS($2:38)-1))</f>
        <v>26.99</v>
      </c>
      <c r="D38">
        <f>IF(ROWS($2:38)&gt;COUNTIF(Operational_RawData!$A:$A,"1_Operational"),"",INDEX(Operational_RawData!D:D,MATCH("1_Operational",Operational_RawData!$A:$A,0)+ROWS($2:38)-1))</f>
        <v>1309.413</v>
      </c>
      <c r="E38">
        <f>IF(ROWS($2:38)&gt;COUNTIF(Operational_RawData!$A:$A,"1_Operational"),"",INDEX(Operational_RawData!E:E,MATCH("1_Operational",Operational_RawData!$A:$A,0)+ROWS($2:38)-1))</f>
        <v>3.38</v>
      </c>
      <c r="F38">
        <f>IF(ROWS($2:38)&gt;COUNTIF(Operational_RawData!$A:$A,"1_Operational"),"",INDEX(Operational_RawData!F:F,MATCH("1_Operational",Operational_RawData!$A:$A,0)+ROWS($2:38)-1))</f>
        <v>222.72</v>
      </c>
      <c r="G38">
        <f>IF(ROWS($2:38)&gt;COUNTIF(Operational_RawData!$A:$A,"1_Operational"),"",INDEX(Operational_RawData!G:G,MATCH("1_Operational",Operational_RawData!$A:$A,0)+ROWS($2:38)-1))</f>
        <v>222.72</v>
      </c>
      <c r="H38">
        <f>IF(ROWS($2:38)&gt;COUNTIF(Operational_RawData!$A:$A,"1_Operational"),"",INDEX(Operational_RawData!H:H,MATCH("1_Operational",Operational_RawData!$A:$A,0)+ROWS($2:38)-1))</f>
        <v>222.72</v>
      </c>
      <c r="I38">
        <f>IF(ROWS($2:38)&gt;COUNTIF(Operational_RawData!$A:$A,"1_Operational"),"",INDEX(Operational_RawData!I:I,MATCH("1_Operational",Operational_RawData!$A:$A,0)+ROWS($2:38)-1))</f>
        <v>222.72</v>
      </c>
      <c r="J38">
        <f>IF(ROWS($2:38)&gt;COUNTIF(Operational_RawData!$A:$A,"1_Operational"),"",INDEX(Operational_RawData!J:J,MATCH("1_Operational",Operational_RawData!$A:$A,0)+ROWS($2:38)-1))</f>
        <v>321</v>
      </c>
      <c r="K38">
        <f>IF(ROWS($2:38)&gt;COUNTIF(Operational_RawData!$A:$A,"1_Operational"),"",INDEX(Operational_RawData!K:K,MATCH("1_Operational",Operational_RawData!$A:$A,0)+ROWS($2:38)-1))</f>
        <v>321</v>
      </c>
      <c r="L38">
        <f>IF(ROWS($2:38)&gt;COUNTIF(Operational_RawData!$A:$A,"1_Operational"),"",INDEX(Operational_RawData!L:L,MATCH("1_Operational",Operational_RawData!$A:$A,0)+ROWS($2:38)-1))</f>
        <v>321</v>
      </c>
      <c r="M38">
        <f>IF(ROWS($2:38)&gt;COUNTIF(Operational_RawData!$A:$A,"1_Operational"),"",INDEX(Operational_RawData!M:M,MATCH("1_Operational",Operational_RawData!$A:$A,0)+ROWS($2:38)-1))</f>
        <v>321</v>
      </c>
      <c r="N38">
        <f>IF(ROWS($2:38)&gt;COUNTIF(Operational_RawData!$A:$A,"1_Operational"),"",INDEX(Operational_RawData!N:N,MATCH("1_Operational",Operational_RawData!$A:$A,0)+ROWS($2:38)-1))</f>
        <v>0.09</v>
      </c>
      <c r="O38">
        <f>IF(ROWS($2:38)&gt;COUNTIF(Operational_RawData!$A:$A,"1_Operational"),"",INDEX(Operational_RawData!O:O,MATCH("1_Operational",Operational_RawData!$A:$A,0)+ROWS($2:38)-1))</f>
        <v>0.19</v>
      </c>
      <c r="P38">
        <f>IF(ROWS($2:38)&gt;COUNTIF(Operational_RawData!$A:$A,"1_Operational"),"",INDEX(Operational_RawData!P:P,MATCH("1_Operational",Operational_RawData!$A:$A,0)+ROWS($2:38)-1))</f>
        <v>0.06</v>
      </c>
      <c r="Q38">
        <f>IF(ROWS($2:38)&gt;COUNTIF(Operational_RawData!$A:$A,"1_Operational"),"",INDEX(Operational_RawData!Q:Q,MATCH("1_Operational",Operational_RawData!$A:$A,0)+ROWS($2:38)-1))</f>
        <v>0.1</v>
      </c>
      <c r="R38" t="str">
        <f>IF(ROWS($2:38)&gt;COUNTIF(Operational_RawData!$A:$A,"1_Operational"),"",INDEX(Operational_RawData!R:R,MATCH("1_Operational",Operational_RawData!$A:$A,0)+ROWS($2:38)-1))</f>
        <v>Pass</v>
      </c>
      <c r="S38">
        <f>IF(ROWS($2:38)&gt;COUNTIF(Operational_RawData!$A:$A,"1_Operational"),"",INDEX(Operational_RawData!S:S,MATCH("1_Operational",Operational_RawData!$A:$A,0)+ROWS($2:38)-1))</f>
        <v>0</v>
      </c>
      <c r="T38">
        <f>IF(ROWS($2:38)&gt;COUNTIF(Operational_RawData!$A:$A,"1_Operational"),"",INDEX(Operational_RawData!T:T,MATCH("1_Operational",Operational_RawData!$A:$A,0)+ROWS($2:38)-1))</f>
        <v>0</v>
      </c>
    </row>
    <row r="39" spans="1:20">
      <c r="A39" t="str">
        <f>IF(ROWS($2:39)&gt;COUNTIF(Operational_RawData!$A:$A,"1_Operational"),"",INDEX(Operational_RawData!A:A,MATCH("1_Operational",Operational_RawData!$A:$A,0)+ROWS($2:39)-1))</f>
        <v>1_Operational</v>
      </c>
      <c r="B39">
        <f>IF(ROWS($2:39)&gt;COUNTIF(Operational_RawData!$A:$A,"1_Operational"),"",INDEX(Operational_RawData!B:B,MATCH("1_Operational",Operational_RawData!$A:$A,0)+ROWS($2:39)-1))</f>
        <v>144711.86799999999</v>
      </c>
      <c r="C39">
        <f>IF(ROWS($2:39)&gt;COUNTIF(Operational_RawData!$A:$A,"1_Operational"),"",INDEX(Operational_RawData!C:C,MATCH("1_Operational",Operational_RawData!$A:$A,0)+ROWS($2:39)-1))</f>
        <v>27.74</v>
      </c>
      <c r="D39">
        <f>IF(ROWS($2:39)&gt;COUNTIF(Operational_RawData!$A:$A,"1_Operational"),"",INDEX(Operational_RawData!D:D,MATCH("1_Operational",Operational_RawData!$A:$A,0)+ROWS($2:39)-1))</f>
        <v>1309.472</v>
      </c>
      <c r="E39">
        <f>IF(ROWS($2:39)&gt;COUNTIF(Operational_RawData!$A:$A,"1_Operational"),"",INDEX(Operational_RawData!E:E,MATCH("1_Operational",Operational_RawData!$A:$A,0)+ROWS($2:39)-1))</f>
        <v>3.38</v>
      </c>
      <c r="F39">
        <f>IF(ROWS($2:39)&gt;COUNTIF(Operational_RawData!$A:$A,"1_Operational"),"",INDEX(Operational_RawData!F:F,MATCH("1_Operational",Operational_RawData!$A:$A,0)+ROWS($2:39)-1))</f>
        <v>222.76</v>
      </c>
      <c r="G39">
        <f>IF(ROWS($2:39)&gt;COUNTIF(Operational_RawData!$A:$A,"1_Operational"),"",INDEX(Operational_RawData!G:G,MATCH("1_Operational",Operational_RawData!$A:$A,0)+ROWS($2:39)-1))</f>
        <v>222.76</v>
      </c>
      <c r="H39">
        <f>IF(ROWS($2:39)&gt;COUNTIF(Operational_RawData!$A:$A,"1_Operational"),"",INDEX(Operational_RawData!H:H,MATCH("1_Operational",Operational_RawData!$A:$A,0)+ROWS($2:39)-1))</f>
        <v>222.76</v>
      </c>
      <c r="I39">
        <f>IF(ROWS($2:39)&gt;COUNTIF(Operational_RawData!$A:$A,"1_Operational"),"",INDEX(Operational_RawData!I:I,MATCH("1_Operational",Operational_RawData!$A:$A,0)+ROWS($2:39)-1))</f>
        <v>222.76</v>
      </c>
      <c r="J39">
        <f>IF(ROWS($2:39)&gt;COUNTIF(Operational_RawData!$A:$A,"1_Operational"),"",INDEX(Operational_RawData!J:J,MATCH("1_Operational",Operational_RawData!$A:$A,0)+ROWS($2:39)-1))</f>
        <v>321.39999999999998</v>
      </c>
      <c r="K39">
        <f>IF(ROWS($2:39)&gt;COUNTIF(Operational_RawData!$A:$A,"1_Operational"),"",INDEX(Operational_RawData!K:K,MATCH("1_Operational",Operational_RawData!$A:$A,0)+ROWS($2:39)-1))</f>
        <v>321.39999999999998</v>
      </c>
      <c r="L39">
        <f>IF(ROWS($2:39)&gt;COUNTIF(Operational_RawData!$A:$A,"1_Operational"),"",INDEX(Operational_RawData!L:L,MATCH("1_Operational",Operational_RawData!$A:$A,0)+ROWS($2:39)-1))</f>
        <v>321.39999999999998</v>
      </c>
      <c r="M39">
        <f>IF(ROWS($2:39)&gt;COUNTIF(Operational_RawData!$A:$A,"1_Operational"),"",INDEX(Operational_RawData!M:M,MATCH("1_Operational",Operational_RawData!$A:$A,0)+ROWS($2:39)-1))</f>
        <v>321.39999999999998</v>
      </c>
      <c r="N39">
        <f>IF(ROWS($2:39)&gt;COUNTIF(Operational_RawData!$A:$A,"1_Operational"),"",INDEX(Operational_RawData!N:N,MATCH("1_Operational",Operational_RawData!$A:$A,0)+ROWS($2:39)-1))</f>
        <v>0.08</v>
      </c>
      <c r="O39">
        <f>IF(ROWS($2:39)&gt;COUNTIF(Operational_RawData!$A:$A,"1_Operational"),"",INDEX(Operational_RawData!O:O,MATCH("1_Operational",Operational_RawData!$A:$A,0)+ROWS($2:39)-1))</f>
        <v>0.19</v>
      </c>
      <c r="P39">
        <f>IF(ROWS($2:39)&gt;COUNTIF(Operational_RawData!$A:$A,"1_Operational"),"",INDEX(Operational_RawData!P:P,MATCH("1_Operational",Operational_RawData!$A:$A,0)+ROWS($2:39)-1))</f>
        <v>0.06</v>
      </c>
      <c r="Q39">
        <f>IF(ROWS($2:39)&gt;COUNTIF(Operational_RawData!$A:$A,"1_Operational"),"",INDEX(Operational_RawData!Q:Q,MATCH("1_Operational",Operational_RawData!$A:$A,0)+ROWS($2:39)-1))</f>
        <v>0.1</v>
      </c>
      <c r="R39" t="str">
        <f>IF(ROWS($2:39)&gt;COUNTIF(Operational_RawData!$A:$A,"1_Operational"),"",INDEX(Operational_RawData!R:R,MATCH("1_Operational",Operational_RawData!$A:$A,0)+ROWS($2:39)-1))</f>
        <v>Pass</v>
      </c>
      <c r="S39">
        <f>IF(ROWS($2:39)&gt;COUNTIF(Operational_RawData!$A:$A,"1_Operational"),"",INDEX(Operational_RawData!S:S,MATCH("1_Operational",Operational_RawData!$A:$A,0)+ROWS($2:39)-1))</f>
        <v>0</v>
      </c>
      <c r="T39">
        <f>IF(ROWS($2:39)&gt;COUNTIF(Operational_RawData!$A:$A,"1_Operational"),"",INDEX(Operational_RawData!T:T,MATCH("1_Operational",Operational_RawData!$A:$A,0)+ROWS($2:39)-1))</f>
        <v>0</v>
      </c>
    </row>
    <row r="40" spans="1:20">
      <c r="A40" t="str">
        <f>IF(ROWS($2:40)&gt;COUNTIF(Operational_RawData!$A:$A,"1_Operational"),"",INDEX(Operational_RawData!A:A,MATCH("1_Operational",Operational_RawData!$A:$A,0)+ROWS($2:40)-1))</f>
        <v>1_Operational</v>
      </c>
      <c r="B40">
        <f>IF(ROWS($2:40)&gt;COUNTIF(Operational_RawData!$A:$A,"1_Operational"),"",INDEX(Operational_RawData!B:B,MATCH("1_Operational",Operational_RawData!$A:$A,0)+ROWS($2:40)-1))</f>
        <v>144716.86900000001</v>
      </c>
      <c r="C40">
        <f>IF(ROWS($2:40)&gt;COUNTIF(Operational_RawData!$A:$A,"1_Operational"),"",INDEX(Operational_RawData!C:C,MATCH("1_Operational",Operational_RawData!$A:$A,0)+ROWS($2:40)-1))</f>
        <v>28.47</v>
      </c>
      <c r="D40">
        <f>IF(ROWS($2:40)&gt;COUNTIF(Operational_RawData!$A:$A,"1_Operational"),"",INDEX(Operational_RawData!D:D,MATCH("1_Operational",Operational_RawData!$A:$A,0)+ROWS($2:40)-1))</f>
        <v>1309.548</v>
      </c>
      <c r="E40">
        <f>IF(ROWS($2:40)&gt;COUNTIF(Operational_RawData!$A:$A,"1_Operational"),"",INDEX(Operational_RawData!E:E,MATCH("1_Operational",Operational_RawData!$A:$A,0)+ROWS($2:40)-1))</f>
        <v>3.38</v>
      </c>
      <c r="F40">
        <f>IF(ROWS($2:40)&gt;COUNTIF(Operational_RawData!$A:$A,"1_Operational"),"",INDEX(Operational_RawData!F:F,MATCH("1_Operational",Operational_RawData!$A:$A,0)+ROWS($2:40)-1))</f>
        <v>222.88</v>
      </c>
      <c r="G40">
        <f>IF(ROWS($2:40)&gt;COUNTIF(Operational_RawData!$A:$A,"1_Operational"),"",INDEX(Operational_RawData!G:G,MATCH("1_Operational",Operational_RawData!$A:$A,0)+ROWS($2:40)-1))</f>
        <v>222.88</v>
      </c>
      <c r="H40">
        <f>IF(ROWS($2:40)&gt;COUNTIF(Operational_RawData!$A:$A,"1_Operational"),"",INDEX(Operational_RawData!H:H,MATCH("1_Operational",Operational_RawData!$A:$A,0)+ROWS($2:40)-1))</f>
        <v>222.88</v>
      </c>
      <c r="I40">
        <f>IF(ROWS($2:40)&gt;COUNTIF(Operational_RawData!$A:$A,"1_Operational"),"",INDEX(Operational_RawData!I:I,MATCH("1_Operational",Operational_RawData!$A:$A,0)+ROWS($2:40)-1))</f>
        <v>222.88</v>
      </c>
      <c r="J40">
        <f>IF(ROWS($2:40)&gt;COUNTIF(Operational_RawData!$A:$A,"1_Operational"),"",INDEX(Operational_RawData!J:J,MATCH("1_Operational",Operational_RawData!$A:$A,0)+ROWS($2:40)-1))</f>
        <v>321.88</v>
      </c>
      <c r="K40">
        <f>IF(ROWS($2:40)&gt;COUNTIF(Operational_RawData!$A:$A,"1_Operational"),"",INDEX(Operational_RawData!K:K,MATCH("1_Operational",Operational_RawData!$A:$A,0)+ROWS($2:40)-1))</f>
        <v>321.88</v>
      </c>
      <c r="L40">
        <f>IF(ROWS($2:40)&gt;COUNTIF(Operational_RawData!$A:$A,"1_Operational"),"",INDEX(Operational_RawData!L:L,MATCH("1_Operational",Operational_RawData!$A:$A,0)+ROWS($2:40)-1))</f>
        <v>321.88</v>
      </c>
      <c r="M40">
        <f>IF(ROWS($2:40)&gt;COUNTIF(Operational_RawData!$A:$A,"1_Operational"),"",INDEX(Operational_RawData!M:M,MATCH("1_Operational",Operational_RawData!$A:$A,0)+ROWS($2:40)-1))</f>
        <v>321.88</v>
      </c>
      <c r="N40">
        <f>IF(ROWS($2:40)&gt;COUNTIF(Operational_RawData!$A:$A,"1_Operational"),"",INDEX(Operational_RawData!N:N,MATCH("1_Operational",Operational_RawData!$A:$A,0)+ROWS($2:40)-1))</f>
        <v>0.1</v>
      </c>
      <c r="O40">
        <f>IF(ROWS($2:40)&gt;COUNTIF(Operational_RawData!$A:$A,"1_Operational"),"",INDEX(Operational_RawData!O:O,MATCH("1_Operational",Operational_RawData!$A:$A,0)+ROWS($2:40)-1))</f>
        <v>0.19</v>
      </c>
      <c r="P40">
        <f>IF(ROWS($2:40)&gt;COUNTIF(Operational_RawData!$A:$A,"1_Operational"),"",INDEX(Operational_RawData!P:P,MATCH("1_Operational",Operational_RawData!$A:$A,0)+ROWS($2:40)-1))</f>
        <v>0.06</v>
      </c>
      <c r="Q40">
        <f>IF(ROWS($2:40)&gt;COUNTIF(Operational_RawData!$A:$A,"1_Operational"),"",INDEX(Operational_RawData!Q:Q,MATCH("1_Operational",Operational_RawData!$A:$A,0)+ROWS($2:40)-1))</f>
        <v>0.1</v>
      </c>
      <c r="R40" t="str">
        <f>IF(ROWS($2:40)&gt;COUNTIF(Operational_RawData!$A:$A,"1_Operational"),"",INDEX(Operational_RawData!R:R,MATCH("1_Operational",Operational_RawData!$A:$A,0)+ROWS($2:40)-1))</f>
        <v>Pass</v>
      </c>
      <c r="S40">
        <f>IF(ROWS($2:40)&gt;COUNTIF(Operational_RawData!$A:$A,"1_Operational"),"",INDEX(Operational_RawData!S:S,MATCH("1_Operational",Operational_RawData!$A:$A,0)+ROWS($2:40)-1))</f>
        <v>0</v>
      </c>
      <c r="T40">
        <f>IF(ROWS($2:40)&gt;COUNTIF(Operational_RawData!$A:$A,"1_Operational"),"",INDEX(Operational_RawData!T:T,MATCH("1_Operational",Operational_RawData!$A:$A,0)+ROWS($2:40)-1))</f>
        <v>0</v>
      </c>
    </row>
    <row r="41" spans="1:20">
      <c r="A41" t="str">
        <f>IF(ROWS($2:41)&gt;COUNTIF(Operational_RawData!$A:$A,"1_Operational"),"",INDEX(Operational_RawData!A:A,MATCH("1_Operational",Operational_RawData!$A:$A,0)+ROWS($2:41)-1))</f>
        <v>1_Operational</v>
      </c>
      <c r="B41">
        <f>IF(ROWS($2:41)&gt;COUNTIF(Operational_RawData!$A:$A,"1_Operational"),"",INDEX(Operational_RawData!B:B,MATCH("1_Operational",Operational_RawData!$A:$A,0)+ROWS($2:41)-1))</f>
        <v>144721.87</v>
      </c>
      <c r="C41">
        <f>IF(ROWS($2:41)&gt;COUNTIF(Operational_RawData!$A:$A,"1_Operational"),"",INDEX(Operational_RawData!C:C,MATCH("1_Operational",Operational_RawData!$A:$A,0)+ROWS($2:41)-1))</f>
        <v>29.24</v>
      </c>
      <c r="D41">
        <f>IF(ROWS($2:41)&gt;COUNTIF(Operational_RawData!$A:$A,"1_Operational"),"",INDEX(Operational_RawData!D:D,MATCH("1_Operational",Operational_RawData!$A:$A,0)+ROWS($2:41)-1))</f>
        <v>1309.6089999999999</v>
      </c>
      <c r="E41">
        <f>IF(ROWS($2:41)&gt;COUNTIF(Operational_RawData!$A:$A,"1_Operational"),"",INDEX(Operational_RawData!E:E,MATCH("1_Operational",Operational_RawData!$A:$A,0)+ROWS($2:41)-1))</f>
        <v>3.33</v>
      </c>
      <c r="F41">
        <f>IF(ROWS($2:41)&gt;COUNTIF(Operational_RawData!$A:$A,"1_Operational"),"",INDEX(Operational_RawData!F:F,MATCH("1_Operational",Operational_RawData!$A:$A,0)+ROWS($2:41)-1))</f>
        <v>223.08</v>
      </c>
      <c r="G41">
        <f>IF(ROWS($2:41)&gt;COUNTIF(Operational_RawData!$A:$A,"1_Operational"),"",INDEX(Operational_RawData!G:G,MATCH("1_Operational",Operational_RawData!$A:$A,0)+ROWS($2:41)-1))</f>
        <v>223.08</v>
      </c>
      <c r="H41">
        <f>IF(ROWS($2:41)&gt;COUNTIF(Operational_RawData!$A:$A,"1_Operational"),"",INDEX(Operational_RawData!H:H,MATCH("1_Operational",Operational_RawData!$A:$A,0)+ROWS($2:41)-1))</f>
        <v>223.08</v>
      </c>
      <c r="I41">
        <f>IF(ROWS($2:41)&gt;COUNTIF(Operational_RawData!$A:$A,"1_Operational"),"",INDEX(Operational_RawData!I:I,MATCH("1_Operational",Operational_RawData!$A:$A,0)+ROWS($2:41)-1))</f>
        <v>223.08</v>
      </c>
      <c r="J41">
        <f>IF(ROWS($2:41)&gt;COUNTIF(Operational_RawData!$A:$A,"1_Operational"),"",INDEX(Operational_RawData!J:J,MATCH("1_Operational",Operational_RawData!$A:$A,0)+ROWS($2:41)-1))</f>
        <v>322.52</v>
      </c>
      <c r="K41">
        <f>IF(ROWS($2:41)&gt;COUNTIF(Operational_RawData!$A:$A,"1_Operational"),"",INDEX(Operational_RawData!K:K,MATCH("1_Operational",Operational_RawData!$A:$A,0)+ROWS($2:41)-1))</f>
        <v>322.52</v>
      </c>
      <c r="L41">
        <f>IF(ROWS($2:41)&gt;COUNTIF(Operational_RawData!$A:$A,"1_Operational"),"",INDEX(Operational_RawData!L:L,MATCH("1_Operational",Operational_RawData!$A:$A,0)+ROWS($2:41)-1))</f>
        <v>322.52</v>
      </c>
      <c r="M41">
        <f>IF(ROWS($2:41)&gt;COUNTIF(Operational_RawData!$A:$A,"1_Operational"),"",INDEX(Operational_RawData!M:M,MATCH("1_Operational",Operational_RawData!$A:$A,0)+ROWS($2:41)-1))</f>
        <v>322.52</v>
      </c>
      <c r="N41">
        <f>IF(ROWS($2:41)&gt;COUNTIF(Operational_RawData!$A:$A,"1_Operational"),"",INDEX(Operational_RawData!N:N,MATCH("1_Operational",Operational_RawData!$A:$A,0)+ROWS($2:41)-1))</f>
        <v>0.08</v>
      </c>
      <c r="O41">
        <f>IF(ROWS($2:41)&gt;COUNTIF(Operational_RawData!$A:$A,"1_Operational"),"",INDEX(Operational_RawData!O:O,MATCH("1_Operational",Operational_RawData!$A:$A,0)+ROWS($2:41)-1))</f>
        <v>0.19</v>
      </c>
      <c r="P41">
        <f>IF(ROWS($2:41)&gt;COUNTIF(Operational_RawData!$A:$A,"1_Operational"),"",INDEX(Operational_RawData!P:P,MATCH("1_Operational",Operational_RawData!$A:$A,0)+ROWS($2:41)-1))</f>
        <v>0.06</v>
      </c>
      <c r="Q41">
        <f>IF(ROWS($2:41)&gt;COUNTIF(Operational_RawData!$A:$A,"1_Operational"),"",INDEX(Operational_RawData!Q:Q,MATCH("1_Operational",Operational_RawData!$A:$A,0)+ROWS($2:41)-1))</f>
        <v>0.1</v>
      </c>
      <c r="R41" t="str">
        <f>IF(ROWS($2:41)&gt;COUNTIF(Operational_RawData!$A:$A,"1_Operational"),"",INDEX(Operational_RawData!R:R,MATCH("1_Operational",Operational_RawData!$A:$A,0)+ROWS($2:41)-1))</f>
        <v>Pass</v>
      </c>
      <c r="S41">
        <f>IF(ROWS($2:41)&gt;COUNTIF(Operational_RawData!$A:$A,"1_Operational"),"",INDEX(Operational_RawData!S:S,MATCH("1_Operational",Operational_RawData!$A:$A,0)+ROWS($2:41)-1))</f>
        <v>0</v>
      </c>
      <c r="T41">
        <f>IF(ROWS($2:41)&gt;COUNTIF(Operational_RawData!$A:$A,"1_Operational"),"",INDEX(Operational_RawData!T:T,MATCH("1_Operational",Operational_RawData!$A:$A,0)+ROWS($2:41)-1))</f>
        <v>0</v>
      </c>
    </row>
    <row r="42" spans="1:20">
      <c r="A42" t="str">
        <f>IF(ROWS($2:42)&gt;COUNTIF(Operational_RawData!$A:$A,"1_Operational"),"",INDEX(Operational_RawData!A:A,MATCH("1_Operational",Operational_RawData!$A:$A,0)+ROWS($2:42)-1))</f>
        <v>1_Operational</v>
      </c>
      <c r="B42">
        <f>IF(ROWS($2:42)&gt;COUNTIF(Operational_RawData!$A:$A,"1_Operational"),"",INDEX(Operational_RawData!B:B,MATCH("1_Operational",Operational_RawData!$A:$A,0)+ROWS($2:42)-1))</f>
        <v>144726.872</v>
      </c>
      <c r="C42">
        <f>IF(ROWS($2:42)&gt;COUNTIF(Operational_RawData!$A:$A,"1_Operational"),"",INDEX(Operational_RawData!C:C,MATCH("1_Operational",Operational_RawData!$A:$A,0)+ROWS($2:42)-1))</f>
        <v>29.97</v>
      </c>
      <c r="D42">
        <f>IF(ROWS($2:42)&gt;COUNTIF(Operational_RawData!$A:$A,"1_Operational"),"",INDEX(Operational_RawData!D:D,MATCH("1_Operational",Operational_RawData!$A:$A,0)+ROWS($2:42)-1))</f>
        <v>1309.6780000000001</v>
      </c>
      <c r="E42">
        <f>IF(ROWS($2:42)&gt;COUNTIF(Operational_RawData!$A:$A,"1_Operational"),"",INDEX(Operational_RawData!E:E,MATCH("1_Operational",Operational_RawData!$A:$A,0)+ROWS($2:42)-1))</f>
        <v>3.23</v>
      </c>
      <c r="F42">
        <f>IF(ROWS($2:42)&gt;COUNTIF(Operational_RawData!$A:$A,"1_Operational"),"",INDEX(Operational_RawData!F:F,MATCH("1_Operational",Operational_RawData!$A:$A,0)+ROWS($2:42)-1))</f>
        <v>223.4</v>
      </c>
      <c r="G42">
        <f>IF(ROWS($2:42)&gt;COUNTIF(Operational_RawData!$A:$A,"1_Operational"),"",INDEX(Operational_RawData!G:G,MATCH("1_Operational",Operational_RawData!$A:$A,0)+ROWS($2:42)-1))</f>
        <v>223.4</v>
      </c>
      <c r="H42">
        <f>IF(ROWS($2:42)&gt;COUNTIF(Operational_RawData!$A:$A,"1_Operational"),"",INDEX(Operational_RawData!H:H,MATCH("1_Operational",Operational_RawData!$A:$A,0)+ROWS($2:42)-1))</f>
        <v>223.4</v>
      </c>
      <c r="I42">
        <f>IF(ROWS($2:42)&gt;COUNTIF(Operational_RawData!$A:$A,"1_Operational"),"",INDEX(Operational_RawData!I:I,MATCH("1_Operational",Operational_RawData!$A:$A,0)+ROWS($2:42)-1))</f>
        <v>223.4</v>
      </c>
      <c r="J42">
        <f>IF(ROWS($2:42)&gt;COUNTIF(Operational_RawData!$A:$A,"1_Operational"),"",INDEX(Operational_RawData!J:J,MATCH("1_Operational",Operational_RawData!$A:$A,0)+ROWS($2:42)-1))</f>
        <v>323.16000000000003</v>
      </c>
      <c r="K42">
        <f>IF(ROWS($2:42)&gt;COUNTIF(Operational_RawData!$A:$A,"1_Operational"),"",INDEX(Operational_RawData!K:K,MATCH("1_Operational",Operational_RawData!$A:$A,0)+ROWS($2:42)-1))</f>
        <v>323.16000000000003</v>
      </c>
      <c r="L42">
        <f>IF(ROWS($2:42)&gt;COUNTIF(Operational_RawData!$A:$A,"1_Operational"),"",INDEX(Operational_RawData!L:L,MATCH("1_Operational",Operational_RawData!$A:$A,0)+ROWS($2:42)-1))</f>
        <v>323.16000000000003</v>
      </c>
      <c r="M42">
        <f>IF(ROWS($2:42)&gt;COUNTIF(Operational_RawData!$A:$A,"1_Operational"),"",INDEX(Operational_RawData!M:M,MATCH("1_Operational",Operational_RawData!$A:$A,0)+ROWS($2:42)-1))</f>
        <v>323.16000000000003</v>
      </c>
      <c r="N42">
        <f>IF(ROWS($2:42)&gt;COUNTIF(Operational_RawData!$A:$A,"1_Operational"),"",INDEX(Operational_RawData!N:N,MATCH("1_Operational",Operational_RawData!$A:$A,0)+ROWS($2:42)-1))</f>
        <v>0.09</v>
      </c>
      <c r="O42">
        <f>IF(ROWS($2:42)&gt;COUNTIF(Operational_RawData!$A:$A,"1_Operational"),"",INDEX(Operational_RawData!O:O,MATCH("1_Operational",Operational_RawData!$A:$A,0)+ROWS($2:42)-1))</f>
        <v>0.19</v>
      </c>
      <c r="P42">
        <f>IF(ROWS($2:42)&gt;COUNTIF(Operational_RawData!$A:$A,"1_Operational"),"",INDEX(Operational_RawData!P:P,MATCH("1_Operational",Operational_RawData!$A:$A,0)+ROWS($2:42)-1))</f>
        <v>0.06</v>
      </c>
      <c r="Q42">
        <f>IF(ROWS($2:42)&gt;COUNTIF(Operational_RawData!$A:$A,"1_Operational"),"",INDEX(Operational_RawData!Q:Q,MATCH("1_Operational",Operational_RawData!$A:$A,0)+ROWS($2:42)-1))</f>
        <v>0.1</v>
      </c>
      <c r="R42" t="str">
        <f>IF(ROWS($2:42)&gt;COUNTIF(Operational_RawData!$A:$A,"1_Operational"),"",INDEX(Operational_RawData!R:R,MATCH("1_Operational",Operational_RawData!$A:$A,0)+ROWS($2:42)-1))</f>
        <v>Pass</v>
      </c>
      <c r="S42">
        <f>IF(ROWS($2:42)&gt;COUNTIF(Operational_RawData!$A:$A,"1_Operational"),"",INDEX(Operational_RawData!S:S,MATCH("1_Operational",Operational_RawData!$A:$A,0)+ROWS($2:42)-1))</f>
        <v>0</v>
      </c>
      <c r="T42">
        <f>IF(ROWS($2:42)&gt;COUNTIF(Operational_RawData!$A:$A,"1_Operational"),"",INDEX(Operational_RawData!T:T,MATCH("1_Operational",Operational_RawData!$A:$A,0)+ROWS($2:42)-1))</f>
        <v>0</v>
      </c>
    </row>
    <row r="43" spans="1:20">
      <c r="A43" t="str">
        <f>IF(ROWS($2:43)&gt;COUNTIF(Operational_RawData!$A:$A,"1_Operational"),"",INDEX(Operational_RawData!A:A,MATCH("1_Operational",Operational_RawData!$A:$A,0)+ROWS($2:43)-1))</f>
        <v>1_Operational</v>
      </c>
      <c r="B43">
        <f>IF(ROWS($2:43)&gt;COUNTIF(Operational_RawData!$A:$A,"1_Operational"),"",INDEX(Operational_RawData!B:B,MATCH("1_Operational",Operational_RawData!$A:$A,0)+ROWS($2:43)-1))</f>
        <v>144731.87</v>
      </c>
      <c r="C43">
        <f>IF(ROWS($2:43)&gt;COUNTIF(Operational_RawData!$A:$A,"1_Operational"),"",INDEX(Operational_RawData!C:C,MATCH("1_Operational",Operational_RawData!$A:$A,0)+ROWS($2:43)-1))</f>
        <v>30.73</v>
      </c>
      <c r="D43">
        <f>IF(ROWS($2:43)&gt;COUNTIF(Operational_RawData!$A:$A,"1_Operational"),"",INDEX(Operational_RawData!D:D,MATCH("1_Operational",Operational_RawData!$A:$A,0)+ROWS($2:43)-1))</f>
        <v>1309.7449999999999</v>
      </c>
      <c r="E43">
        <f>IF(ROWS($2:43)&gt;COUNTIF(Operational_RawData!$A:$A,"1_Operational"),"",INDEX(Operational_RawData!E:E,MATCH("1_Operational",Operational_RawData!$A:$A,0)+ROWS($2:43)-1))</f>
        <v>3.16</v>
      </c>
      <c r="F43">
        <f>IF(ROWS($2:43)&gt;COUNTIF(Operational_RawData!$A:$A,"1_Operational"),"",INDEX(Operational_RawData!F:F,MATCH("1_Operational",Operational_RawData!$A:$A,0)+ROWS($2:43)-1))</f>
        <v>223.88</v>
      </c>
      <c r="G43">
        <f>IF(ROWS($2:43)&gt;COUNTIF(Operational_RawData!$A:$A,"1_Operational"),"",INDEX(Operational_RawData!G:G,MATCH("1_Operational",Operational_RawData!$A:$A,0)+ROWS($2:43)-1))</f>
        <v>223.88</v>
      </c>
      <c r="H43">
        <f>IF(ROWS($2:43)&gt;COUNTIF(Operational_RawData!$A:$A,"1_Operational"),"",INDEX(Operational_RawData!H:H,MATCH("1_Operational",Operational_RawData!$A:$A,0)+ROWS($2:43)-1))</f>
        <v>223.88</v>
      </c>
      <c r="I43">
        <f>IF(ROWS($2:43)&gt;COUNTIF(Operational_RawData!$A:$A,"1_Operational"),"",INDEX(Operational_RawData!I:I,MATCH("1_Operational",Operational_RawData!$A:$A,0)+ROWS($2:43)-1))</f>
        <v>223.88</v>
      </c>
      <c r="J43">
        <f>IF(ROWS($2:43)&gt;COUNTIF(Operational_RawData!$A:$A,"1_Operational"),"",INDEX(Operational_RawData!J:J,MATCH("1_Operational",Operational_RawData!$A:$A,0)+ROWS($2:43)-1))</f>
        <v>324</v>
      </c>
      <c r="K43">
        <f>IF(ROWS($2:43)&gt;COUNTIF(Operational_RawData!$A:$A,"1_Operational"),"",INDEX(Operational_RawData!K:K,MATCH("1_Operational",Operational_RawData!$A:$A,0)+ROWS($2:43)-1))</f>
        <v>324</v>
      </c>
      <c r="L43">
        <f>IF(ROWS($2:43)&gt;COUNTIF(Operational_RawData!$A:$A,"1_Operational"),"",INDEX(Operational_RawData!L:L,MATCH("1_Operational",Operational_RawData!$A:$A,0)+ROWS($2:43)-1))</f>
        <v>324</v>
      </c>
      <c r="M43">
        <f>IF(ROWS($2:43)&gt;COUNTIF(Operational_RawData!$A:$A,"1_Operational"),"",INDEX(Operational_RawData!M:M,MATCH("1_Operational",Operational_RawData!$A:$A,0)+ROWS($2:43)-1))</f>
        <v>324</v>
      </c>
      <c r="N43">
        <f>IF(ROWS($2:43)&gt;COUNTIF(Operational_RawData!$A:$A,"1_Operational"),"",INDEX(Operational_RawData!N:N,MATCH("1_Operational",Operational_RawData!$A:$A,0)+ROWS($2:43)-1))</f>
        <v>0.09</v>
      </c>
      <c r="O43">
        <f>IF(ROWS($2:43)&gt;COUNTIF(Operational_RawData!$A:$A,"1_Operational"),"",INDEX(Operational_RawData!O:O,MATCH("1_Operational",Operational_RawData!$A:$A,0)+ROWS($2:43)-1))</f>
        <v>0.19</v>
      </c>
      <c r="P43">
        <f>IF(ROWS($2:43)&gt;COUNTIF(Operational_RawData!$A:$A,"1_Operational"),"",INDEX(Operational_RawData!P:P,MATCH("1_Operational",Operational_RawData!$A:$A,0)+ROWS($2:43)-1))</f>
        <v>0.06</v>
      </c>
      <c r="Q43">
        <f>IF(ROWS($2:43)&gt;COUNTIF(Operational_RawData!$A:$A,"1_Operational"),"",INDEX(Operational_RawData!Q:Q,MATCH("1_Operational",Operational_RawData!$A:$A,0)+ROWS($2:43)-1))</f>
        <v>0.1</v>
      </c>
      <c r="R43" t="str">
        <f>IF(ROWS($2:43)&gt;COUNTIF(Operational_RawData!$A:$A,"1_Operational"),"",INDEX(Operational_RawData!R:R,MATCH("1_Operational",Operational_RawData!$A:$A,0)+ROWS($2:43)-1))</f>
        <v>Pass</v>
      </c>
      <c r="S43">
        <f>IF(ROWS($2:43)&gt;COUNTIF(Operational_RawData!$A:$A,"1_Operational"),"",INDEX(Operational_RawData!S:S,MATCH("1_Operational",Operational_RawData!$A:$A,0)+ROWS($2:43)-1))</f>
        <v>0</v>
      </c>
      <c r="T43">
        <f>IF(ROWS($2:43)&gt;COUNTIF(Operational_RawData!$A:$A,"1_Operational"),"",INDEX(Operational_RawData!T:T,MATCH("1_Operational",Operational_RawData!$A:$A,0)+ROWS($2:43)-1))</f>
        <v>0</v>
      </c>
    </row>
    <row r="44" spans="1:20">
      <c r="A44" t="str">
        <f>IF(ROWS($2:44)&gt;COUNTIF(Operational_RawData!$A:$A,"1_Operational"),"",INDEX(Operational_RawData!A:A,MATCH("1_Operational",Operational_RawData!$A:$A,0)+ROWS($2:44)-1))</f>
        <v>1_Operational</v>
      </c>
      <c r="B44">
        <f>IF(ROWS($2:44)&gt;COUNTIF(Operational_RawData!$A:$A,"1_Operational"),"",INDEX(Operational_RawData!B:B,MATCH("1_Operational",Operational_RawData!$A:$A,0)+ROWS($2:44)-1))</f>
        <v>144736.87299999999</v>
      </c>
      <c r="C44">
        <f>IF(ROWS($2:44)&gt;COUNTIF(Operational_RawData!$A:$A,"1_Operational"),"",INDEX(Operational_RawData!C:C,MATCH("1_Operational",Operational_RawData!$A:$A,0)+ROWS($2:44)-1))</f>
        <v>31.47</v>
      </c>
      <c r="D44">
        <f>IF(ROWS($2:44)&gt;COUNTIF(Operational_RawData!$A:$A,"1_Operational"),"",INDEX(Operational_RawData!D:D,MATCH("1_Operational",Operational_RawData!$A:$A,0)+ROWS($2:44)-1))</f>
        <v>1309.82</v>
      </c>
      <c r="E44">
        <f>IF(ROWS($2:44)&gt;COUNTIF(Operational_RawData!$A:$A,"1_Operational"),"",INDEX(Operational_RawData!E:E,MATCH("1_Operational",Operational_RawData!$A:$A,0)+ROWS($2:44)-1))</f>
        <v>3.25</v>
      </c>
      <c r="F44">
        <f>IF(ROWS($2:44)&gt;COUNTIF(Operational_RawData!$A:$A,"1_Operational"),"",INDEX(Operational_RawData!F:F,MATCH("1_Operational",Operational_RawData!$A:$A,0)+ROWS($2:44)-1))</f>
        <v>224.28</v>
      </c>
      <c r="G44">
        <f>IF(ROWS($2:44)&gt;COUNTIF(Operational_RawData!$A:$A,"1_Operational"),"",INDEX(Operational_RawData!G:G,MATCH("1_Operational",Operational_RawData!$A:$A,0)+ROWS($2:44)-1))</f>
        <v>224.28</v>
      </c>
      <c r="H44">
        <f>IF(ROWS($2:44)&gt;COUNTIF(Operational_RawData!$A:$A,"1_Operational"),"",INDEX(Operational_RawData!H:H,MATCH("1_Operational",Operational_RawData!$A:$A,0)+ROWS($2:44)-1))</f>
        <v>224.28</v>
      </c>
      <c r="I44">
        <f>IF(ROWS($2:44)&gt;COUNTIF(Operational_RawData!$A:$A,"1_Operational"),"",INDEX(Operational_RawData!I:I,MATCH("1_Operational",Operational_RawData!$A:$A,0)+ROWS($2:44)-1))</f>
        <v>224.28</v>
      </c>
      <c r="J44">
        <f>IF(ROWS($2:44)&gt;COUNTIF(Operational_RawData!$A:$A,"1_Operational"),"",INDEX(Operational_RawData!J:J,MATCH("1_Operational",Operational_RawData!$A:$A,0)+ROWS($2:44)-1))</f>
        <v>324.8</v>
      </c>
      <c r="K44">
        <f>IF(ROWS($2:44)&gt;COUNTIF(Operational_RawData!$A:$A,"1_Operational"),"",INDEX(Operational_RawData!K:K,MATCH("1_Operational",Operational_RawData!$A:$A,0)+ROWS($2:44)-1))</f>
        <v>324.8</v>
      </c>
      <c r="L44">
        <f>IF(ROWS($2:44)&gt;COUNTIF(Operational_RawData!$A:$A,"1_Operational"),"",INDEX(Operational_RawData!L:L,MATCH("1_Operational",Operational_RawData!$A:$A,0)+ROWS($2:44)-1))</f>
        <v>324.8</v>
      </c>
      <c r="M44">
        <f>IF(ROWS($2:44)&gt;COUNTIF(Operational_RawData!$A:$A,"1_Operational"),"",INDEX(Operational_RawData!M:M,MATCH("1_Operational",Operational_RawData!$A:$A,0)+ROWS($2:44)-1))</f>
        <v>324.8</v>
      </c>
      <c r="N44">
        <f>IF(ROWS($2:44)&gt;COUNTIF(Operational_RawData!$A:$A,"1_Operational"),"",INDEX(Operational_RawData!N:N,MATCH("1_Operational",Operational_RawData!$A:$A,0)+ROWS($2:44)-1))</f>
        <v>0.1</v>
      </c>
      <c r="O44">
        <f>IF(ROWS($2:44)&gt;COUNTIF(Operational_RawData!$A:$A,"1_Operational"),"",INDEX(Operational_RawData!O:O,MATCH("1_Operational",Operational_RawData!$A:$A,0)+ROWS($2:44)-1))</f>
        <v>0.19</v>
      </c>
      <c r="P44">
        <f>IF(ROWS($2:44)&gt;COUNTIF(Operational_RawData!$A:$A,"1_Operational"),"",INDEX(Operational_RawData!P:P,MATCH("1_Operational",Operational_RawData!$A:$A,0)+ROWS($2:44)-1))</f>
        <v>0.06</v>
      </c>
      <c r="Q44">
        <f>IF(ROWS($2:44)&gt;COUNTIF(Operational_RawData!$A:$A,"1_Operational"),"",INDEX(Operational_RawData!Q:Q,MATCH("1_Operational",Operational_RawData!$A:$A,0)+ROWS($2:44)-1))</f>
        <v>0.1</v>
      </c>
      <c r="R44" t="str">
        <f>IF(ROWS($2:44)&gt;COUNTIF(Operational_RawData!$A:$A,"1_Operational"),"",INDEX(Operational_RawData!R:R,MATCH("1_Operational",Operational_RawData!$A:$A,0)+ROWS($2:44)-1))</f>
        <v>Pass</v>
      </c>
      <c r="S44">
        <f>IF(ROWS($2:44)&gt;COUNTIF(Operational_RawData!$A:$A,"1_Operational"),"",INDEX(Operational_RawData!S:S,MATCH("1_Operational",Operational_RawData!$A:$A,0)+ROWS($2:44)-1))</f>
        <v>0</v>
      </c>
      <c r="T44">
        <f>IF(ROWS($2:44)&gt;COUNTIF(Operational_RawData!$A:$A,"1_Operational"),"",INDEX(Operational_RawData!T:T,MATCH("1_Operational",Operational_RawData!$A:$A,0)+ROWS($2:44)-1))</f>
        <v>0</v>
      </c>
    </row>
    <row r="45" spans="1:20">
      <c r="A45" t="str">
        <f>IF(ROWS($2:45)&gt;COUNTIF(Operational_RawData!$A:$A,"1_Operational"),"",INDEX(Operational_RawData!A:A,MATCH("1_Operational",Operational_RawData!$A:$A,0)+ROWS($2:45)-1))</f>
        <v>1_Operational</v>
      </c>
      <c r="B45">
        <f>IF(ROWS($2:45)&gt;COUNTIF(Operational_RawData!$A:$A,"1_Operational"),"",INDEX(Operational_RawData!B:B,MATCH("1_Operational",Operational_RawData!$A:$A,0)+ROWS($2:45)-1))</f>
        <v>144741.872</v>
      </c>
      <c r="C45">
        <f>IF(ROWS($2:45)&gt;COUNTIF(Operational_RawData!$A:$A,"1_Operational"),"",INDEX(Operational_RawData!C:C,MATCH("1_Operational",Operational_RawData!$A:$A,0)+ROWS($2:45)-1))</f>
        <v>32.22</v>
      </c>
      <c r="D45">
        <f>IF(ROWS($2:45)&gt;COUNTIF(Operational_RawData!$A:$A,"1_Operational"),"",INDEX(Operational_RawData!D:D,MATCH("1_Operational",Operational_RawData!$A:$A,0)+ROWS($2:45)-1))</f>
        <v>1309.8889999999999</v>
      </c>
      <c r="E45">
        <f>IF(ROWS($2:45)&gt;COUNTIF(Operational_RawData!$A:$A,"1_Operational"),"",INDEX(Operational_RawData!E:E,MATCH("1_Operational",Operational_RawData!$A:$A,0)+ROWS($2:45)-1))</f>
        <v>3.22</v>
      </c>
      <c r="F45">
        <f>IF(ROWS($2:45)&gt;COUNTIF(Operational_RawData!$A:$A,"1_Operational"),"",INDEX(Operational_RawData!F:F,MATCH("1_Operational",Operational_RawData!$A:$A,0)+ROWS($2:45)-1))</f>
        <v>224.84</v>
      </c>
      <c r="G45">
        <f>IF(ROWS($2:45)&gt;COUNTIF(Operational_RawData!$A:$A,"1_Operational"),"",INDEX(Operational_RawData!G:G,MATCH("1_Operational",Operational_RawData!$A:$A,0)+ROWS($2:45)-1))</f>
        <v>224.84</v>
      </c>
      <c r="H45">
        <f>IF(ROWS($2:45)&gt;COUNTIF(Operational_RawData!$A:$A,"1_Operational"),"",INDEX(Operational_RawData!H:H,MATCH("1_Operational",Operational_RawData!$A:$A,0)+ROWS($2:45)-1))</f>
        <v>224.84</v>
      </c>
      <c r="I45">
        <f>IF(ROWS($2:45)&gt;COUNTIF(Operational_RawData!$A:$A,"1_Operational"),"",INDEX(Operational_RawData!I:I,MATCH("1_Operational",Operational_RawData!$A:$A,0)+ROWS($2:45)-1))</f>
        <v>224.84</v>
      </c>
      <c r="J45">
        <f>IF(ROWS($2:45)&gt;COUNTIF(Operational_RawData!$A:$A,"1_Operational"),"",INDEX(Operational_RawData!J:J,MATCH("1_Operational",Operational_RawData!$A:$A,0)+ROWS($2:45)-1))</f>
        <v>325.72000000000003</v>
      </c>
      <c r="K45">
        <f>IF(ROWS($2:45)&gt;COUNTIF(Operational_RawData!$A:$A,"1_Operational"),"",INDEX(Operational_RawData!K:K,MATCH("1_Operational",Operational_RawData!$A:$A,0)+ROWS($2:45)-1))</f>
        <v>325.72000000000003</v>
      </c>
      <c r="L45">
        <f>IF(ROWS($2:45)&gt;COUNTIF(Operational_RawData!$A:$A,"1_Operational"),"",INDEX(Operational_RawData!L:L,MATCH("1_Operational",Operational_RawData!$A:$A,0)+ROWS($2:45)-1))</f>
        <v>325.72000000000003</v>
      </c>
      <c r="M45">
        <f>IF(ROWS($2:45)&gt;COUNTIF(Operational_RawData!$A:$A,"1_Operational"),"",INDEX(Operational_RawData!M:M,MATCH("1_Operational",Operational_RawData!$A:$A,0)+ROWS($2:45)-1))</f>
        <v>325.72000000000003</v>
      </c>
      <c r="N45">
        <f>IF(ROWS($2:45)&gt;COUNTIF(Operational_RawData!$A:$A,"1_Operational"),"",INDEX(Operational_RawData!N:N,MATCH("1_Operational",Operational_RawData!$A:$A,0)+ROWS($2:45)-1))</f>
        <v>0.09</v>
      </c>
      <c r="O45">
        <f>IF(ROWS($2:45)&gt;COUNTIF(Operational_RawData!$A:$A,"1_Operational"),"",INDEX(Operational_RawData!O:O,MATCH("1_Operational",Operational_RawData!$A:$A,0)+ROWS($2:45)-1))</f>
        <v>0.19</v>
      </c>
      <c r="P45">
        <f>IF(ROWS($2:45)&gt;COUNTIF(Operational_RawData!$A:$A,"1_Operational"),"",INDEX(Operational_RawData!P:P,MATCH("1_Operational",Operational_RawData!$A:$A,0)+ROWS($2:45)-1))</f>
        <v>0.06</v>
      </c>
      <c r="Q45">
        <f>IF(ROWS($2:45)&gt;COUNTIF(Operational_RawData!$A:$A,"1_Operational"),"",INDEX(Operational_RawData!Q:Q,MATCH("1_Operational",Operational_RawData!$A:$A,0)+ROWS($2:45)-1))</f>
        <v>0.1</v>
      </c>
      <c r="R45" t="str">
        <f>IF(ROWS($2:45)&gt;COUNTIF(Operational_RawData!$A:$A,"1_Operational"),"",INDEX(Operational_RawData!R:R,MATCH("1_Operational",Operational_RawData!$A:$A,0)+ROWS($2:45)-1))</f>
        <v>Pass</v>
      </c>
      <c r="S45">
        <f>IF(ROWS($2:45)&gt;COUNTIF(Operational_RawData!$A:$A,"1_Operational"),"",INDEX(Operational_RawData!S:S,MATCH("1_Operational",Operational_RawData!$A:$A,0)+ROWS($2:45)-1))</f>
        <v>0</v>
      </c>
      <c r="T45">
        <f>IF(ROWS($2:45)&gt;COUNTIF(Operational_RawData!$A:$A,"1_Operational"),"",INDEX(Operational_RawData!T:T,MATCH("1_Operational",Operational_RawData!$A:$A,0)+ROWS($2:45)-1))</f>
        <v>0</v>
      </c>
    </row>
    <row r="46" spans="1:20">
      <c r="A46" t="str">
        <f>IF(ROWS($2:46)&gt;COUNTIF(Operational_RawData!$A:$A,"1_Operational"),"",INDEX(Operational_RawData!A:A,MATCH("1_Operational",Operational_RawData!$A:$A,0)+ROWS($2:46)-1))</f>
        <v>1_Operational</v>
      </c>
      <c r="B46">
        <f>IF(ROWS($2:46)&gt;COUNTIF(Operational_RawData!$A:$A,"1_Operational"),"",INDEX(Operational_RawData!B:B,MATCH("1_Operational",Operational_RawData!$A:$A,0)+ROWS($2:46)-1))</f>
        <v>144746.87299999999</v>
      </c>
      <c r="C46">
        <f>IF(ROWS($2:46)&gt;COUNTIF(Operational_RawData!$A:$A,"1_Operational"),"",INDEX(Operational_RawData!C:C,MATCH("1_Operational",Operational_RawData!$A:$A,0)+ROWS($2:46)-1))</f>
        <v>32.979999999999997</v>
      </c>
      <c r="D46">
        <f>IF(ROWS($2:46)&gt;COUNTIF(Operational_RawData!$A:$A,"1_Operational"),"",INDEX(Operational_RawData!D:D,MATCH("1_Operational",Operational_RawData!$A:$A,0)+ROWS($2:46)-1))</f>
        <v>1309.96</v>
      </c>
      <c r="E46">
        <f>IF(ROWS($2:46)&gt;COUNTIF(Operational_RawData!$A:$A,"1_Operational"),"",INDEX(Operational_RawData!E:E,MATCH("1_Operational",Operational_RawData!$A:$A,0)+ROWS($2:46)-1))</f>
        <v>3.24</v>
      </c>
      <c r="F46">
        <f>IF(ROWS($2:46)&gt;COUNTIF(Operational_RawData!$A:$A,"1_Operational"),"",INDEX(Operational_RawData!F:F,MATCH("1_Operational",Operational_RawData!$A:$A,0)+ROWS($2:46)-1))</f>
        <v>225.32</v>
      </c>
      <c r="G46">
        <f>IF(ROWS($2:46)&gt;COUNTIF(Operational_RawData!$A:$A,"1_Operational"),"",INDEX(Operational_RawData!G:G,MATCH("1_Operational",Operational_RawData!$A:$A,0)+ROWS($2:46)-1))</f>
        <v>225.32</v>
      </c>
      <c r="H46">
        <f>IF(ROWS($2:46)&gt;COUNTIF(Operational_RawData!$A:$A,"1_Operational"),"",INDEX(Operational_RawData!H:H,MATCH("1_Operational",Operational_RawData!$A:$A,0)+ROWS($2:46)-1))</f>
        <v>225.32</v>
      </c>
      <c r="I46">
        <f>IF(ROWS($2:46)&gt;COUNTIF(Operational_RawData!$A:$A,"1_Operational"),"",INDEX(Operational_RawData!I:I,MATCH("1_Operational",Operational_RawData!$A:$A,0)+ROWS($2:46)-1))</f>
        <v>225.32</v>
      </c>
      <c r="J46">
        <f>IF(ROWS($2:46)&gt;COUNTIF(Operational_RawData!$A:$A,"1_Operational"),"",INDEX(Operational_RawData!J:J,MATCH("1_Operational",Operational_RawData!$A:$A,0)+ROWS($2:46)-1))</f>
        <v>326.76</v>
      </c>
      <c r="K46">
        <f>IF(ROWS($2:46)&gt;COUNTIF(Operational_RawData!$A:$A,"1_Operational"),"",INDEX(Operational_RawData!K:K,MATCH("1_Operational",Operational_RawData!$A:$A,0)+ROWS($2:46)-1))</f>
        <v>326.76</v>
      </c>
      <c r="L46">
        <f>IF(ROWS($2:46)&gt;COUNTIF(Operational_RawData!$A:$A,"1_Operational"),"",INDEX(Operational_RawData!L:L,MATCH("1_Operational",Operational_RawData!$A:$A,0)+ROWS($2:46)-1))</f>
        <v>326.76</v>
      </c>
      <c r="M46">
        <f>IF(ROWS($2:46)&gt;COUNTIF(Operational_RawData!$A:$A,"1_Operational"),"",INDEX(Operational_RawData!M:M,MATCH("1_Operational",Operational_RawData!$A:$A,0)+ROWS($2:46)-1))</f>
        <v>326.76</v>
      </c>
      <c r="N46">
        <f>IF(ROWS($2:46)&gt;COUNTIF(Operational_RawData!$A:$A,"1_Operational"),"",INDEX(Operational_RawData!N:N,MATCH("1_Operational",Operational_RawData!$A:$A,0)+ROWS($2:46)-1))</f>
        <v>0.09</v>
      </c>
      <c r="O46">
        <f>IF(ROWS($2:46)&gt;COUNTIF(Operational_RawData!$A:$A,"1_Operational"),"",INDEX(Operational_RawData!O:O,MATCH("1_Operational",Operational_RawData!$A:$A,0)+ROWS($2:46)-1))</f>
        <v>0.19</v>
      </c>
      <c r="P46">
        <f>IF(ROWS($2:46)&gt;COUNTIF(Operational_RawData!$A:$A,"1_Operational"),"",INDEX(Operational_RawData!P:P,MATCH("1_Operational",Operational_RawData!$A:$A,0)+ROWS($2:46)-1))</f>
        <v>0.06</v>
      </c>
      <c r="Q46">
        <f>IF(ROWS($2:46)&gt;COUNTIF(Operational_RawData!$A:$A,"1_Operational"),"",INDEX(Operational_RawData!Q:Q,MATCH("1_Operational",Operational_RawData!$A:$A,0)+ROWS($2:46)-1))</f>
        <v>0.1</v>
      </c>
      <c r="R46" t="str">
        <f>IF(ROWS($2:46)&gt;COUNTIF(Operational_RawData!$A:$A,"1_Operational"),"",INDEX(Operational_RawData!R:R,MATCH("1_Operational",Operational_RawData!$A:$A,0)+ROWS($2:46)-1))</f>
        <v>Pass</v>
      </c>
      <c r="S46">
        <f>IF(ROWS($2:46)&gt;COUNTIF(Operational_RawData!$A:$A,"1_Operational"),"",INDEX(Operational_RawData!S:S,MATCH("1_Operational",Operational_RawData!$A:$A,0)+ROWS($2:46)-1))</f>
        <v>0</v>
      </c>
      <c r="T46">
        <f>IF(ROWS($2:46)&gt;COUNTIF(Operational_RawData!$A:$A,"1_Operational"),"",INDEX(Operational_RawData!T:T,MATCH("1_Operational",Operational_RawData!$A:$A,0)+ROWS($2:46)-1))</f>
        <v>0</v>
      </c>
    </row>
    <row r="47" spans="1:20">
      <c r="A47" t="str">
        <f>IF(ROWS($2:47)&gt;COUNTIF(Operational_RawData!$A:$A,"1_Operational"),"",INDEX(Operational_RawData!A:A,MATCH("1_Operational",Operational_RawData!$A:$A,0)+ROWS($2:47)-1))</f>
        <v>1_Operational</v>
      </c>
      <c r="B47">
        <f>IF(ROWS($2:47)&gt;COUNTIF(Operational_RawData!$A:$A,"1_Operational"),"",INDEX(Operational_RawData!B:B,MATCH("1_Operational",Operational_RawData!$A:$A,0)+ROWS($2:47)-1))</f>
        <v>144751.87400000001</v>
      </c>
      <c r="C47">
        <f>IF(ROWS($2:47)&gt;COUNTIF(Operational_RawData!$A:$A,"1_Operational"),"",INDEX(Operational_RawData!C:C,MATCH("1_Operational",Operational_RawData!$A:$A,0)+ROWS($2:47)-1))</f>
        <v>33.729999999999997</v>
      </c>
      <c r="D47">
        <f>IF(ROWS($2:47)&gt;COUNTIF(Operational_RawData!$A:$A,"1_Operational"),"",INDEX(Operational_RawData!D:D,MATCH("1_Operational",Operational_RawData!$A:$A,0)+ROWS($2:47)-1))</f>
        <v>1310.0239999999999</v>
      </c>
      <c r="E47">
        <f>IF(ROWS($2:47)&gt;COUNTIF(Operational_RawData!$A:$A,"1_Operational"),"",INDEX(Operational_RawData!E:E,MATCH("1_Operational",Operational_RawData!$A:$A,0)+ROWS($2:47)-1))</f>
        <v>3.16</v>
      </c>
      <c r="F47">
        <f>IF(ROWS($2:47)&gt;COUNTIF(Operational_RawData!$A:$A,"1_Operational"),"",INDEX(Operational_RawData!F:F,MATCH("1_Operational",Operational_RawData!$A:$A,0)+ROWS($2:47)-1))</f>
        <v>225.92</v>
      </c>
      <c r="G47">
        <f>IF(ROWS($2:47)&gt;COUNTIF(Operational_RawData!$A:$A,"1_Operational"),"",INDEX(Operational_RawData!G:G,MATCH("1_Operational",Operational_RawData!$A:$A,0)+ROWS($2:47)-1))</f>
        <v>225.92</v>
      </c>
      <c r="H47">
        <f>IF(ROWS($2:47)&gt;COUNTIF(Operational_RawData!$A:$A,"1_Operational"),"",INDEX(Operational_RawData!H:H,MATCH("1_Operational",Operational_RawData!$A:$A,0)+ROWS($2:47)-1))</f>
        <v>225.92</v>
      </c>
      <c r="I47">
        <f>IF(ROWS($2:47)&gt;COUNTIF(Operational_RawData!$A:$A,"1_Operational"),"",INDEX(Operational_RawData!I:I,MATCH("1_Operational",Operational_RawData!$A:$A,0)+ROWS($2:47)-1))</f>
        <v>225.92</v>
      </c>
      <c r="J47">
        <f>IF(ROWS($2:47)&gt;COUNTIF(Operational_RawData!$A:$A,"1_Operational"),"",INDEX(Operational_RawData!J:J,MATCH("1_Operational",Operational_RawData!$A:$A,0)+ROWS($2:47)-1))</f>
        <v>327.84</v>
      </c>
      <c r="K47">
        <f>IF(ROWS($2:47)&gt;COUNTIF(Operational_RawData!$A:$A,"1_Operational"),"",INDEX(Operational_RawData!K:K,MATCH("1_Operational",Operational_RawData!$A:$A,0)+ROWS($2:47)-1))</f>
        <v>327.84</v>
      </c>
      <c r="L47">
        <f>IF(ROWS($2:47)&gt;COUNTIF(Operational_RawData!$A:$A,"1_Operational"),"",INDEX(Operational_RawData!L:L,MATCH("1_Operational",Operational_RawData!$A:$A,0)+ROWS($2:47)-1))</f>
        <v>327.84</v>
      </c>
      <c r="M47">
        <f>IF(ROWS($2:47)&gt;COUNTIF(Operational_RawData!$A:$A,"1_Operational"),"",INDEX(Operational_RawData!M:M,MATCH("1_Operational",Operational_RawData!$A:$A,0)+ROWS($2:47)-1))</f>
        <v>327.84</v>
      </c>
      <c r="N47">
        <f>IF(ROWS($2:47)&gt;COUNTIF(Operational_RawData!$A:$A,"1_Operational"),"",INDEX(Operational_RawData!N:N,MATCH("1_Operational",Operational_RawData!$A:$A,0)+ROWS($2:47)-1))</f>
        <v>0.09</v>
      </c>
      <c r="O47">
        <f>IF(ROWS($2:47)&gt;COUNTIF(Operational_RawData!$A:$A,"1_Operational"),"",INDEX(Operational_RawData!O:O,MATCH("1_Operational",Operational_RawData!$A:$A,0)+ROWS($2:47)-1))</f>
        <v>0.19</v>
      </c>
      <c r="P47">
        <f>IF(ROWS($2:47)&gt;COUNTIF(Operational_RawData!$A:$A,"1_Operational"),"",INDEX(Operational_RawData!P:P,MATCH("1_Operational",Operational_RawData!$A:$A,0)+ROWS($2:47)-1))</f>
        <v>0.06</v>
      </c>
      <c r="Q47">
        <f>IF(ROWS($2:47)&gt;COUNTIF(Operational_RawData!$A:$A,"1_Operational"),"",INDEX(Operational_RawData!Q:Q,MATCH("1_Operational",Operational_RawData!$A:$A,0)+ROWS($2:47)-1))</f>
        <v>0.1</v>
      </c>
      <c r="R47" t="str">
        <f>IF(ROWS($2:47)&gt;COUNTIF(Operational_RawData!$A:$A,"1_Operational"),"",INDEX(Operational_RawData!R:R,MATCH("1_Operational",Operational_RawData!$A:$A,0)+ROWS($2:47)-1))</f>
        <v>Pass</v>
      </c>
      <c r="S47">
        <f>IF(ROWS($2:47)&gt;COUNTIF(Operational_RawData!$A:$A,"1_Operational"),"",INDEX(Operational_RawData!S:S,MATCH("1_Operational",Operational_RawData!$A:$A,0)+ROWS($2:47)-1))</f>
        <v>0</v>
      </c>
      <c r="T47">
        <f>IF(ROWS($2:47)&gt;COUNTIF(Operational_RawData!$A:$A,"1_Operational"),"",INDEX(Operational_RawData!T:T,MATCH("1_Operational",Operational_RawData!$A:$A,0)+ROWS($2:47)-1))</f>
        <v>0</v>
      </c>
    </row>
    <row r="48" spans="1:20">
      <c r="A48" t="str">
        <f>IF(ROWS($2:48)&gt;COUNTIF(Operational_RawData!$A:$A,"1_Operational"),"",INDEX(Operational_RawData!A:A,MATCH("1_Operational",Operational_RawData!$A:$A,0)+ROWS($2:48)-1))</f>
        <v>1_Operational</v>
      </c>
      <c r="B48">
        <f>IF(ROWS($2:48)&gt;COUNTIF(Operational_RawData!$A:$A,"1_Operational"),"",INDEX(Operational_RawData!B:B,MATCH("1_Operational",Operational_RawData!$A:$A,0)+ROWS($2:48)-1))</f>
        <v>144756.87899999999</v>
      </c>
      <c r="C48">
        <f>IF(ROWS($2:48)&gt;COUNTIF(Operational_RawData!$A:$A,"1_Operational"),"",INDEX(Operational_RawData!C:C,MATCH("1_Operational",Operational_RawData!$A:$A,0)+ROWS($2:48)-1))</f>
        <v>34.49</v>
      </c>
      <c r="D48">
        <f>IF(ROWS($2:48)&gt;COUNTIF(Operational_RawData!$A:$A,"1_Operational"),"",INDEX(Operational_RawData!D:D,MATCH("1_Operational",Operational_RawData!$A:$A,0)+ROWS($2:48)-1))</f>
        <v>1310.095</v>
      </c>
      <c r="E48">
        <f>IF(ROWS($2:48)&gt;COUNTIF(Operational_RawData!$A:$A,"1_Operational"),"",INDEX(Operational_RawData!E:E,MATCH("1_Operational",Operational_RawData!$A:$A,0)+ROWS($2:48)-1))</f>
        <v>3.06</v>
      </c>
      <c r="F48">
        <f>IF(ROWS($2:48)&gt;COUNTIF(Operational_RawData!$A:$A,"1_Operational"),"",INDEX(Operational_RawData!F:F,MATCH("1_Operational",Operational_RawData!$A:$A,0)+ROWS($2:48)-1))</f>
        <v>226.48</v>
      </c>
      <c r="G48">
        <f>IF(ROWS($2:48)&gt;COUNTIF(Operational_RawData!$A:$A,"1_Operational"),"",INDEX(Operational_RawData!G:G,MATCH("1_Operational",Operational_RawData!$A:$A,0)+ROWS($2:48)-1))</f>
        <v>226.48</v>
      </c>
      <c r="H48">
        <f>IF(ROWS($2:48)&gt;COUNTIF(Operational_RawData!$A:$A,"1_Operational"),"",INDEX(Operational_RawData!H:H,MATCH("1_Operational",Operational_RawData!$A:$A,0)+ROWS($2:48)-1))</f>
        <v>226.48</v>
      </c>
      <c r="I48">
        <f>IF(ROWS($2:48)&gt;COUNTIF(Operational_RawData!$A:$A,"1_Operational"),"",INDEX(Operational_RawData!I:I,MATCH("1_Operational",Operational_RawData!$A:$A,0)+ROWS($2:48)-1))</f>
        <v>226.48</v>
      </c>
      <c r="J48">
        <f>IF(ROWS($2:48)&gt;COUNTIF(Operational_RawData!$A:$A,"1_Operational"),"",INDEX(Operational_RawData!J:J,MATCH("1_Operational",Operational_RawData!$A:$A,0)+ROWS($2:48)-1))</f>
        <v>329.2</v>
      </c>
      <c r="K48">
        <f>IF(ROWS($2:48)&gt;COUNTIF(Operational_RawData!$A:$A,"1_Operational"),"",INDEX(Operational_RawData!K:K,MATCH("1_Operational",Operational_RawData!$A:$A,0)+ROWS($2:48)-1))</f>
        <v>329.2</v>
      </c>
      <c r="L48">
        <f>IF(ROWS($2:48)&gt;COUNTIF(Operational_RawData!$A:$A,"1_Operational"),"",INDEX(Operational_RawData!L:L,MATCH("1_Operational",Operational_RawData!$A:$A,0)+ROWS($2:48)-1))</f>
        <v>329.2</v>
      </c>
      <c r="M48">
        <f>IF(ROWS($2:48)&gt;COUNTIF(Operational_RawData!$A:$A,"1_Operational"),"",INDEX(Operational_RawData!M:M,MATCH("1_Operational",Operational_RawData!$A:$A,0)+ROWS($2:48)-1))</f>
        <v>329.2</v>
      </c>
      <c r="N48">
        <f>IF(ROWS($2:48)&gt;COUNTIF(Operational_RawData!$A:$A,"1_Operational"),"",INDEX(Operational_RawData!N:N,MATCH("1_Operational",Operational_RawData!$A:$A,0)+ROWS($2:48)-1))</f>
        <v>0.09</v>
      </c>
      <c r="O48">
        <f>IF(ROWS($2:48)&gt;COUNTIF(Operational_RawData!$A:$A,"1_Operational"),"",INDEX(Operational_RawData!O:O,MATCH("1_Operational",Operational_RawData!$A:$A,0)+ROWS($2:48)-1))</f>
        <v>0.19</v>
      </c>
      <c r="P48">
        <f>IF(ROWS($2:48)&gt;COUNTIF(Operational_RawData!$A:$A,"1_Operational"),"",INDEX(Operational_RawData!P:P,MATCH("1_Operational",Operational_RawData!$A:$A,0)+ROWS($2:48)-1))</f>
        <v>0.06</v>
      </c>
      <c r="Q48">
        <f>IF(ROWS($2:48)&gt;COUNTIF(Operational_RawData!$A:$A,"1_Operational"),"",INDEX(Operational_RawData!Q:Q,MATCH("1_Operational",Operational_RawData!$A:$A,0)+ROWS($2:48)-1))</f>
        <v>0.1</v>
      </c>
      <c r="R48" t="str">
        <f>IF(ROWS($2:48)&gt;COUNTIF(Operational_RawData!$A:$A,"1_Operational"),"",INDEX(Operational_RawData!R:R,MATCH("1_Operational",Operational_RawData!$A:$A,0)+ROWS($2:48)-1))</f>
        <v>Pass</v>
      </c>
      <c r="S48">
        <f>IF(ROWS($2:48)&gt;COUNTIF(Operational_RawData!$A:$A,"1_Operational"),"",INDEX(Operational_RawData!S:S,MATCH("1_Operational",Operational_RawData!$A:$A,0)+ROWS($2:48)-1))</f>
        <v>0</v>
      </c>
      <c r="T48">
        <f>IF(ROWS($2:48)&gt;COUNTIF(Operational_RawData!$A:$A,"1_Operational"),"",INDEX(Operational_RawData!T:T,MATCH("1_Operational",Operational_RawData!$A:$A,0)+ROWS($2:48)-1))</f>
        <v>0</v>
      </c>
    </row>
    <row r="49" spans="1:20">
      <c r="A49" t="str">
        <f>IF(ROWS($2:49)&gt;COUNTIF(Operational_RawData!$A:$A,"1_Operational"),"",INDEX(Operational_RawData!A:A,MATCH("1_Operational",Operational_RawData!$A:$A,0)+ROWS($2:49)-1))</f>
        <v>1_Operational</v>
      </c>
      <c r="B49">
        <f>IF(ROWS($2:49)&gt;COUNTIF(Operational_RawData!$A:$A,"1_Operational"),"",INDEX(Operational_RawData!B:B,MATCH("1_Operational",Operational_RawData!$A:$A,0)+ROWS($2:49)-1))</f>
        <v>144801.87400000001</v>
      </c>
      <c r="C49">
        <f>IF(ROWS($2:49)&gt;COUNTIF(Operational_RawData!$A:$A,"1_Operational"),"",INDEX(Operational_RawData!C:C,MATCH("1_Operational",Operational_RawData!$A:$A,0)+ROWS($2:49)-1))</f>
        <v>35.22</v>
      </c>
      <c r="D49">
        <f>IF(ROWS($2:49)&gt;COUNTIF(Operational_RawData!$A:$A,"1_Operational"),"",INDEX(Operational_RawData!D:D,MATCH("1_Operational",Operational_RawData!$A:$A,0)+ROWS($2:49)-1))</f>
        <v>1310.172</v>
      </c>
      <c r="E49">
        <f>IF(ROWS($2:49)&gt;COUNTIF(Operational_RawData!$A:$A,"1_Operational"),"",INDEX(Operational_RawData!E:E,MATCH("1_Operational",Operational_RawData!$A:$A,0)+ROWS($2:49)-1))</f>
        <v>3.03</v>
      </c>
      <c r="F49">
        <f>IF(ROWS($2:49)&gt;COUNTIF(Operational_RawData!$A:$A,"1_Operational"),"",INDEX(Operational_RawData!F:F,MATCH("1_Operational",Operational_RawData!$A:$A,0)+ROWS($2:49)-1))</f>
        <v>227.32</v>
      </c>
      <c r="G49">
        <f>IF(ROWS($2:49)&gt;COUNTIF(Operational_RawData!$A:$A,"1_Operational"),"",INDEX(Operational_RawData!G:G,MATCH("1_Operational",Operational_RawData!$A:$A,0)+ROWS($2:49)-1))</f>
        <v>227.32</v>
      </c>
      <c r="H49">
        <f>IF(ROWS($2:49)&gt;COUNTIF(Operational_RawData!$A:$A,"1_Operational"),"",INDEX(Operational_RawData!H:H,MATCH("1_Operational",Operational_RawData!$A:$A,0)+ROWS($2:49)-1))</f>
        <v>227.32</v>
      </c>
      <c r="I49">
        <f>IF(ROWS($2:49)&gt;COUNTIF(Operational_RawData!$A:$A,"1_Operational"),"",INDEX(Operational_RawData!I:I,MATCH("1_Operational",Operational_RawData!$A:$A,0)+ROWS($2:49)-1))</f>
        <v>227.32</v>
      </c>
      <c r="J49">
        <f>IF(ROWS($2:49)&gt;COUNTIF(Operational_RawData!$A:$A,"1_Operational"),"",INDEX(Operational_RawData!J:J,MATCH("1_Operational",Operational_RawData!$A:$A,0)+ROWS($2:49)-1))</f>
        <v>330.6</v>
      </c>
      <c r="K49">
        <f>IF(ROWS($2:49)&gt;COUNTIF(Operational_RawData!$A:$A,"1_Operational"),"",INDEX(Operational_RawData!K:K,MATCH("1_Operational",Operational_RawData!$A:$A,0)+ROWS($2:49)-1))</f>
        <v>330.6</v>
      </c>
      <c r="L49">
        <f>IF(ROWS($2:49)&gt;COUNTIF(Operational_RawData!$A:$A,"1_Operational"),"",INDEX(Operational_RawData!L:L,MATCH("1_Operational",Operational_RawData!$A:$A,0)+ROWS($2:49)-1))</f>
        <v>330.6</v>
      </c>
      <c r="M49">
        <f>IF(ROWS($2:49)&gt;COUNTIF(Operational_RawData!$A:$A,"1_Operational"),"",INDEX(Operational_RawData!M:M,MATCH("1_Operational",Operational_RawData!$A:$A,0)+ROWS($2:49)-1))</f>
        <v>330.6</v>
      </c>
      <c r="N49">
        <f>IF(ROWS($2:49)&gt;COUNTIF(Operational_RawData!$A:$A,"1_Operational"),"",INDEX(Operational_RawData!N:N,MATCH("1_Operational",Operational_RawData!$A:$A,0)+ROWS($2:49)-1))</f>
        <v>0.11</v>
      </c>
      <c r="O49">
        <f>IF(ROWS($2:49)&gt;COUNTIF(Operational_RawData!$A:$A,"1_Operational"),"",INDEX(Operational_RawData!O:O,MATCH("1_Operational",Operational_RawData!$A:$A,0)+ROWS($2:49)-1))</f>
        <v>0.19</v>
      </c>
      <c r="P49">
        <f>IF(ROWS($2:49)&gt;COUNTIF(Operational_RawData!$A:$A,"1_Operational"),"",INDEX(Operational_RawData!P:P,MATCH("1_Operational",Operational_RawData!$A:$A,0)+ROWS($2:49)-1))</f>
        <v>0.06</v>
      </c>
      <c r="Q49">
        <f>IF(ROWS($2:49)&gt;COUNTIF(Operational_RawData!$A:$A,"1_Operational"),"",INDEX(Operational_RawData!Q:Q,MATCH("1_Operational",Operational_RawData!$A:$A,0)+ROWS($2:49)-1))</f>
        <v>0.1</v>
      </c>
      <c r="R49" t="str">
        <f>IF(ROWS($2:49)&gt;COUNTIF(Operational_RawData!$A:$A,"1_Operational"),"",INDEX(Operational_RawData!R:R,MATCH("1_Operational",Operational_RawData!$A:$A,0)+ROWS($2:49)-1))</f>
        <v>Pass</v>
      </c>
      <c r="S49">
        <f>IF(ROWS($2:49)&gt;COUNTIF(Operational_RawData!$A:$A,"1_Operational"),"",INDEX(Operational_RawData!S:S,MATCH("1_Operational",Operational_RawData!$A:$A,0)+ROWS($2:49)-1))</f>
        <v>0</v>
      </c>
      <c r="T49">
        <f>IF(ROWS($2:49)&gt;COUNTIF(Operational_RawData!$A:$A,"1_Operational"),"",INDEX(Operational_RawData!T:T,MATCH("1_Operational",Operational_RawData!$A:$A,0)+ROWS($2:49)-1))</f>
        <v>0</v>
      </c>
    </row>
    <row r="50" spans="1:20">
      <c r="A50" t="str">
        <f>IF(ROWS($2:50)&gt;COUNTIF(Operational_RawData!$A:$A,"1_Operational"),"",INDEX(Operational_RawData!A:A,MATCH("1_Operational",Operational_RawData!$A:$A,0)+ROWS($2:50)-1))</f>
        <v>1_Operational</v>
      </c>
      <c r="B50">
        <f>IF(ROWS($2:50)&gt;COUNTIF(Operational_RawData!$A:$A,"1_Operational"),"",INDEX(Operational_RawData!B:B,MATCH("1_Operational",Operational_RawData!$A:$A,0)+ROWS($2:50)-1))</f>
        <v>144806.88</v>
      </c>
      <c r="C50">
        <f>IF(ROWS($2:50)&gt;COUNTIF(Operational_RawData!$A:$A,"1_Operational"),"",INDEX(Operational_RawData!C:C,MATCH("1_Operational",Operational_RawData!$A:$A,0)+ROWS($2:50)-1))</f>
        <v>35.97</v>
      </c>
      <c r="D50">
        <f>IF(ROWS($2:50)&gt;COUNTIF(Operational_RawData!$A:$A,"1_Operational"),"",INDEX(Operational_RawData!D:D,MATCH("1_Operational",Operational_RawData!$A:$A,0)+ROWS($2:50)-1))</f>
        <v>1310.242</v>
      </c>
      <c r="E50">
        <f>IF(ROWS($2:50)&gt;COUNTIF(Operational_RawData!$A:$A,"1_Operational"),"",INDEX(Operational_RawData!E:E,MATCH("1_Operational",Operational_RawData!$A:$A,0)+ROWS($2:50)-1))</f>
        <v>3</v>
      </c>
      <c r="F50">
        <f>IF(ROWS($2:50)&gt;COUNTIF(Operational_RawData!$A:$A,"1_Operational"),"",INDEX(Operational_RawData!F:F,MATCH("1_Operational",Operational_RawData!$A:$A,0)+ROWS($2:50)-1))</f>
        <v>228.12</v>
      </c>
      <c r="G50">
        <f>IF(ROWS($2:50)&gt;COUNTIF(Operational_RawData!$A:$A,"1_Operational"),"",INDEX(Operational_RawData!G:G,MATCH("1_Operational",Operational_RawData!$A:$A,0)+ROWS($2:50)-1))</f>
        <v>228.12</v>
      </c>
      <c r="H50">
        <f>IF(ROWS($2:50)&gt;COUNTIF(Operational_RawData!$A:$A,"1_Operational"),"",INDEX(Operational_RawData!H:H,MATCH("1_Operational",Operational_RawData!$A:$A,0)+ROWS($2:50)-1))</f>
        <v>228.12</v>
      </c>
      <c r="I50">
        <f>IF(ROWS($2:50)&gt;COUNTIF(Operational_RawData!$A:$A,"1_Operational"),"",INDEX(Operational_RawData!I:I,MATCH("1_Operational",Operational_RawData!$A:$A,0)+ROWS($2:50)-1))</f>
        <v>228.12</v>
      </c>
      <c r="J50">
        <f>IF(ROWS($2:50)&gt;COUNTIF(Operational_RawData!$A:$A,"1_Operational"),"",INDEX(Operational_RawData!J:J,MATCH("1_Operational",Operational_RawData!$A:$A,0)+ROWS($2:50)-1))</f>
        <v>332.24</v>
      </c>
      <c r="K50">
        <f>IF(ROWS($2:50)&gt;COUNTIF(Operational_RawData!$A:$A,"1_Operational"),"",INDEX(Operational_RawData!K:K,MATCH("1_Operational",Operational_RawData!$A:$A,0)+ROWS($2:50)-1))</f>
        <v>332.24</v>
      </c>
      <c r="L50">
        <f>IF(ROWS($2:50)&gt;COUNTIF(Operational_RawData!$A:$A,"1_Operational"),"",INDEX(Operational_RawData!L:L,MATCH("1_Operational",Operational_RawData!$A:$A,0)+ROWS($2:50)-1))</f>
        <v>332.24</v>
      </c>
      <c r="M50">
        <f>IF(ROWS($2:50)&gt;COUNTIF(Operational_RawData!$A:$A,"1_Operational"),"",INDEX(Operational_RawData!M:M,MATCH("1_Operational",Operational_RawData!$A:$A,0)+ROWS($2:50)-1))</f>
        <v>332.24</v>
      </c>
      <c r="N50">
        <f>IF(ROWS($2:50)&gt;COUNTIF(Operational_RawData!$A:$A,"1_Operational"),"",INDEX(Operational_RawData!N:N,MATCH("1_Operational",Operational_RawData!$A:$A,0)+ROWS($2:50)-1))</f>
        <v>0.09</v>
      </c>
      <c r="O50">
        <f>IF(ROWS($2:50)&gt;COUNTIF(Operational_RawData!$A:$A,"1_Operational"),"",INDEX(Operational_RawData!O:O,MATCH("1_Operational",Operational_RawData!$A:$A,0)+ROWS($2:50)-1))</f>
        <v>0.19</v>
      </c>
      <c r="P50">
        <f>IF(ROWS($2:50)&gt;COUNTIF(Operational_RawData!$A:$A,"1_Operational"),"",INDEX(Operational_RawData!P:P,MATCH("1_Operational",Operational_RawData!$A:$A,0)+ROWS($2:50)-1))</f>
        <v>0.06</v>
      </c>
      <c r="Q50">
        <f>IF(ROWS($2:50)&gt;COUNTIF(Operational_RawData!$A:$A,"1_Operational"),"",INDEX(Operational_RawData!Q:Q,MATCH("1_Operational",Operational_RawData!$A:$A,0)+ROWS($2:50)-1))</f>
        <v>0.1</v>
      </c>
      <c r="R50" t="str">
        <f>IF(ROWS($2:50)&gt;COUNTIF(Operational_RawData!$A:$A,"1_Operational"),"",INDEX(Operational_RawData!R:R,MATCH("1_Operational",Operational_RawData!$A:$A,0)+ROWS($2:50)-1))</f>
        <v>Pass</v>
      </c>
      <c r="S50">
        <f>IF(ROWS($2:50)&gt;COUNTIF(Operational_RawData!$A:$A,"1_Operational"),"",INDEX(Operational_RawData!S:S,MATCH("1_Operational",Operational_RawData!$A:$A,0)+ROWS($2:50)-1))</f>
        <v>0</v>
      </c>
      <c r="T50">
        <f>IF(ROWS($2:50)&gt;COUNTIF(Operational_RawData!$A:$A,"1_Operational"),"",INDEX(Operational_RawData!T:T,MATCH("1_Operational",Operational_RawData!$A:$A,0)+ROWS($2:50)-1))</f>
        <v>0</v>
      </c>
    </row>
    <row r="51" spans="1:20">
      <c r="A51" t="str">
        <f>IF(ROWS($2:51)&gt;COUNTIF(Operational_RawData!$A:$A,"1_Operational"),"",INDEX(Operational_RawData!A:A,MATCH("1_Operational",Operational_RawData!$A:$A,0)+ROWS($2:51)-1))</f>
        <v>1_Operational</v>
      </c>
      <c r="B51">
        <f>IF(ROWS($2:51)&gt;COUNTIF(Operational_RawData!$A:$A,"1_Operational"),"",INDEX(Operational_RawData!B:B,MATCH("1_Operational",Operational_RawData!$A:$A,0)+ROWS($2:51)-1))</f>
        <v>144811.87400000001</v>
      </c>
      <c r="C51">
        <f>IF(ROWS($2:51)&gt;COUNTIF(Operational_RawData!$A:$A,"1_Operational"),"",INDEX(Operational_RawData!C:C,MATCH("1_Operational",Operational_RawData!$A:$A,0)+ROWS($2:51)-1))</f>
        <v>36.700000000000003</v>
      </c>
      <c r="D51">
        <f>IF(ROWS($2:51)&gt;COUNTIF(Operational_RawData!$A:$A,"1_Operational"),"",INDEX(Operational_RawData!D:D,MATCH("1_Operational",Operational_RawData!$A:$A,0)+ROWS($2:51)-1))</f>
        <v>1310.3130000000001</v>
      </c>
      <c r="E51">
        <f>IF(ROWS($2:51)&gt;COUNTIF(Operational_RawData!$A:$A,"1_Operational"),"",INDEX(Operational_RawData!E:E,MATCH("1_Operational",Operational_RawData!$A:$A,0)+ROWS($2:51)-1))</f>
        <v>3.01</v>
      </c>
      <c r="F51">
        <f>IF(ROWS($2:51)&gt;COUNTIF(Operational_RawData!$A:$A,"1_Operational"),"",INDEX(Operational_RawData!F:F,MATCH("1_Operational",Operational_RawData!$A:$A,0)+ROWS($2:51)-1))</f>
        <v>229</v>
      </c>
      <c r="G51">
        <f>IF(ROWS($2:51)&gt;COUNTIF(Operational_RawData!$A:$A,"1_Operational"),"",INDEX(Operational_RawData!G:G,MATCH("1_Operational",Operational_RawData!$A:$A,0)+ROWS($2:51)-1))</f>
        <v>229</v>
      </c>
      <c r="H51">
        <f>IF(ROWS($2:51)&gt;COUNTIF(Operational_RawData!$A:$A,"1_Operational"),"",INDEX(Operational_RawData!H:H,MATCH("1_Operational",Operational_RawData!$A:$A,0)+ROWS($2:51)-1))</f>
        <v>229</v>
      </c>
      <c r="I51">
        <f>IF(ROWS($2:51)&gt;COUNTIF(Operational_RawData!$A:$A,"1_Operational"),"",INDEX(Operational_RawData!I:I,MATCH("1_Operational",Operational_RawData!$A:$A,0)+ROWS($2:51)-1))</f>
        <v>229</v>
      </c>
      <c r="J51">
        <f>IF(ROWS($2:51)&gt;COUNTIF(Operational_RawData!$A:$A,"1_Operational"),"",INDEX(Operational_RawData!J:J,MATCH("1_Operational",Operational_RawData!$A:$A,0)+ROWS($2:51)-1))</f>
        <v>333.8</v>
      </c>
      <c r="K51">
        <f>IF(ROWS($2:51)&gt;COUNTIF(Operational_RawData!$A:$A,"1_Operational"),"",INDEX(Operational_RawData!K:K,MATCH("1_Operational",Operational_RawData!$A:$A,0)+ROWS($2:51)-1))</f>
        <v>333.8</v>
      </c>
      <c r="L51">
        <f>IF(ROWS($2:51)&gt;COUNTIF(Operational_RawData!$A:$A,"1_Operational"),"",INDEX(Operational_RawData!L:L,MATCH("1_Operational",Operational_RawData!$A:$A,0)+ROWS($2:51)-1))</f>
        <v>333.8</v>
      </c>
      <c r="M51">
        <f>IF(ROWS($2:51)&gt;COUNTIF(Operational_RawData!$A:$A,"1_Operational"),"",INDEX(Operational_RawData!M:M,MATCH("1_Operational",Operational_RawData!$A:$A,0)+ROWS($2:51)-1))</f>
        <v>333.8</v>
      </c>
      <c r="N51">
        <f>IF(ROWS($2:51)&gt;COUNTIF(Operational_RawData!$A:$A,"1_Operational"),"",INDEX(Operational_RawData!N:N,MATCH("1_Operational",Operational_RawData!$A:$A,0)+ROWS($2:51)-1))</f>
        <v>0.1</v>
      </c>
      <c r="O51">
        <f>IF(ROWS($2:51)&gt;COUNTIF(Operational_RawData!$A:$A,"1_Operational"),"",INDEX(Operational_RawData!O:O,MATCH("1_Operational",Operational_RawData!$A:$A,0)+ROWS($2:51)-1))</f>
        <v>0.19</v>
      </c>
      <c r="P51">
        <f>IF(ROWS($2:51)&gt;COUNTIF(Operational_RawData!$A:$A,"1_Operational"),"",INDEX(Operational_RawData!P:P,MATCH("1_Operational",Operational_RawData!$A:$A,0)+ROWS($2:51)-1))</f>
        <v>0.06</v>
      </c>
      <c r="Q51">
        <f>IF(ROWS($2:51)&gt;COUNTIF(Operational_RawData!$A:$A,"1_Operational"),"",INDEX(Operational_RawData!Q:Q,MATCH("1_Operational",Operational_RawData!$A:$A,0)+ROWS($2:51)-1))</f>
        <v>0.1</v>
      </c>
      <c r="R51" t="str">
        <f>IF(ROWS($2:51)&gt;COUNTIF(Operational_RawData!$A:$A,"1_Operational"),"",INDEX(Operational_RawData!R:R,MATCH("1_Operational",Operational_RawData!$A:$A,0)+ROWS($2:51)-1))</f>
        <v>Pass</v>
      </c>
      <c r="S51">
        <f>IF(ROWS($2:51)&gt;COUNTIF(Operational_RawData!$A:$A,"1_Operational"),"",INDEX(Operational_RawData!S:S,MATCH("1_Operational",Operational_RawData!$A:$A,0)+ROWS($2:51)-1))</f>
        <v>0</v>
      </c>
      <c r="T51">
        <f>IF(ROWS($2:51)&gt;COUNTIF(Operational_RawData!$A:$A,"1_Operational"),"",INDEX(Operational_RawData!T:T,MATCH("1_Operational",Operational_RawData!$A:$A,0)+ROWS($2:51)-1))</f>
        <v>0</v>
      </c>
    </row>
    <row r="52" spans="1:20">
      <c r="A52" t="str">
        <f>IF(ROWS($2:52)&gt;COUNTIF(Operational_RawData!$A:$A,"1_Operational"),"",INDEX(Operational_RawData!A:A,MATCH("1_Operational",Operational_RawData!$A:$A,0)+ROWS($2:52)-1))</f>
        <v>1_Operational</v>
      </c>
      <c r="B52">
        <f>IF(ROWS($2:52)&gt;COUNTIF(Operational_RawData!$A:$A,"1_Operational"),"",INDEX(Operational_RawData!B:B,MATCH("1_Operational",Operational_RawData!$A:$A,0)+ROWS($2:52)-1))</f>
        <v>144816.88099999999</v>
      </c>
      <c r="C52">
        <f>IF(ROWS($2:52)&gt;COUNTIF(Operational_RawData!$A:$A,"1_Operational"),"",INDEX(Operational_RawData!C:C,MATCH("1_Operational",Operational_RawData!$A:$A,0)+ROWS($2:52)-1))</f>
        <v>37.450000000000003</v>
      </c>
      <c r="D52">
        <f>IF(ROWS($2:52)&gt;COUNTIF(Operational_RawData!$A:$A,"1_Operational"),"",INDEX(Operational_RawData!D:D,MATCH("1_Operational",Operational_RawData!$A:$A,0)+ROWS($2:52)-1))</f>
        <v>1310.385</v>
      </c>
      <c r="E52">
        <f>IF(ROWS($2:52)&gt;COUNTIF(Operational_RawData!$A:$A,"1_Operational"),"",INDEX(Operational_RawData!E:E,MATCH("1_Operational",Operational_RawData!$A:$A,0)+ROWS($2:52)-1))</f>
        <v>3.02</v>
      </c>
      <c r="F52">
        <f>IF(ROWS($2:52)&gt;COUNTIF(Operational_RawData!$A:$A,"1_Operational"),"",INDEX(Operational_RawData!F:F,MATCH("1_Operational",Operational_RawData!$A:$A,0)+ROWS($2:52)-1))</f>
        <v>230.12</v>
      </c>
      <c r="G52">
        <f>IF(ROWS($2:52)&gt;COUNTIF(Operational_RawData!$A:$A,"1_Operational"),"",INDEX(Operational_RawData!G:G,MATCH("1_Operational",Operational_RawData!$A:$A,0)+ROWS($2:52)-1))</f>
        <v>230.12</v>
      </c>
      <c r="H52">
        <f>IF(ROWS($2:52)&gt;COUNTIF(Operational_RawData!$A:$A,"1_Operational"),"",INDEX(Operational_RawData!H:H,MATCH("1_Operational",Operational_RawData!$A:$A,0)+ROWS($2:52)-1))</f>
        <v>230.12</v>
      </c>
      <c r="I52">
        <f>IF(ROWS($2:52)&gt;COUNTIF(Operational_RawData!$A:$A,"1_Operational"),"",INDEX(Operational_RawData!I:I,MATCH("1_Operational",Operational_RawData!$A:$A,0)+ROWS($2:52)-1))</f>
        <v>230.12</v>
      </c>
      <c r="J52">
        <f>IF(ROWS($2:52)&gt;COUNTIF(Operational_RawData!$A:$A,"1_Operational"),"",INDEX(Operational_RawData!J:J,MATCH("1_Operational",Operational_RawData!$A:$A,0)+ROWS($2:52)-1))</f>
        <v>335.92</v>
      </c>
      <c r="K52">
        <f>IF(ROWS($2:52)&gt;COUNTIF(Operational_RawData!$A:$A,"1_Operational"),"",INDEX(Operational_RawData!K:K,MATCH("1_Operational",Operational_RawData!$A:$A,0)+ROWS($2:52)-1))</f>
        <v>335.92</v>
      </c>
      <c r="L52">
        <f>IF(ROWS($2:52)&gt;COUNTIF(Operational_RawData!$A:$A,"1_Operational"),"",INDEX(Operational_RawData!L:L,MATCH("1_Operational",Operational_RawData!$A:$A,0)+ROWS($2:52)-1))</f>
        <v>335.92</v>
      </c>
      <c r="M52">
        <f>IF(ROWS($2:52)&gt;COUNTIF(Operational_RawData!$A:$A,"1_Operational"),"",INDEX(Operational_RawData!M:M,MATCH("1_Operational",Operational_RawData!$A:$A,0)+ROWS($2:52)-1))</f>
        <v>335.92</v>
      </c>
      <c r="N52">
        <f>IF(ROWS($2:52)&gt;COUNTIF(Operational_RawData!$A:$A,"1_Operational"),"",INDEX(Operational_RawData!N:N,MATCH("1_Operational",Operational_RawData!$A:$A,0)+ROWS($2:52)-1))</f>
        <v>0.1</v>
      </c>
      <c r="O52">
        <f>IF(ROWS($2:52)&gt;COUNTIF(Operational_RawData!$A:$A,"1_Operational"),"",INDEX(Operational_RawData!O:O,MATCH("1_Operational",Operational_RawData!$A:$A,0)+ROWS($2:52)-1))</f>
        <v>0.19</v>
      </c>
      <c r="P52">
        <f>IF(ROWS($2:52)&gt;COUNTIF(Operational_RawData!$A:$A,"1_Operational"),"",INDEX(Operational_RawData!P:P,MATCH("1_Operational",Operational_RawData!$A:$A,0)+ROWS($2:52)-1))</f>
        <v>0.06</v>
      </c>
      <c r="Q52">
        <f>IF(ROWS($2:52)&gt;COUNTIF(Operational_RawData!$A:$A,"1_Operational"),"",INDEX(Operational_RawData!Q:Q,MATCH("1_Operational",Operational_RawData!$A:$A,0)+ROWS($2:52)-1))</f>
        <v>0.1</v>
      </c>
      <c r="R52" t="str">
        <f>IF(ROWS($2:52)&gt;COUNTIF(Operational_RawData!$A:$A,"1_Operational"),"",INDEX(Operational_RawData!R:R,MATCH("1_Operational",Operational_RawData!$A:$A,0)+ROWS($2:52)-1))</f>
        <v>Pass</v>
      </c>
      <c r="S52">
        <f>IF(ROWS($2:52)&gt;COUNTIF(Operational_RawData!$A:$A,"1_Operational"),"",INDEX(Operational_RawData!S:S,MATCH("1_Operational",Operational_RawData!$A:$A,0)+ROWS($2:52)-1))</f>
        <v>0</v>
      </c>
      <c r="T52">
        <f>IF(ROWS($2:52)&gt;COUNTIF(Operational_RawData!$A:$A,"1_Operational"),"",INDEX(Operational_RawData!T:T,MATCH("1_Operational",Operational_RawData!$A:$A,0)+ROWS($2:52)-1))</f>
        <v>0</v>
      </c>
    </row>
    <row r="53" spans="1:20">
      <c r="A53" t="str">
        <f>IF(ROWS($2:53)&gt;COUNTIF(Operational_RawData!$A:$A,"1_Operational"),"",INDEX(Operational_RawData!A:A,MATCH("1_Operational",Operational_RawData!$A:$A,0)+ROWS($2:53)-1))</f>
        <v>1_Operational</v>
      </c>
      <c r="B53">
        <f>IF(ROWS($2:53)&gt;COUNTIF(Operational_RawData!$A:$A,"1_Operational"),"",INDEX(Operational_RawData!B:B,MATCH("1_Operational",Operational_RawData!$A:$A,0)+ROWS($2:53)-1))</f>
        <v>144821.886</v>
      </c>
      <c r="C53">
        <f>IF(ROWS($2:53)&gt;COUNTIF(Operational_RawData!$A:$A,"1_Operational"),"",INDEX(Operational_RawData!C:C,MATCH("1_Operational",Operational_RawData!$A:$A,0)+ROWS($2:53)-1))</f>
        <v>38.18</v>
      </c>
      <c r="D53">
        <f>IF(ROWS($2:53)&gt;COUNTIF(Operational_RawData!$A:$A,"1_Operational"),"",INDEX(Operational_RawData!D:D,MATCH("1_Operational",Operational_RawData!$A:$A,0)+ROWS($2:53)-1))</f>
        <v>1310.4570000000001</v>
      </c>
      <c r="E53">
        <f>IF(ROWS($2:53)&gt;COUNTIF(Operational_RawData!$A:$A,"1_Operational"),"",INDEX(Operational_RawData!E:E,MATCH("1_Operational",Operational_RawData!$A:$A,0)+ROWS($2:53)-1))</f>
        <v>2.87</v>
      </c>
      <c r="F53">
        <f>IF(ROWS($2:53)&gt;COUNTIF(Operational_RawData!$A:$A,"1_Operational"),"",INDEX(Operational_RawData!F:F,MATCH("1_Operational",Operational_RawData!$A:$A,0)+ROWS($2:53)-1))</f>
        <v>231.48</v>
      </c>
      <c r="G53">
        <f>IF(ROWS($2:53)&gt;COUNTIF(Operational_RawData!$A:$A,"1_Operational"),"",INDEX(Operational_RawData!G:G,MATCH("1_Operational",Operational_RawData!$A:$A,0)+ROWS($2:53)-1))</f>
        <v>231.48</v>
      </c>
      <c r="H53">
        <f>IF(ROWS($2:53)&gt;COUNTIF(Operational_RawData!$A:$A,"1_Operational"),"",INDEX(Operational_RawData!H:H,MATCH("1_Operational",Operational_RawData!$A:$A,0)+ROWS($2:53)-1))</f>
        <v>231.48</v>
      </c>
      <c r="I53">
        <f>IF(ROWS($2:53)&gt;COUNTIF(Operational_RawData!$A:$A,"1_Operational"),"",INDEX(Operational_RawData!I:I,MATCH("1_Operational",Operational_RawData!$A:$A,0)+ROWS($2:53)-1))</f>
        <v>231.48</v>
      </c>
      <c r="J53">
        <f>IF(ROWS($2:53)&gt;COUNTIF(Operational_RawData!$A:$A,"1_Operational"),"",INDEX(Operational_RawData!J:J,MATCH("1_Operational",Operational_RawData!$A:$A,0)+ROWS($2:53)-1))</f>
        <v>338.16</v>
      </c>
      <c r="K53">
        <f>IF(ROWS($2:53)&gt;COUNTIF(Operational_RawData!$A:$A,"1_Operational"),"",INDEX(Operational_RawData!K:K,MATCH("1_Operational",Operational_RawData!$A:$A,0)+ROWS($2:53)-1))</f>
        <v>338.16</v>
      </c>
      <c r="L53">
        <f>IF(ROWS($2:53)&gt;COUNTIF(Operational_RawData!$A:$A,"1_Operational"),"",INDEX(Operational_RawData!L:L,MATCH("1_Operational",Operational_RawData!$A:$A,0)+ROWS($2:53)-1))</f>
        <v>338.16</v>
      </c>
      <c r="M53">
        <f>IF(ROWS($2:53)&gt;COUNTIF(Operational_RawData!$A:$A,"1_Operational"),"",INDEX(Operational_RawData!M:M,MATCH("1_Operational",Operational_RawData!$A:$A,0)+ROWS($2:53)-1))</f>
        <v>338.16</v>
      </c>
      <c r="N53">
        <f>IF(ROWS($2:53)&gt;COUNTIF(Operational_RawData!$A:$A,"1_Operational"),"",INDEX(Operational_RawData!N:N,MATCH("1_Operational",Operational_RawData!$A:$A,0)+ROWS($2:53)-1))</f>
        <v>0.1</v>
      </c>
      <c r="O53">
        <f>IF(ROWS($2:53)&gt;COUNTIF(Operational_RawData!$A:$A,"1_Operational"),"",INDEX(Operational_RawData!O:O,MATCH("1_Operational",Operational_RawData!$A:$A,0)+ROWS($2:53)-1))</f>
        <v>0.19</v>
      </c>
      <c r="P53">
        <f>IF(ROWS($2:53)&gt;COUNTIF(Operational_RawData!$A:$A,"1_Operational"),"",INDEX(Operational_RawData!P:P,MATCH("1_Operational",Operational_RawData!$A:$A,0)+ROWS($2:53)-1))</f>
        <v>0.06</v>
      </c>
      <c r="Q53">
        <f>IF(ROWS($2:53)&gt;COUNTIF(Operational_RawData!$A:$A,"1_Operational"),"",INDEX(Operational_RawData!Q:Q,MATCH("1_Operational",Operational_RawData!$A:$A,0)+ROWS($2:53)-1))</f>
        <v>0.1</v>
      </c>
      <c r="R53" t="str">
        <f>IF(ROWS($2:53)&gt;COUNTIF(Operational_RawData!$A:$A,"1_Operational"),"",INDEX(Operational_RawData!R:R,MATCH("1_Operational",Operational_RawData!$A:$A,0)+ROWS($2:53)-1))</f>
        <v>Pass</v>
      </c>
      <c r="S53">
        <f>IF(ROWS($2:53)&gt;COUNTIF(Operational_RawData!$A:$A,"1_Operational"),"",INDEX(Operational_RawData!S:S,MATCH("1_Operational",Operational_RawData!$A:$A,0)+ROWS($2:53)-1))</f>
        <v>0</v>
      </c>
      <c r="T53">
        <f>IF(ROWS($2:53)&gt;COUNTIF(Operational_RawData!$A:$A,"1_Operational"),"",INDEX(Operational_RawData!T:T,MATCH("1_Operational",Operational_RawData!$A:$A,0)+ROWS($2:53)-1))</f>
        <v>0</v>
      </c>
    </row>
    <row r="54" spans="1:20">
      <c r="A54" t="str">
        <f>IF(ROWS($2:54)&gt;COUNTIF(Operational_RawData!$A:$A,"1_Operational"),"",INDEX(Operational_RawData!A:A,MATCH("1_Operational",Operational_RawData!$A:$A,0)+ROWS($2:54)-1))</f>
        <v>1_Operational</v>
      </c>
      <c r="B54">
        <f>IF(ROWS($2:54)&gt;COUNTIF(Operational_RawData!$A:$A,"1_Operational"),"",INDEX(Operational_RawData!B:B,MATCH("1_Operational",Operational_RawData!$A:$A,0)+ROWS($2:54)-1))</f>
        <v>144826.88500000001</v>
      </c>
      <c r="C54">
        <f>IF(ROWS($2:54)&gt;COUNTIF(Operational_RawData!$A:$A,"1_Operational"),"",INDEX(Operational_RawData!C:C,MATCH("1_Operational",Operational_RawData!$A:$A,0)+ROWS($2:54)-1))</f>
        <v>38.950000000000003</v>
      </c>
      <c r="D54">
        <f>IF(ROWS($2:54)&gt;COUNTIF(Operational_RawData!$A:$A,"1_Operational"),"",INDEX(Operational_RawData!D:D,MATCH("1_Operational",Operational_RawData!$A:$A,0)+ROWS($2:54)-1))</f>
        <v>1310.53</v>
      </c>
      <c r="E54">
        <f>IF(ROWS($2:54)&gt;COUNTIF(Operational_RawData!$A:$A,"1_Operational"),"",INDEX(Operational_RawData!E:E,MATCH("1_Operational",Operational_RawData!$A:$A,0)+ROWS($2:54)-1))</f>
        <v>2.87</v>
      </c>
      <c r="F54">
        <f>IF(ROWS($2:54)&gt;COUNTIF(Operational_RawData!$A:$A,"1_Operational"),"",INDEX(Operational_RawData!F:F,MATCH("1_Operational",Operational_RawData!$A:$A,0)+ROWS($2:54)-1))</f>
        <v>232.84</v>
      </c>
      <c r="G54">
        <f>IF(ROWS($2:54)&gt;COUNTIF(Operational_RawData!$A:$A,"1_Operational"),"",INDEX(Operational_RawData!G:G,MATCH("1_Operational",Operational_RawData!$A:$A,0)+ROWS($2:54)-1))</f>
        <v>232.84</v>
      </c>
      <c r="H54">
        <f>IF(ROWS($2:54)&gt;COUNTIF(Operational_RawData!$A:$A,"1_Operational"),"",INDEX(Operational_RawData!H:H,MATCH("1_Operational",Operational_RawData!$A:$A,0)+ROWS($2:54)-1))</f>
        <v>232.84</v>
      </c>
      <c r="I54">
        <f>IF(ROWS($2:54)&gt;COUNTIF(Operational_RawData!$A:$A,"1_Operational"),"",INDEX(Operational_RawData!I:I,MATCH("1_Operational",Operational_RawData!$A:$A,0)+ROWS($2:54)-1))</f>
        <v>232.84</v>
      </c>
      <c r="J54">
        <f>IF(ROWS($2:54)&gt;COUNTIF(Operational_RawData!$A:$A,"1_Operational"),"",INDEX(Operational_RawData!J:J,MATCH("1_Operational",Operational_RawData!$A:$A,0)+ROWS($2:54)-1))</f>
        <v>340.36</v>
      </c>
      <c r="K54">
        <f>IF(ROWS($2:54)&gt;COUNTIF(Operational_RawData!$A:$A,"1_Operational"),"",INDEX(Operational_RawData!K:K,MATCH("1_Operational",Operational_RawData!$A:$A,0)+ROWS($2:54)-1))</f>
        <v>340.36</v>
      </c>
      <c r="L54">
        <f>IF(ROWS($2:54)&gt;COUNTIF(Operational_RawData!$A:$A,"1_Operational"),"",INDEX(Operational_RawData!L:L,MATCH("1_Operational",Operational_RawData!$A:$A,0)+ROWS($2:54)-1))</f>
        <v>340.36</v>
      </c>
      <c r="M54">
        <f>IF(ROWS($2:54)&gt;COUNTIF(Operational_RawData!$A:$A,"1_Operational"),"",INDEX(Operational_RawData!M:M,MATCH("1_Operational",Operational_RawData!$A:$A,0)+ROWS($2:54)-1))</f>
        <v>340.36</v>
      </c>
      <c r="N54">
        <f>IF(ROWS($2:54)&gt;COUNTIF(Operational_RawData!$A:$A,"1_Operational"),"",INDEX(Operational_RawData!N:N,MATCH("1_Operational",Operational_RawData!$A:$A,0)+ROWS($2:54)-1))</f>
        <v>0.09</v>
      </c>
      <c r="O54">
        <f>IF(ROWS($2:54)&gt;COUNTIF(Operational_RawData!$A:$A,"1_Operational"),"",INDEX(Operational_RawData!O:O,MATCH("1_Operational",Operational_RawData!$A:$A,0)+ROWS($2:54)-1))</f>
        <v>0.19</v>
      </c>
      <c r="P54">
        <f>IF(ROWS($2:54)&gt;COUNTIF(Operational_RawData!$A:$A,"1_Operational"),"",INDEX(Operational_RawData!P:P,MATCH("1_Operational",Operational_RawData!$A:$A,0)+ROWS($2:54)-1))</f>
        <v>0.06</v>
      </c>
      <c r="Q54">
        <f>IF(ROWS($2:54)&gt;COUNTIF(Operational_RawData!$A:$A,"1_Operational"),"",INDEX(Operational_RawData!Q:Q,MATCH("1_Operational",Operational_RawData!$A:$A,0)+ROWS($2:54)-1))</f>
        <v>0.1</v>
      </c>
      <c r="R54" t="str">
        <f>IF(ROWS($2:54)&gt;COUNTIF(Operational_RawData!$A:$A,"1_Operational"),"",INDEX(Operational_RawData!R:R,MATCH("1_Operational",Operational_RawData!$A:$A,0)+ROWS($2:54)-1))</f>
        <v>Pass</v>
      </c>
      <c r="S54">
        <f>IF(ROWS($2:54)&gt;COUNTIF(Operational_RawData!$A:$A,"1_Operational"),"",INDEX(Operational_RawData!S:S,MATCH("1_Operational",Operational_RawData!$A:$A,0)+ROWS($2:54)-1))</f>
        <v>0</v>
      </c>
      <c r="T54">
        <f>IF(ROWS($2:54)&gt;COUNTIF(Operational_RawData!$A:$A,"1_Operational"),"",INDEX(Operational_RawData!T:T,MATCH("1_Operational",Operational_RawData!$A:$A,0)+ROWS($2:54)-1))</f>
        <v>0</v>
      </c>
    </row>
    <row r="55" spans="1:20">
      <c r="A55" t="str">
        <f>IF(ROWS($2:55)&gt;COUNTIF(Operational_RawData!$A:$A,"1_Operational"),"",INDEX(Operational_RawData!A:A,MATCH("1_Operational",Operational_RawData!$A:$A,0)+ROWS($2:55)-1))</f>
        <v>1_Operational</v>
      </c>
      <c r="B55">
        <f>IF(ROWS($2:55)&gt;COUNTIF(Operational_RawData!$A:$A,"1_Operational"),"",INDEX(Operational_RawData!B:B,MATCH("1_Operational",Operational_RawData!$A:$A,0)+ROWS($2:55)-1))</f>
        <v>144831.88500000001</v>
      </c>
      <c r="C55">
        <f>IF(ROWS($2:55)&gt;COUNTIF(Operational_RawData!$A:$A,"1_Operational"),"",INDEX(Operational_RawData!C:C,MATCH("1_Operational",Operational_RawData!$A:$A,0)+ROWS($2:55)-1))</f>
        <v>39.700000000000003</v>
      </c>
      <c r="D55">
        <f>IF(ROWS($2:55)&gt;COUNTIF(Operational_RawData!$A:$A,"1_Operational"),"",INDEX(Operational_RawData!D:D,MATCH("1_Operational",Operational_RawData!$A:$A,0)+ROWS($2:55)-1))</f>
        <v>1310.597</v>
      </c>
      <c r="E55">
        <f>IF(ROWS($2:55)&gt;COUNTIF(Operational_RawData!$A:$A,"1_Operational"),"",INDEX(Operational_RawData!E:E,MATCH("1_Operational",Operational_RawData!$A:$A,0)+ROWS($2:55)-1))</f>
        <v>2.86</v>
      </c>
      <c r="F55">
        <f>IF(ROWS($2:55)&gt;COUNTIF(Operational_RawData!$A:$A,"1_Operational"),"",INDEX(Operational_RawData!F:F,MATCH("1_Operational",Operational_RawData!$A:$A,0)+ROWS($2:55)-1))</f>
        <v>234.6</v>
      </c>
      <c r="G55">
        <f>IF(ROWS($2:55)&gt;COUNTIF(Operational_RawData!$A:$A,"1_Operational"),"",INDEX(Operational_RawData!G:G,MATCH("1_Operational",Operational_RawData!$A:$A,0)+ROWS($2:55)-1))</f>
        <v>234.6</v>
      </c>
      <c r="H55">
        <f>IF(ROWS($2:55)&gt;COUNTIF(Operational_RawData!$A:$A,"1_Operational"),"",INDEX(Operational_RawData!H:H,MATCH("1_Operational",Operational_RawData!$A:$A,0)+ROWS($2:55)-1))</f>
        <v>234.6</v>
      </c>
      <c r="I55">
        <f>IF(ROWS($2:55)&gt;COUNTIF(Operational_RawData!$A:$A,"1_Operational"),"",INDEX(Operational_RawData!I:I,MATCH("1_Operational",Operational_RawData!$A:$A,0)+ROWS($2:55)-1))</f>
        <v>234.6</v>
      </c>
      <c r="J55">
        <f>IF(ROWS($2:55)&gt;COUNTIF(Operational_RawData!$A:$A,"1_Operational"),"",INDEX(Operational_RawData!J:J,MATCH("1_Operational",Operational_RawData!$A:$A,0)+ROWS($2:55)-1))</f>
        <v>343</v>
      </c>
      <c r="K55">
        <f>IF(ROWS($2:55)&gt;COUNTIF(Operational_RawData!$A:$A,"1_Operational"),"",INDEX(Operational_RawData!K:K,MATCH("1_Operational",Operational_RawData!$A:$A,0)+ROWS($2:55)-1))</f>
        <v>343</v>
      </c>
      <c r="L55">
        <f>IF(ROWS($2:55)&gt;COUNTIF(Operational_RawData!$A:$A,"1_Operational"),"",INDEX(Operational_RawData!L:L,MATCH("1_Operational",Operational_RawData!$A:$A,0)+ROWS($2:55)-1))</f>
        <v>343</v>
      </c>
      <c r="M55">
        <f>IF(ROWS($2:55)&gt;COUNTIF(Operational_RawData!$A:$A,"1_Operational"),"",INDEX(Operational_RawData!M:M,MATCH("1_Operational",Operational_RawData!$A:$A,0)+ROWS($2:55)-1))</f>
        <v>343</v>
      </c>
      <c r="N55">
        <f>IF(ROWS($2:55)&gt;COUNTIF(Operational_RawData!$A:$A,"1_Operational"),"",INDEX(Operational_RawData!N:N,MATCH("1_Operational",Operational_RawData!$A:$A,0)+ROWS($2:55)-1))</f>
        <v>0.09</v>
      </c>
      <c r="O55">
        <f>IF(ROWS($2:55)&gt;COUNTIF(Operational_RawData!$A:$A,"1_Operational"),"",INDEX(Operational_RawData!O:O,MATCH("1_Operational",Operational_RawData!$A:$A,0)+ROWS($2:55)-1))</f>
        <v>0.19</v>
      </c>
      <c r="P55">
        <f>IF(ROWS($2:55)&gt;COUNTIF(Operational_RawData!$A:$A,"1_Operational"),"",INDEX(Operational_RawData!P:P,MATCH("1_Operational",Operational_RawData!$A:$A,0)+ROWS($2:55)-1))</f>
        <v>0.06</v>
      </c>
      <c r="Q55">
        <f>IF(ROWS($2:55)&gt;COUNTIF(Operational_RawData!$A:$A,"1_Operational"),"",INDEX(Operational_RawData!Q:Q,MATCH("1_Operational",Operational_RawData!$A:$A,0)+ROWS($2:55)-1))</f>
        <v>0.1</v>
      </c>
      <c r="R55" t="str">
        <f>IF(ROWS($2:55)&gt;COUNTIF(Operational_RawData!$A:$A,"1_Operational"),"",INDEX(Operational_RawData!R:R,MATCH("1_Operational",Operational_RawData!$A:$A,0)+ROWS($2:55)-1))</f>
        <v>Pass</v>
      </c>
      <c r="S55">
        <f>IF(ROWS($2:55)&gt;COUNTIF(Operational_RawData!$A:$A,"1_Operational"),"",INDEX(Operational_RawData!S:S,MATCH("1_Operational",Operational_RawData!$A:$A,0)+ROWS($2:55)-1))</f>
        <v>0</v>
      </c>
      <c r="T55">
        <f>IF(ROWS($2:55)&gt;COUNTIF(Operational_RawData!$A:$A,"1_Operational"),"",INDEX(Operational_RawData!T:T,MATCH("1_Operational",Operational_RawData!$A:$A,0)+ROWS($2:55)-1))</f>
        <v>0</v>
      </c>
    </row>
    <row r="56" spans="1:20">
      <c r="A56" t="str">
        <f>IF(ROWS($2:56)&gt;COUNTIF(Operational_RawData!$A:$A,"1_Operational"),"",INDEX(Operational_RawData!A:A,MATCH("1_Operational",Operational_RawData!$A:$A,0)+ROWS($2:56)-1))</f>
        <v>1_Operational</v>
      </c>
      <c r="B56">
        <f>IF(ROWS($2:56)&gt;COUNTIF(Operational_RawData!$A:$A,"1_Operational"),"",INDEX(Operational_RawData!B:B,MATCH("1_Operational",Operational_RawData!$A:$A,0)+ROWS($2:56)-1))</f>
        <v>144836.88800000001</v>
      </c>
      <c r="C56">
        <f>IF(ROWS($2:56)&gt;COUNTIF(Operational_RawData!$A:$A,"1_Operational"),"",INDEX(Operational_RawData!C:C,MATCH("1_Operational",Operational_RawData!$A:$A,0)+ROWS($2:56)-1))</f>
        <v>40.44</v>
      </c>
      <c r="D56">
        <f>IF(ROWS($2:56)&gt;COUNTIF(Operational_RawData!$A:$A,"1_Operational"),"",INDEX(Operational_RawData!D:D,MATCH("1_Operational",Operational_RawData!$A:$A,0)+ROWS($2:56)-1))</f>
        <v>1310.672</v>
      </c>
      <c r="E56">
        <f>IF(ROWS($2:56)&gt;COUNTIF(Operational_RawData!$A:$A,"1_Operational"),"",INDEX(Operational_RawData!E:E,MATCH("1_Operational",Operational_RawData!$A:$A,0)+ROWS($2:56)-1))</f>
        <v>2.85</v>
      </c>
      <c r="F56">
        <f>IF(ROWS($2:56)&gt;COUNTIF(Operational_RawData!$A:$A,"1_Operational"),"",INDEX(Operational_RawData!F:F,MATCH("1_Operational",Operational_RawData!$A:$A,0)+ROWS($2:56)-1))</f>
        <v>236.24</v>
      </c>
      <c r="G56">
        <f>IF(ROWS($2:56)&gt;COUNTIF(Operational_RawData!$A:$A,"1_Operational"),"",INDEX(Operational_RawData!G:G,MATCH("1_Operational",Operational_RawData!$A:$A,0)+ROWS($2:56)-1))</f>
        <v>236.24</v>
      </c>
      <c r="H56">
        <f>IF(ROWS($2:56)&gt;COUNTIF(Operational_RawData!$A:$A,"1_Operational"),"",INDEX(Operational_RawData!H:H,MATCH("1_Operational",Operational_RawData!$A:$A,0)+ROWS($2:56)-1))</f>
        <v>236.24</v>
      </c>
      <c r="I56">
        <f>IF(ROWS($2:56)&gt;COUNTIF(Operational_RawData!$A:$A,"1_Operational"),"",INDEX(Operational_RawData!I:I,MATCH("1_Operational",Operational_RawData!$A:$A,0)+ROWS($2:56)-1))</f>
        <v>236.24</v>
      </c>
      <c r="J56">
        <f>IF(ROWS($2:56)&gt;COUNTIF(Operational_RawData!$A:$A,"1_Operational"),"",INDEX(Operational_RawData!J:J,MATCH("1_Operational",Operational_RawData!$A:$A,0)+ROWS($2:56)-1))</f>
        <v>345.6</v>
      </c>
      <c r="K56">
        <f>IF(ROWS($2:56)&gt;COUNTIF(Operational_RawData!$A:$A,"1_Operational"),"",INDEX(Operational_RawData!K:K,MATCH("1_Operational",Operational_RawData!$A:$A,0)+ROWS($2:56)-1))</f>
        <v>345.6</v>
      </c>
      <c r="L56">
        <f>IF(ROWS($2:56)&gt;COUNTIF(Operational_RawData!$A:$A,"1_Operational"),"",INDEX(Operational_RawData!L:L,MATCH("1_Operational",Operational_RawData!$A:$A,0)+ROWS($2:56)-1))</f>
        <v>345.6</v>
      </c>
      <c r="M56">
        <f>IF(ROWS($2:56)&gt;COUNTIF(Operational_RawData!$A:$A,"1_Operational"),"",INDEX(Operational_RawData!M:M,MATCH("1_Operational",Operational_RawData!$A:$A,0)+ROWS($2:56)-1))</f>
        <v>345.6</v>
      </c>
      <c r="N56">
        <f>IF(ROWS($2:56)&gt;COUNTIF(Operational_RawData!$A:$A,"1_Operational"),"",INDEX(Operational_RawData!N:N,MATCH("1_Operational",Operational_RawData!$A:$A,0)+ROWS($2:56)-1))</f>
        <v>0.1</v>
      </c>
      <c r="O56">
        <f>IF(ROWS($2:56)&gt;COUNTIF(Operational_RawData!$A:$A,"1_Operational"),"",INDEX(Operational_RawData!O:O,MATCH("1_Operational",Operational_RawData!$A:$A,0)+ROWS($2:56)-1))</f>
        <v>0.19</v>
      </c>
      <c r="P56">
        <f>IF(ROWS($2:56)&gt;COUNTIF(Operational_RawData!$A:$A,"1_Operational"),"",INDEX(Operational_RawData!P:P,MATCH("1_Operational",Operational_RawData!$A:$A,0)+ROWS($2:56)-1))</f>
        <v>0.06</v>
      </c>
      <c r="Q56">
        <f>IF(ROWS($2:56)&gt;COUNTIF(Operational_RawData!$A:$A,"1_Operational"),"",INDEX(Operational_RawData!Q:Q,MATCH("1_Operational",Operational_RawData!$A:$A,0)+ROWS($2:56)-1))</f>
        <v>0.1</v>
      </c>
      <c r="R56" t="str">
        <f>IF(ROWS($2:56)&gt;COUNTIF(Operational_RawData!$A:$A,"1_Operational"),"",INDEX(Operational_RawData!R:R,MATCH("1_Operational",Operational_RawData!$A:$A,0)+ROWS($2:56)-1))</f>
        <v>Pass</v>
      </c>
      <c r="S56">
        <f>IF(ROWS($2:56)&gt;COUNTIF(Operational_RawData!$A:$A,"1_Operational"),"",INDEX(Operational_RawData!S:S,MATCH("1_Operational",Operational_RawData!$A:$A,0)+ROWS($2:56)-1))</f>
        <v>0</v>
      </c>
      <c r="T56">
        <f>IF(ROWS($2:56)&gt;COUNTIF(Operational_RawData!$A:$A,"1_Operational"),"",INDEX(Operational_RawData!T:T,MATCH("1_Operational",Operational_RawData!$A:$A,0)+ROWS($2:56)-1))</f>
        <v>0</v>
      </c>
    </row>
    <row r="57" spans="1:20">
      <c r="A57" t="str">
        <f>IF(ROWS($2:57)&gt;COUNTIF(Operational_RawData!$A:$A,"1_Operational"),"",INDEX(Operational_RawData!A:A,MATCH("1_Operational",Operational_RawData!$A:$A,0)+ROWS($2:57)-1))</f>
        <v>1_Operational</v>
      </c>
      <c r="B57">
        <f>IF(ROWS($2:57)&gt;COUNTIF(Operational_RawData!$A:$A,"1_Operational"),"",INDEX(Operational_RawData!B:B,MATCH("1_Operational",Operational_RawData!$A:$A,0)+ROWS($2:57)-1))</f>
        <v>144841.88500000001</v>
      </c>
      <c r="C57">
        <f>IF(ROWS($2:57)&gt;COUNTIF(Operational_RawData!$A:$A,"1_Operational"),"",INDEX(Operational_RawData!C:C,MATCH("1_Operational",Operational_RawData!$A:$A,0)+ROWS($2:57)-1))</f>
        <v>41.2</v>
      </c>
      <c r="D57">
        <f>IF(ROWS($2:57)&gt;COUNTIF(Operational_RawData!$A:$A,"1_Operational"),"",INDEX(Operational_RawData!D:D,MATCH("1_Operational",Operational_RawData!$A:$A,0)+ROWS($2:57)-1))</f>
        <v>1310.7550000000001</v>
      </c>
      <c r="E57">
        <f>IF(ROWS($2:57)&gt;COUNTIF(Operational_RawData!$A:$A,"1_Operational"),"",INDEX(Operational_RawData!E:E,MATCH("1_Operational",Operational_RawData!$A:$A,0)+ROWS($2:57)-1))</f>
        <v>2.86</v>
      </c>
      <c r="F57">
        <f>IF(ROWS($2:57)&gt;COUNTIF(Operational_RawData!$A:$A,"1_Operational"),"",INDEX(Operational_RawData!F:F,MATCH("1_Operational",Operational_RawData!$A:$A,0)+ROWS($2:57)-1))</f>
        <v>238.2</v>
      </c>
      <c r="G57">
        <f>IF(ROWS($2:57)&gt;COUNTIF(Operational_RawData!$A:$A,"1_Operational"),"",INDEX(Operational_RawData!G:G,MATCH("1_Operational",Operational_RawData!$A:$A,0)+ROWS($2:57)-1))</f>
        <v>238.2</v>
      </c>
      <c r="H57">
        <f>IF(ROWS($2:57)&gt;COUNTIF(Operational_RawData!$A:$A,"1_Operational"),"",INDEX(Operational_RawData!H:H,MATCH("1_Operational",Operational_RawData!$A:$A,0)+ROWS($2:57)-1))</f>
        <v>238.2</v>
      </c>
      <c r="I57">
        <f>IF(ROWS($2:57)&gt;COUNTIF(Operational_RawData!$A:$A,"1_Operational"),"",INDEX(Operational_RawData!I:I,MATCH("1_Operational",Operational_RawData!$A:$A,0)+ROWS($2:57)-1))</f>
        <v>238.2</v>
      </c>
      <c r="J57">
        <f>IF(ROWS($2:57)&gt;COUNTIF(Operational_RawData!$A:$A,"1_Operational"),"",INDEX(Operational_RawData!J:J,MATCH("1_Operational",Operational_RawData!$A:$A,0)+ROWS($2:57)-1))</f>
        <v>348.52</v>
      </c>
      <c r="K57">
        <f>IF(ROWS($2:57)&gt;COUNTIF(Operational_RawData!$A:$A,"1_Operational"),"",INDEX(Operational_RawData!K:K,MATCH("1_Operational",Operational_RawData!$A:$A,0)+ROWS($2:57)-1))</f>
        <v>348.52</v>
      </c>
      <c r="L57">
        <f>IF(ROWS($2:57)&gt;COUNTIF(Operational_RawData!$A:$A,"1_Operational"),"",INDEX(Operational_RawData!L:L,MATCH("1_Operational",Operational_RawData!$A:$A,0)+ROWS($2:57)-1))</f>
        <v>348.52</v>
      </c>
      <c r="M57">
        <f>IF(ROWS($2:57)&gt;COUNTIF(Operational_RawData!$A:$A,"1_Operational"),"",INDEX(Operational_RawData!M:M,MATCH("1_Operational",Operational_RawData!$A:$A,0)+ROWS($2:57)-1))</f>
        <v>348.52</v>
      </c>
      <c r="N57">
        <f>IF(ROWS($2:57)&gt;COUNTIF(Operational_RawData!$A:$A,"1_Operational"),"",INDEX(Operational_RawData!N:N,MATCH("1_Operational",Operational_RawData!$A:$A,0)+ROWS($2:57)-1))</f>
        <v>0.11</v>
      </c>
      <c r="O57">
        <f>IF(ROWS($2:57)&gt;COUNTIF(Operational_RawData!$A:$A,"1_Operational"),"",INDEX(Operational_RawData!O:O,MATCH("1_Operational",Operational_RawData!$A:$A,0)+ROWS($2:57)-1))</f>
        <v>0.19</v>
      </c>
      <c r="P57">
        <f>IF(ROWS($2:57)&gt;COUNTIF(Operational_RawData!$A:$A,"1_Operational"),"",INDEX(Operational_RawData!P:P,MATCH("1_Operational",Operational_RawData!$A:$A,0)+ROWS($2:57)-1))</f>
        <v>0.06</v>
      </c>
      <c r="Q57">
        <f>IF(ROWS($2:57)&gt;COUNTIF(Operational_RawData!$A:$A,"1_Operational"),"",INDEX(Operational_RawData!Q:Q,MATCH("1_Operational",Operational_RawData!$A:$A,0)+ROWS($2:57)-1))</f>
        <v>0.1</v>
      </c>
      <c r="R57" t="str">
        <f>IF(ROWS($2:57)&gt;COUNTIF(Operational_RawData!$A:$A,"1_Operational"),"",INDEX(Operational_RawData!R:R,MATCH("1_Operational",Operational_RawData!$A:$A,0)+ROWS($2:57)-1))</f>
        <v>Pass</v>
      </c>
      <c r="S57">
        <f>IF(ROWS($2:57)&gt;COUNTIF(Operational_RawData!$A:$A,"1_Operational"),"",INDEX(Operational_RawData!S:S,MATCH("1_Operational",Operational_RawData!$A:$A,0)+ROWS($2:57)-1))</f>
        <v>0</v>
      </c>
      <c r="T57">
        <f>IF(ROWS($2:57)&gt;COUNTIF(Operational_RawData!$A:$A,"1_Operational"),"",INDEX(Operational_RawData!T:T,MATCH("1_Operational",Operational_RawData!$A:$A,0)+ROWS($2:57)-1))</f>
        <v>0</v>
      </c>
    </row>
    <row r="58" spans="1:20">
      <c r="A58" t="str">
        <f>IF(ROWS($2:58)&gt;COUNTIF(Operational_RawData!$A:$A,"1_Operational"),"",INDEX(Operational_RawData!A:A,MATCH("1_Operational",Operational_RawData!$A:$A,0)+ROWS($2:58)-1))</f>
        <v>1_Operational</v>
      </c>
      <c r="B58">
        <f>IF(ROWS($2:58)&gt;COUNTIF(Operational_RawData!$A:$A,"1_Operational"),"",INDEX(Operational_RawData!B:B,MATCH("1_Operational",Operational_RawData!$A:$A,0)+ROWS($2:58)-1))</f>
        <v>144846.88</v>
      </c>
      <c r="C58">
        <f>IF(ROWS($2:58)&gt;COUNTIF(Operational_RawData!$A:$A,"1_Operational"),"",INDEX(Operational_RawData!C:C,MATCH("1_Operational",Operational_RawData!$A:$A,0)+ROWS($2:58)-1))</f>
        <v>41.93</v>
      </c>
      <c r="D58">
        <f>IF(ROWS($2:58)&gt;COUNTIF(Operational_RawData!$A:$A,"1_Operational"),"",INDEX(Operational_RawData!D:D,MATCH("1_Operational",Operational_RawData!$A:$A,0)+ROWS($2:58)-1))</f>
        <v>1310.8330000000001</v>
      </c>
      <c r="E58">
        <f>IF(ROWS($2:58)&gt;COUNTIF(Operational_RawData!$A:$A,"1_Operational"),"",INDEX(Operational_RawData!E:E,MATCH("1_Operational",Operational_RawData!$A:$A,0)+ROWS($2:58)-1))</f>
        <v>2.77</v>
      </c>
      <c r="F58">
        <f>IF(ROWS($2:58)&gt;COUNTIF(Operational_RawData!$A:$A,"1_Operational"),"",INDEX(Operational_RawData!F:F,MATCH("1_Operational",Operational_RawData!$A:$A,0)+ROWS($2:58)-1))</f>
        <v>240.04</v>
      </c>
      <c r="G58">
        <f>IF(ROWS($2:58)&gt;COUNTIF(Operational_RawData!$A:$A,"1_Operational"),"",INDEX(Operational_RawData!G:G,MATCH("1_Operational",Operational_RawData!$A:$A,0)+ROWS($2:58)-1))</f>
        <v>240.04</v>
      </c>
      <c r="H58">
        <f>IF(ROWS($2:58)&gt;COUNTIF(Operational_RawData!$A:$A,"1_Operational"),"",INDEX(Operational_RawData!H:H,MATCH("1_Operational",Operational_RawData!$A:$A,0)+ROWS($2:58)-1))</f>
        <v>240.04</v>
      </c>
      <c r="I58">
        <f>IF(ROWS($2:58)&gt;COUNTIF(Operational_RawData!$A:$A,"1_Operational"),"",INDEX(Operational_RawData!I:I,MATCH("1_Operational",Operational_RawData!$A:$A,0)+ROWS($2:58)-1))</f>
        <v>240.04</v>
      </c>
      <c r="J58">
        <f>IF(ROWS($2:58)&gt;COUNTIF(Operational_RawData!$A:$A,"1_Operational"),"",INDEX(Operational_RawData!J:J,MATCH("1_Operational",Operational_RawData!$A:$A,0)+ROWS($2:58)-1))</f>
        <v>351.32</v>
      </c>
      <c r="K58">
        <f>IF(ROWS($2:58)&gt;COUNTIF(Operational_RawData!$A:$A,"1_Operational"),"",INDEX(Operational_RawData!K:K,MATCH("1_Operational",Operational_RawData!$A:$A,0)+ROWS($2:58)-1))</f>
        <v>351.32</v>
      </c>
      <c r="L58">
        <f>IF(ROWS($2:58)&gt;COUNTIF(Operational_RawData!$A:$A,"1_Operational"),"",INDEX(Operational_RawData!L:L,MATCH("1_Operational",Operational_RawData!$A:$A,0)+ROWS($2:58)-1))</f>
        <v>351.32</v>
      </c>
      <c r="M58">
        <f>IF(ROWS($2:58)&gt;COUNTIF(Operational_RawData!$A:$A,"1_Operational"),"",INDEX(Operational_RawData!M:M,MATCH("1_Operational",Operational_RawData!$A:$A,0)+ROWS($2:58)-1))</f>
        <v>351.32</v>
      </c>
      <c r="N58">
        <f>IF(ROWS($2:58)&gt;COUNTIF(Operational_RawData!$A:$A,"1_Operational"),"",INDEX(Operational_RawData!N:N,MATCH("1_Operational",Operational_RawData!$A:$A,0)+ROWS($2:58)-1))</f>
        <v>0.11</v>
      </c>
      <c r="O58">
        <f>IF(ROWS($2:58)&gt;COUNTIF(Operational_RawData!$A:$A,"1_Operational"),"",INDEX(Operational_RawData!O:O,MATCH("1_Operational",Operational_RawData!$A:$A,0)+ROWS($2:58)-1))</f>
        <v>0.19</v>
      </c>
      <c r="P58">
        <f>IF(ROWS($2:58)&gt;COUNTIF(Operational_RawData!$A:$A,"1_Operational"),"",INDEX(Operational_RawData!P:P,MATCH("1_Operational",Operational_RawData!$A:$A,0)+ROWS($2:58)-1))</f>
        <v>0.06</v>
      </c>
      <c r="Q58">
        <f>IF(ROWS($2:58)&gt;COUNTIF(Operational_RawData!$A:$A,"1_Operational"),"",INDEX(Operational_RawData!Q:Q,MATCH("1_Operational",Operational_RawData!$A:$A,0)+ROWS($2:58)-1))</f>
        <v>0.1</v>
      </c>
      <c r="R58" t="str">
        <f>IF(ROWS($2:58)&gt;COUNTIF(Operational_RawData!$A:$A,"1_Operational"),"",INDEX(Operational_RawData!R:R,MATCH("1_Operational",Operational_RawData!$A:$A,0)+ROWS($2:58)-1))</f>
        <v>Pass</v>
      </c>
      <c r="S58">
        <f>IF(ROWS($2:58)&gt;COUNTIF(Operational_RawData!$A:$A,"1_Operational"),"",INDEX(Operational_RawData!S:S,MATCH("1_Operational",Operational_RawData!$A:$A,0)+ROWS($2:58)-1))</f>
        <v>0</v>
      </c>
      <c r="T58">
        <f>IF(ROWS($2:58)&gt;COUNTIF(Operational_RawData!$A:$A,"1_Operational"),"",INDEX(Operational_RawData!T:T,MATCH("1_Operational",Operational_RawData!$A:$A,0)+ROWS($2:58)-1))</f>
        <v>0</v>
      </c>
    </row>
    <row r="59" spans="1:20">
      <c r="A59" t="str">
        <f>IF(ROWS($2:59)&gt;COUNTIF(Operational_RawData!$A:$A,"1_Operational"),"",INDEX(Operational_RawData!A:A,MATCH("1_Operational",Operational_RawData!$A:$A,0)+ROWS($2:59)-1))</f>
        <v>1_Operational</v>
      </c>
      <c r="B59">
        <f>IF(ROWS($2:59)&gt;COUNTIF(Operational_RawData!$A:$A,"1_Operational"),"",INDEX(Operational_RawData!B:B,MATCH("1_Operational",Operational_RawData!$A:$A,0)+ROWS($2:59)-1))</f>
        <v>144851.88399999999</v>
      </c>
      <c r="C59">
        <f>IF(ROWS($2:59)&gt;COUNTIF(Operational_RawData!$A:$A,"1_Operational"),"",INDEX(Operational_RawData!C:C,MATCH("1_Operational",Operational_RawData!$A:$A,0)+ROWS($2:59)-1))</f>
        <v>42.69</v>
      </c>
      <c r="D59">
        <f>IF(ROWS($2:59)&gt;COUNTIF(Operational_RawData!$A:$A,"1_Operational"),"",INDEX(Operational_RawData!D:D,MATCH("1_Operational",Operational_RawData!$A:$A,0)+ROWS($2:59)-1))</f>
        <v>1310.91</v>
      </c>
      <c r="E59">
        <f>IF(ROWS($2:59)&gt;COUNTIF(Operational_RawData!$A:$A,"1_Operational"),"",INDEX(Operational_RawData!E:E,MATCH("1_Operational",Operational_RawData!$A:$A,0)+ROWS($2:59)-1))</f>
        <v>2.64</v>
      </c>
      <c r="F59">
        <f>IF(ROWS($2:59)&gt;COUNTIF(Operational_RawData!$A:$A,"1_Operational"),"",INDEX(Operational_RawData!F:F,MATCH("1_Operational",Operational_RawData!$A:$A,0)+ROWS($2:59)-1))</f>
        <v>242.2</v>
      </c>
      <c r="G59">
        <f>IF(ROWS($2:59)&gt;COUNTIF(Operational_RawData!$A:$A,"1_Operational"),"",INDEX(Operational_RawData!G:G,MATCH("1_Operational",Operational_RawData!$A:$A,0)+ROWS($2:59)-1))</f>
        <v>242.2</v>
      </c>
      <c r="H59">
        <f>IF(ROWS($2:59)&gt;COUNTIF(Operational_RawData!$A:$A,"1_Operational"),"",INDEX(Operational_RawData!H:H,MATCH("1_Operational",Operational_RawData!$A:$A,0)+ROWS($2:59)-1))</f>
        <v>242.2</v>
      </c>
      <c r="I59">
        <f>IF(ROWS($2:59)&gt;COUNTIF(Operational_RawData!$A:$A,"1_Operational"),"",INDEX(Operational_RawData!I:I,MATCH("1_Operational",Operational_RawData!$A:$A,0)+ROWS($2:59)-1))</f>
        <v>242.2</v>
      </c>
      <c r="J59">
        <f>IF(ROWS($2:59)&gt;COUNTIF(Operational_RawData!$A:$A,"1_Operational"),"",INDEX(Operational_RawData!J:J,MATCH("1_Operational",Operational_RawData!$A:$A,0)+ROWS($2:59)-1))</f>
        <v>354.4</v>
      </c>
      <c r="K59">
        <f>IF(ROWS($2:59)&gt;COUNTIF(Operational_RawData!$A:$A,"1_Operational"),"",INDEX(Operational_RawData!K:K,MATCH("1_Operational",Operational_RawData!$A:$A,0)+ROWS($2:59)-1))</f>
        <v>354.44</v>
      </c>
      <c r="L59">
        <f>IF(ROWS($2:59)&gt;COUNTIF(Operational_RawData!$A:$A,"1_Operational"),"",INDEX(Operational_RawData!L:L,MATCH("1_Operational",Operational_RawData!$A:$A,0)+ROWS($2:59)-1))</f>
        <v>354.44</v>
      </c>
      <c r="M59">
        <f>IF(ROWS($2:59)&gt;COUNTIF(Operational_RawData!$A:$A,"1_Operational"),"",INDEX(Operational_RawData!M:M,MATCH("1_Operational",Operational_RawData!$A:$A,0)+ROWS($2:59)-1))</f>
        <v>354.44</v>
      </c>
      <c r="N59">
        <f>IF(ROWS($2:59)&gt;COUNTIF(Operational_RawData!$A:$A,"1_Operational"),"",INDEX(Operational_RawData!N:N,MATCH("1_Operational",Operational_RawData!$A:$A,0)+ROWS($2:59)-1))</f>
        <v>0.1</v>
      </c>
      <c r="O59">
        <f>IF(ROWS($2:59)&gt;COUNTIF(Operational_RawData!$A:$A,"1_Operational"),"",INDEX(Operational_RawData!O:O,MATCH("1_Operational",Operational_RawData!$A:$A,0)+ROWS($2:59)-1))</f>
        <v>0.19</v>
      </c>
      <c r="P59">
        <f>IF(ROWS($2:59)&gt;COUNTIF(Operational_RawData!$A:$A,"1_Operational"),"",INDEX(Operational_RawData!P:P,MATCH("1_Operational",Operational_RawData!$A:$A,0)+ROWS($2:59)-1))</f>
        <v>0.06</v>
      </c>
      <c r="Q59">
        <f>IF(ROWS($2:59)&gt;COUNTIF(Operational_RawData!$A:$A,"1_Operational"),"",INDEX(Operational_RawData!Q:Q,MATCH("1_Operational",Operational_RawData!$A:$A,0)+ROWS($2:59)-1))</f>
        <v>0.1</v>
      </c>
      <c r="R59" t="str">
        <f>IF(ROWS($2:59)&gt;COUNTIF(Operational_RawData!$A:$A,"1_Operational"),"",INDEX(Operational_RawData!R:R,MATCH("1_Operational",Operational_RawData!$A:$A,0)+ROWS($2:59)-1))</f>
        <v>Pass</v>
      </c>
      <c r="S59">
        <f>IF(ROWS($2:59)&gt;COUNTIF(Operational_RawData!$A:$A,"1_Operational"),"",INDEX(Operational_RawData!S:S,MATCH("1_Operational",Operational_RawData!$A:$A,0)+ROWS($2:59)-1))</f>
        <v>0</v>
      </c>
      <c r="T59">
        <f>IF(ROWS($2:59)&gt;COUNTIF(Operational_RawData!$A:$A,"1_Operational"),"",INDEX(Operational_RawData!T:T,MATCH("1_Operational",Operational_RawData!$A:$A,0)+ROWS($2:59)-1))</f>
        <v>0</v>
      </c>
    </row>
    <row r="60" spans="1:20">
      <c r="A60" t="str">
        <f>IF(ROWS($2:60)&gt;COUNTIF(Operational_RawData!$A:$A,"1_Operational"),"",INDEX(Operational_RawData!A:A,MATCH("1_Operational",Operational_RawData!$A:$A,0)+ROWS($2:60)-1))</f>
        <v>1_Operational</v>
      </c>
      <c r="B60">
        <f>IF(ROWS($2:60)&gt;COUNTIF(Operational_RawData!$A:$A,"1_Operational"),"",INDEX(Operational_RawData!B:B,MATCH("1_Operational",Operational_RawData!$A:$A,0)+ROWS($2:60)-1))</f>
        <v>144856.886</v>
      </c>
      <c r="C60">
        <f>IF(ROWS($2:60)&gt;COUNTIF(Operational_RawData!$A:$A,"1_Operational"),"",INDEX(Operational_RawData!C:C,MATCH("1_Operational",Operational_RawData!$A:$A,0)+ROWS($2:60)-1))</f>
        <v>43.42</v>
      </c>
      <c r="D60">
        <f>IF(ROWS($2:60)&gt;COUNTIF(Operational_RawData!$A:$A,"1_Operational"),"",INDEX(Operational_RawData!D:D,MATCH("1_Operational",Operational_RawData!$A:$A,0)+ROWS($2:60)-1))</f>
        <v>1310.9870000000001</v>
      </c>
      <c r="E60">
        <f>IF(ROWS($2:60)&gt;COUNTIF(Operational_RawData!$A:$A,"1_Operational"),"",INDEX(Operational_RawData!E:E,MATCH("1_Operational",Operational_RawData!$A:$A,0)+ROWS($2:60)-1))</f>
        <v>2.57</v>
      </c>
      <c r="F60">
        <f>IF(ROWS($2:60)&gt;COUNTIF(Operational_RawData!$A:$A,"1_Operational"),"",INDEX(Operational_RawData!F:F,MATCH("1_Operational",Operational_RawData!$A:$A,0)+ROWS($2:60)-1))</f>
        <v>244.36</v>
      </c>
      <c r="G60">
        <f>IF(ROWS($2:60)&gt;COUNTIF(Operational_RawData!$A:$A,"1_Operational"),"",INDEX(Operational_RawData!G:G,MATCH("1_Operational",Operational_RawData!$A:$A,0)+ROWS($2:60)-1))</f>
        <v>244.36</v>
      </c>
      <c r="H60">
        <f>IF(ROWS($2:60)&gt;COUNTIF(Operational_RawData!$A:$A,"1_Operational"),"",INDEX(Operational_RawData!H:H,MATCH("1_Operational",Operational_RawData!$A:$A,0)+ROWS($2:60)-1))</f>
        <v>244.36</v>
      </c>
      <c r="I60">
        <f>IF(ROWS($2:60)&gt;COUNTIF(Operational_RawData!$A:$A,"1_Operational"),"",INDEX(Operational_RawData!I:I,MATCH("1_Operational",Operational_RawData!$A:$A,0)+ROWS($2:60)-1))</f>
        <v>244.36</v>
      </c>
      <c r="J60">
        <f>IF(ROWS($2:60)&gt;COUNTIF(Operational_RawData!$A:$A,"1_Operational"),"",INDEX(Operational_RawData!J:J,MATCH("1_Operational",Operational_RawData!$A:$A,0)+ROWS($2:60)-1))</f>
        <v>357.32</v>
      </c>
      <c r="K60">
        <f>IF(ROWS($2:60)&gt;COUNTIF(Operational_RawData!$A:$A,"1_Operational"),"",INDEX(Operational_RawData!K:K,MATCH("1_Operational",Operational_RawData!$A:$A,0)+ROWS($2:60)-1))</f>
        <v>357.32</v>
      </c>
      <c r="L60">
        <f>IF(ROWS($2:60)&gt;COUNTIF(Operational_RawData!$A:$A,"1_Operational"),"",INDEX(Operational_RawData!L:L,MATCH("1_Operational",Operational_RawData!$A:$A,0)+ROWS($2:60)-1))</f>
        <v>357.32</v>
      </c>
      <c r="M60">
        <f>IF(ROWS($2:60)&gt;COUNTIF(Operational_RawData!$A:$A,"1_Operational"),"",INDEX(Operational_RawData!M:M,MATCH("1_Operational",Operational_RawData!$A:$A,0)+ROWS($2:60)-1))</f>
        <v>357.32</v>
      </c>
      <c r="N60">
        <f>IF(ROWS($2:60)&gt;COUNTIF(Operational_RawData!$A:$A,"1_Operational"),"",INDEX(Operational_RawData!N:N,MATCH("1_Operational",Operational_RawData!$A:$A,0)+ROWS($2:60)-1))</f>
        <v>0.11</v>
      </c>
      <c r="O60">
        <f>IF(ROWS($2:60)&gt;COUNTIF(Operational_RawData!$A:$A,"1_Operational"),"",INDEX(Operational_RawData!O:O,MATCH("1_Operational",Operational_RawData!$A:$A,0)+ROWS($2:60)-1))</f>
        <v>0.19</v>
      </c>
      <c r="P60">
        <f>IF(ROWS($2:60)&gt;COUNTIF(Operational_RawData!$A:$A,"1_Operational"),"",INDEX(Operational_RawData!P:P,MATCH("1_Operational",Operational_RawData!$A:$A,0)+ROWS($2:60)-1))</f>
        <v>0.06</v>
      </c>
      <c r="Q60">
        <f>IF(ROWS($2:60)&gt;COUNTIF(Operational_RawData!$A:$A,"1_Operational"),"",INDEX(Operational_RawData!Q:Q,MATCH("1_Operational",Operational_RawData!$A:$A,0)+ROWS($2:60)-1))</f>
        <v>0.1</v>
      </c>
      <c r="R60" t="str">
        <f>IF(ROWS($2:60)&gt;COUNTIF(Operational_RawData!$A:$A,"1_Operational"),"",INDEX(Operational_RawData!R:R,MATCH("1_Operational",Operational_RawData!$A:$A,0)+ROWS($2:60)-1))</f>
        <v>Pass</v>
      </c>
      <c r="S60">
        <f>IF(ROWS($2:60)&gt;COUNTIF(Operational_RawData!$A:$A,"1_Operational"),"",INDEX(Operational_RawData!S:S,MATCH("1_Operational",Operational_RawData!$A:$A,0)+ROWS($2:60)-1))</f>
        <v>0</v>
      </c>
      <c r="T60">
        <f>IF(ROWS($2:60)&gt;COUNTIF(Operational_RawData!$A:$A,"1_Operational"),"",INDEX(Operational_RawData!T:T,MATCH("1_Operational",Operational_RawData!$A:$A,0)+ROWS($2:60)-1))</f>
        <v>0</v>
      </c>
    </row>
    <row r="61" spans="1:20">
      <c r="A61" t="str">
        <f>IF(ROWS($2:61)&gt;COUNTIF(Operational_RawData!$A:$A,"1_Operational"),"",INDEX(Operational_RawData!A:A,MATCH("1_Operational",Operational_RawData!$A:$A,0)+ROWS($2:61)-1))</f>
        <v>1_Operational</v>
      </c>
      <c r="B61">
        <f>IF(ROWS($2:61)&gt;COUNTIF(Operational_RawData!$A:$A,"1_Operational"),"",INDEX(Operational_RawData!B:B,MATCH("1_Operational",Operational_RawData!$A:$A,0)+ROWS($2:61)-1))</f>
        <v>144901.89199999999</v>
      </c>
      <c r="C61">
        <f>IF(ROWS($2:61)&gt;COUNTIF(Operational_RawData!$A:$A,"1_Operational"),"",INDEX(Operational_RawData!C:C,MATCH("1_Operational",Operational_RawData!$A:$A,0)+ROWS($2:61)-1))</f>
        <v>44.17</v>
      </c>
      <c r="D61">
        <f>IF(ROWS($2:61)&gt;COUNTIF(Operational_RawData!$A:$A,"1_Operational"),"",INDEX(Operational_RawData!D:D,MATCH("1_Operational",Operational_RawData!$A:$A,0)+ROWS($2:61)-1))</f>
        <v>1311.0650000000001</v>
      </c>
      <c r="E61">
        <f>IF(ROWS($2:61)&gt;COUNTIF(Operational_RawData!$A:$A,"1_Operational"),"",INDEX(Operational_RawData!E:E,MATCH("1_Operational",Operational_RawData!$A:$A,0)+ROWS($2:61)-1))</f>
        <v>2.56</v>
      </c>
      <c r="F61">
        <f>IF(ROWS($2:61)&gt;COUNTIF(Operational_RawData!$A:$A,"1_Operational"),"",INDEX(Operational_RawData!F:F,MATCH("1_Operational",Operational_RawData!$A:$A,0)+ROWS($2:61)-1))</f>
        <v>246.28</v>
      </c>
      <c r="G61">
        <f>IF(ROWS($2:61)&gt;COUNTIF(Operational_RawData!$A:$A,"1_Operational"),"",INDEX(Operational_RawData!G:G,MATCH("1_Operational",Operational_RawData!$A:$A,0)+ROWS($2:61)-1))</f>
        <v>246.28</v>
      </c>
      <c r="H61">
        <f>IF(ROWS($2:61)&gt;COUNTIF(Operational_RawData!$A:$A,"1_Operational"),"",INDEX(Operational_RawData!H:H,MATCH("1_Operational",Operational_RawData!$A:$A,0)+ROWS($2:61)-1))</f>
        <v>246.28</v>
      </c>
      <c r="I61">
        <f>IF(ROWS($2:61)&gt;COUNTIF(Operational_RawData!$A:$A,"1_Operational"),"",INDEX(Operational_RawData!I:I,MATCH("1_Operational",Operational_RawData!$A:$A,0)+ROWS($2:61)-1))</f>
        <v>246.28</v>
      </c>
      <c r="J61">
        <f>IF(ROWS($2:61)&gt;COUNTIF(Operational_RawData!$A:$A,"1_Operational"),"",INDEX(Operational_RawData!J:J,MATCH("1_Operational",Operational_RawData!$A:$A,0)+ROWS($2:61)-1))</f>
        <v>360.36</v>
      </c>
      <c r="K61">
        <f>IF(ROWS($2:61)&gt;COUNTIF(Operational_RawData!$A:$A,"1_Operational"),"",INDEX(Operational_RawData!K:K,MATCH("1_Operational",Operational_RawData!$A:$A,0)+ROWS($2:61)-1))</f>
        <v>360.36</v>
      </c>
      <c r="L61">
        <f>IF(ROWS($2:61)&gt;COUNTIF(Operational_RawData!$A:$A,"1_Operational"),"",INDEX(Operational_RawData!L:L,MATCH("1_Operational",Operational_RawData!$A:$A,0)+ROWS($2:61)-1))</f>
        <v>360.36</v>
      </c>
      <c r="M61">
        <f>IF(ROWS($2:61)&gt;COUNTIF(Operational_RawData!$A:$A,"1_Operational"),"",INDEX(Operational_RawData!M:M,MATCH("1_Operational",Operational_RawData!$A:$A,0)+ROWS($2:61)-1))</f>
        <v>360.36</v>
      </c>
      <c r="N61">
        <f>IF(ROWS($2:61)&gt;COUNTIF(Operational_RawData!$A:$A,"1_Operational"),"",INDEX(Operational_RawData!N:N,MATCH("1_Operational",Operational_RawData!$A:$A,0)+ROWS($2:61)-1))</f>
        <v>0.1</v>
      </c>
      <c r="O61">
        <f>IF(ROWS($2:61)&gt;COUNTIF(Operational_RawData!$A:$A,"1_Operational"),"",INDEX(Operational_RawData!O:O,MATCH("1_Operational",Operational_RawData!$A:$A,0)+ROWS($2:61)-1))</f>
        <v>0.19</v>
      </c>
      <c r="P61">
        <f>IF(ROWS($2:61)&gt;COUNTIF(Operational_RawData!$A:$A,"1_Operational"),"",INDEX(Operational_RawData!P:P,MATCH("1_Operational",Operational_RawData!$A:$A,0)+ROWS($2:61)-1))</f>
        <v>0.06</v>
      </c>
      <c r="Q61">
        <f>IF(ROWS($2:61)&gt;COUNTIF(Operational_RawData!$A:$A,"1_Operational"),"",INDEX(Operational_RawData!Q:Q,MATCH("1_Operational",Operational_RawData!$A:$A,0)+ROWS($2:61)-1))</f>
        <v>0.1</v>
      </c>
      <c r="R61" t="str">
        <f>IF(ROWS($2:61)&gt;COUNTIF(Operational_RawData!$A:$A,"1_Operational"),"",INDEX(Operational_RawData!R:R,MATCH("1_Operational",Operational_RawData!$A:$A,0)+ROWS($2:61)-1))</f>
        <v>Pass</v>
      </c>
      <c r="S61">
        <f>IF(ROWS($2:61)&gt;COUNTIF(Operational_RawData!$A:$A,"1_Operational"),"",INDEX(Operational_RawData!S:S,MATCH("1_Operational",Operational_RawData!$A:$A,0)+ROWS($2:61)-1))</f>
        <v>0</v>
      </c>
      <c r="T61">
        <f>IF(ROWS($2:61)&gt;COUNTIF(Operational_RawData!$A:$A,"1_Operational"),"",INDEX(Operational_RawData!T:T,MATCH("1_Operational",Operational_RawData!$A:$A,0)+ROWS($2:61)-1))</f>
        <v>0</v>
      </c>
    </row>
    <row r="62" spans="1:20">
      <c r="A62" t="str">
        <f>IF(ROWS($2:62)&gt;COUNTIF(Operational_RawData!$A:$A,"1_Operational"),"",INDEX(Operational_RawData!A:A,MATCH("1_Operational",Operational_RawData!$A:$A,0)+ROWS($2:62)-1))</f>
        <v>1_Operational</v>
      </c>
      <c r="B62">
        <f>IF(ROWS($2:62)&gt;COUNTIF(Operational_RawData!$A:$A,"1_Operational"),"",INDEX(Operational_RawData!B:B,MATCH("1_Operational",Operational_RawData!$A:$A,0)+ROWS($2:62)-1))</f>
        <v>144906.889</v>
      </c>
      <c r="C62">
        <f>IF(ROWS($2:62)&gt;COUNTIF(Operational_RawData!$A:$A,"1_Operational"),"",INDEX(Operational_RawData!C:C,MATCH("1_Operational",Operational_RawData!$A:$A,0)+ROWS($2:62)-1))</f>
        <v>44.9</v>
      </c>
      <c r="D62">
        <f>IF(ROWS($2:62)&gt;COUNTIF(Operational_RawData!$A:$A,"1_Operational"),"",INDEX(Operational_RawData!D:D,MATCH("1_Operational",Operational_RawData!$A:$A,0)+ROWS($2:62)-1))</f>
        <v>1311.135</v>
      </c>
      <c r="E62">
        <f>IF(ROWS($2:62)&gt;COUNTIF(Operational_RawData!$A:$A,"1_Operational"),"",INDEX(Operational_RawData!E:E,MATCH("1_Operational",Operational_RawData!$A:$A,0)+ROWS($2:62)-1))</f>
        <v>2.5099999999999998</v>
      </c>
      <c r="F62">
        <f>IF(ROWS($2:62)&gt;COUNTIF(Operational_RawData!$A:$A,"1_Operational"),"",INDEX(Operational_RawData!F:F,MATCH("1_Operational",Operational_RawData!$A:$A,0)+ROWS($2:62)-1))</f>
        <v>248.72</v>
      </c>
      <c r="G62">
        <f>IF(ROWS($2:62)&gt;COUNTIF(Operational_RawData!$A:$A,"1_Operational"),"",INDEX(Operational_RawData!G:G,MATCH("1_Operational",Operational_RawData!$A:$A,0)+ROWS($2:62)-1))</f>
        <v>248.72</v>
      </c>
      <c r="H62">
        <f>IF(ROWS($2:62)&gt;COUNTIF(Operational_RawData!$A:$A,"1_Operational"),"",INDEX(Operational_RawData!H:H,MATCH("1_Operational",Operational_RawData!$A:$A,0)+ROWS($2:62)-1))</f>
        <v>248.72</v>
      </c>
      <c r="I62">
        <f>IF(ROWS($2:62)&gt;COUNTIF(Operational_RawData!$A:$A,"1_Operational"),"",INDEX(Operational_RawData!I:I,MATCH("1_Operational",Operational_RawData!$A:$A,0)+ROWS($2:62)-1))</f>
        <v>248.72</v>
      </c>
      <c r="J62">
        <f>IF(ROWS($2:62)&gt;COUNTIF(Operational_RawData!$A:$A,"1_Operational"),"",INDEX(Operational_RawData!J:J,MATCH("1_Operational",Operational_RawData!$A:$A,0)+ROWS($2:62)-1))</f>
        <v>364.04</v>
      </c>
      <c r="K62">
        <f>IF(ROWS($2:62)&gt;COUNTIF(Operational_RawData!$A:$A,"1_Operational"),"",INDEX(Operational_RawData!K:K,MATCH("1_Operational",Operational_RawData!$A:$A,0)+ROWS($2:62)-1))</f>
        <v>364.04</v>
      </c>
      <c r="L62">
        <f>IF(ROWS($2:62)&gt;COUNTIF(Operational_RawData!$A:$A,"1_Operational"),"",INDEX(Operational_RawData!L:L,MATCH("1_Operational",Operational_RawData!$A:$A,0)+ROWS($2:62)-1))</f>
        <v>364.04</v>
      </c>
      <c r="M62">
        <f>IF(ROWS($2:62)&gt;COUNTIF(Operational_RawData!$A:$A,"1_Operational"),"",INDEX(Operational_RawData!M:M,MATCH("1_Operational",Operational_RawData!$A:$A,0)+ROWS($2:62)-1))</f>
        <v>364.04</v>
      </c>
      <c r="N62">
        <f>IF(ROWS($2:62)&gt;COUNTIF(Operational_RawData!$A:$A,"1_Operational"),"",INDEX(Operational_RawData!N:N,MATCH("1_Operational",Operational_RawData!$A:$A,0)+ROWS($2:62)-1))</f>
        <v>0.1</v>
      </c>
      <c r="O62">
        <f>IF(ROWS($2:62)&gt;COUNTIF(Operational_RawData!$A:$A,"1_Operational"),"",INDEX(Operational_RawData!O:O,MATCH("1_Operational",Operational_RawData!$A:$A,0)+ROWS($2:62)-1))</f>
        <v>0.19</v>
      </c>
      <c r="P62">
        <f>IF(ROWS($2:62)&gt;COUNTIF(Operational_RawData!$A:$A,"1_Operational"),"",INDEX(Operational_RawData!P:P,MATCH("1_Operational",Operational_RawData!$A:$A,0)+ROWS($2:62)-1))</f>
        <v>0.06</v>
      </c>
      <c r="Q62">
        <f>IF(ROWS($2:62)&gt;COUNTIF(Operational_RawData!$A:$A,"1_Operational"),"",INDEX(Operational_RawData!Q:Q,MATCH("1_Operational",Operational_RawData!$A:$A,0)+ROWS($2:62)-1))</f>
        <v>0.1</v>
      </c>
      <c r="R62" t="str">
        <f>IF(ROWS($2:62)&gt;COUNTIF(Operational_RawData!$A:$A,"1_Operational"),"",INDEX(Operational_RawData!R:R,MATCH("1_Operational",Operational_RawData!$A:$A,0)+ROWS($2:62)-1))</f>
        <v>Pass</v>
      </c>
      <c r="S62">
        <f>IF(ROWS($2:62)&gt;COUNTIF(Operational_RawData!$A:$A,"1_Operational"),"",INDEX(Operational_RawData!S:S,MATCH("1_Operational",Operational_RawData!$A:$A,0)+ROWS($2:62)-1))</f>
        <v>0</v>
      </c>
      <c r="T62">
        <f>IF(ROWS($2:62)&gt;COUNTIF(Operational_RawData!$A:$A,"1_Operational"),"",INDEX(Operational_RawData!T:T,MATCH("1_Operational",Operational_RawData!$A:$A,0)+ROWS($2:62)-1))</f>
        <v>0</v>
      </c>
    </row>
    <row r="63" spans="1:20">
      <c r="A63" t="str">
        <f>IF(ROWS($2:63)&gt;COUNTIF(Operational_RawData!$A:$A,"1_Operational"),"",INDEX(Operational_RawData!A:A,MATCH("1_Operational",Operational_RawData!$A:$A,0)+ROWS($2:63)-1))</f>
        <v>1_Operational</v>
      </c>
      <c r="B63">
        <f>IF(ROWS($2:63)&gt;COUNTIF(Operational_RawData!$A:$A,"1_Operational"),"",INDEX(Operational_RawData!B:B,MATCH("1_Operational",Operational_RawData!$A:$A,0)+ROWS($2:63)-1))</f>
        <v>144911.89300000001</v>
      </c>
      <c r="C63">
        <f>IF(ROWS($2:63)&gt;COUNTIF(Operational_RawData!$A:$A,"1_Operational"),"",INDEX(Operational_RawData!C:C,MATCH("1_Operational",Operational_RawData!$A:$A,0)+ROWS($2:63)-1))</f>
        <v>45.63</v>
      </c>
      <c r="D63">
        <f>IF(ROWS($2:63)&gt;COUNTIF(Operational_RawData!$A:$A,"1_Operational"),"",INDEX(Operational_RawData!D:D,MATCH("1_Operational",Operational_RawData!$A:$A,0)+ROWS($2:63)-1))</f>
        <v>1311.221</v>
      </c>
      <c r="E63">
        <f>IF(ROWS($2:63)&gt;COUNTIF(Operational_RawData!$A:$A,"1_Operational"),"",INDEX(Operational_RawData!E:E,MATCH("1_Operational",Operational_RawData!$A:$A,0)+ROWS($2:63)-1))</f>
        <v>2.5499999999999998</v>
      </c>
      <c r="F63">
        <f>IF(ROWS($2:63)&gt;COUNTIF(Operational_RawData!$A:$A,"1_Operational"),"",INDEX(Operational_RawData!F:F,MATCH("1_Operational",Operational_RawData!$A:$A,0)+ROWS($2:63)-1))</f>
        <v>251</v>
      </c>
      <c r="G63">
        <f>IF(ROWS($2:63)&gt;COUNTIF(Operational_RawData!$A:$A,"1_Operational"),"",INDEX(Operational_RawData!G:G,MATCH("1_Operational",Operational_RawData!$A:$A,0)+ROWS($2:63)-1))</f>
        <v>251</v>
      </c>
      <c r="H63">
        <f>IF(ROWS($2:63)&gt;COUNTIF(Operational_RawData!$A:$A,"1_Operational"),"",INDEX(Operational_RawData!H:H,MATCH("1_Operational",Operational_RawData!$A:$A,0)+ROWS($2:63)-1))</f>
        <v>251</v>
      </c>
      <c r="I63">
        <f>IF(ROWS($2:63)&gt;COUNTIF(Operational_RawData!$A:$A,"1_Operational"),"",INDEX(Operational_RawData!I:I,MATCH("1_Operational",Operational_RawData!$A:$A,0)+ROWS($2:63)-1))</f>
        <v>251</v>
      </c>
      <c r="J63">
        <f>IF(ROWS($2:63)&gt;COUNTIF(Operational_RawData!$A:$A,"1_Operational"),"",INDEX(Operational_RawData!J:J,MATCH("1_Operational",Operational_RawData!$A:$A,0)+ROWS($2:63)-1))</f>
        <v>367.64</v>
      </c>
      <c r="K63">
        <f>IF(ROWS($2:63)&gt;COUNTIF(Operational_RawData!$A:$A,"1_Operational"),"",INDEX(Operational_RawData!K:K,MATCH("1_Operational",Operational_RawData!$A:$A,0)+ROWS($2:63)-1))</f>
        <v>367.64</v>
      </c>
      <c r="L63">
        <f>IF(ROWS($2:63)&gt;COUNTIF(Operational_RawData!$A:$A,"1_Operational"),"",INDEX(Operational_RawData!L:L,MATCH("1_Operational",Operational_RawData!$A:$A,0)+ROWS($2:63)-1))</f>
        <v>367.64</v>
      </c>
      <c r="M63">
        <f>IF(ROWS($2:63)&gt;COUNTIF(Operational_RawData!$A:$A,"1_Operational"),"",INDEX(Operational_RawData!M:M,MATCH("1_Operational",Operational_RawData!$A:$A,0)+ROWS($2:63)-1))</f>
        <v>367.64</v>
      </c>
      <c r="N63">
        <f>IF(ROWS($2:63)&gt;COUNTIF(Operational_RawData!$A:$A,"1_Operational"),"",INDEX(Operational_RawData!N:N,MATCH("1_Operational",Operational_RawData!$A:$A,0)+ROWS($2:63)-1))</f>
        <v>0.12</v>
      </c>
      <c r="O63">
        <f>IF(ROWS($2:63)&gt;COUNTIF(Operational_RawData!$A:$A,"1_Operational"),"",INDEX(Operational_RawData!O:O,MATCH("1_Operational",Operational_RawData!$A:$A,0)+ROWS($2:63)-1))</f>
        <v>0.19</v>
      </c>
      <c r="P63">
        <f>IF(ROWS($2:63)&gt;COUNTIF(Operational_RawData!$A:$A,"1_Operational"),"",INDEX(Operational_RawData!P:P,MATCH("1_Operational",Operational_RawData!$A:$A,0)+ROWS($2:63)-1))</f>
        <v>0.06</v>
      </c>
      <c r="Q63">
        <f>IF(ROWS($2:63)&gt;COUNTIF(Operational_RawData!$A:$A,"1_Operational"),"",INDEX(Operational_RawData!Q:Q,MATCH("1_Operational",Operational_RawData!$A:$A,0)+ROWS($2:63)-1))</f>
        <v>0.1</v>
      </c>
      <c r="R63" t="str">
        <f>IF(ROWS($2:63)&gt;COUNTIF(Operational_RawData!$A:$A,"1_Operational"),"",INDEX(Operational_RawData!R:R,MATCH("1_Operational",Operational_RawData!$A:$A,0)+ROWS($2:63)-1))</f>
        <v>Pass</v>
      </c>
      <c r="S63">
        <f>IF(ROWS($2:63)&gt;COUNTIF(Operational_RawData!$A:$A,"1_Operational"),"",INDEX(Operational_RawData!S:S,MATCH("1_Operational",Operational_RawData!$A:$A,0)+ROWS($2:63)-1))</f>
        <v>0</v>
      </c>
      <c r="T63">
        <f>IF(ROWS($2:63)&gt;COUNTIF(Operational_RawData!$A:$A,"1_Operational"),"",INDEX(Operational_RawData!T:T,MATCH("1_Operational",Operational_RawData!$A:$A,0)+ROWS($2:63)-1))</f>
        <v>0</v>
      </c>
    </row>
    <row r="64" spans="1:20">
      <c r="A64" t="str">
        <f>IF(ROWS($2:64)&gt;COUNTIF(Operational_RawData!$A:$A,"1_Operational"),"",INDEX(Operational_RawData!A:A,MATCH("1_Operational",Operational_RawData!$A:$A,0)+ROWS($2:64)-1))</f>
        <v>1_Operational</v>
      </c>
      <c r="B64">
        <f>IF(ROWS($2:64)&gt;COUNTIF(Operational_RawData!$A:$A,"1_Operational"),"",INDEX(Operational_RawData!B:B,MATCH("1_Operational",Operational_RawData!$A:$A,0)+ROWS($2:64)-1))</f>
        <v>144916.891</v>
      </c>
      <c r="C64">
        <f>IF(ROWS($2:64)&gt;COUNTIF(Operational_RawData!$A:$A,"1_Operational"),"",INDEX(Operational_RawData!C:C,MATCH("1_Operational",Operational_RawData!$A:$A,0)+ROWS($2:64)-1))</f>
        <v>46.38</v>
      </c>
      <c r="D64">
        <f>IF(ROWS($2:64)&gt;COUNTIF(Operational_RawData!$A:$A,"1_Operational"),"",INDEX(Operational_RawData!D:D,MATCH("1_Operational",Operational_RawData!$A:$A,0)+ROWS($2:64)-1))</f>
        <v>1311.3009999999999</v>
      </c>
      <c r="E64">
        <f>IF(ROWS($2:64)&gt;COUNTIF(Operational_RawData!$A:$A,"1_Operational"),"",INDEX(Operational_RawData!E:E,MATCH("1_Operational",Operational_RawData!$A:$A,0)+ROWS($2:64)-1))</f>
        <v>2.42</v>
      </c>
      <c r="F64">
        <f>IF(ROWS($2:64)&gt;COUNTIF(Operational_RawData!$A:$A,"1_Operational"),"",INDEX(Operational_RawData!F:F,MATCH("1_Operational",Operational_RawData!$A:$A,0)+ROWS($2:64)-1))</f>
        <v>253.52</v>
      </c>
      <c r="G64">
        <f>IF(ROWS($2:64)&gt;COUNTIF(Operational_RawData!$A:$A,"1_Operational"),"",INDEX(Operational_RawData!G:G,MATCH("1_Operational",Operational_RawData!$A:$A,0)+ROWS($2:64)-1))</f>
        <v>253.52</v>
      </c>
      <c r="H64">
        <f>IF(ROWS($2:64)&gt;COUNTIF(Operational_RawData!$A:$A,"1_Operational"),"",INDEX(Operational_RawData!H:H,MATCH("1_Operational",Operational_RawData!$A:$A,0)+ROWS($2:64)-1))</f>
        <v>253.52</v>
      </c>
      <c r="I64">
        <f>IF(ROWS($2:64)&gt;COUNTIF(Operational_RawData!$A:$A,"1_Operational"),"",INDEX(Operational_RawData!I:I,MATCH("1_Operational",Operational_RawData!$A:$A,0)+ROWS($2:64)-1))</f>
        <v>253.52</v>
      </c>
      <c r="J64">
        <f>IF(ROWS($2:64)&gt;COUNTIF(Operational_RawData!$A:$A,"1_Operational"),"",INDEX(Operational_RawData!J:J,MATCH("1_Operational",Operational_RawData!$A:$A,0)+ROWS($2:64)-1))</f>
        <v>371.6</v>
      </c>
      <c r="K64">
        <f>IF(ROWS($2:64)&gt;COUNTIF(Operational_RawData!$A:$A,"1_Operational"),"",INDEX(Operational_RawData!K:K,MATCH("1_Operational",Operational_RawData!$A:$A,0)+ROWS($2:64)-1))</f>
        <v>371.6</v>
      </c>
      <c r="L64">
        <f>IF(ROWS($2:64)&gt;COUNTIF(Operational_RawData!$A:$A,"1_Operational"),"",INDEX(Operational_RawData!L:L,MATCH("1_Operational",Operational_RawData!$A:$A,0)+ROWS($2:64)-1))</f>
        <v>371.6</v>
      </c>
      <c r="M64">
        <f>IF(ROWS($2:64)&gt;COUNTIF(Operational_RawData!$A:$A,"1_Operational"),"",INDEX(Operational_RawData!M:M,MATCH("1_Operational",Operational_RawData!$A:$A,0)+ROWS($2:64)-1))</f>
        <v>371.6</v>
      </c>
      <c r="N64">
        <f>IF(ROWS($2:64)&gt;COUNTIF(Operational_RawData!$A:$A,"1_Operational"),"",INDEX(Operational_RawData!N:N,MATCH("1_Operational",Operational_RawData!$A:$A,0)+ROWS($2:64)-1))</f>
        <v>0.11</v>
      </c>
      <c r="O64">
        <f>IF(ROWS($2:64)&gt;COUNTIF(Operational_RawData!$A:$A,"1_Operational"),"",INDEX(Operational_RawData!O:O,MATCH("1_Operational",Operational_RawData!$A:$A,0)+ROWS($2:64)-1))</f>
        <v>0.19</v>
      </c>
      <c r="P64">
        <f>IF(ROWS($2:64)&gt;COUNTIF(Operational_RawData!$A:$A,"1_Operational"),"",INDEX(Operational_RawData!P:P,MATCH("1_Operational",Operational_RawData!$A:$A,0)+ROWS($2:64)-1))</f>
        <v>0.06</v>
      </c>
      <c r="Q64">
        <f>IF(ROWS($2:64)&gt;COUNTIF(Operational_RawData!$A:$A,"1_Operational"),"",INDEX(Operational_RawData!Q:Q,MATCH("1_Operational",Operational_RawData!$A:$A,0)+ROWS($2:64)-1))</f>
        <v>0.1</v>
      </c>
      <c r="R64" t="str">
        <f>IF(ROWS($2:64)&gt;COUNTIF(Operational_RawData!$A:$A,"1_Operational"),"",INDEX(Operational_RawData!R:R,MATCH("1_Operational",Operational_RawData!$A:$A,0)+ROWS($2:64)-1))</f>
        <v>Pass</v>
      </c>
      <c r="S64">
        <f>IF(ROWS($2:64)&gt;COUNTIF(Operational_RawData!$A:$A,"1_Operational"),"",INDEX(Operational_RawData!S:S,MATCH("1_Operational",Operational_RawData!$A:$A,0)+ROWS($2:64)-1))</f>
        <v>0</v>
      </c>
      <c r="T64">
        <f>IF(ROWS($2:64)&gt;COUNTIF(Operational_RawData!$A:$A,"1_Operational"),"",INDEX(Operational_RawData!T:T,MATCH("1_Operational",Operational_RawData!$A:$A,0)+ROWS($2:64)-1))</f>
        <v>0</v>
      </c>
    </row>
    <row r="65" spans="1:20">
      <c r="A65" t="str">
        <f>IF(ROWS($2:65)&gt;COUNTIF(Operational_RawData!$A:$A,"1_Operational"),"",INDEX(Operational_RawData!A:A,MATCH("1_Operational",Operational_RawData!$A:$A,0)+ROWS($2:65)-1))</f>
        <v>1_Operational</v>
      </c>
      <c r="B65">
        <f>IF(ROWS($2:65)&gt;COUNTIF(Operational_RawData!$A:$A,"1_Operational"),"",INDEX(Operational_RawData!B:B,MATCH("1_Operational",Operational_RawData!$A:$A,0)+ROWS($2:65)-1))</f>
        <v>144921.89300000001</v>
      </c>
      <c r="C65">
        <f>IF(ROWS($2:65)&gt;COUNTIF(Operational_RawData!$A:$A,"1_Operational"),"",INDEX(Operational_RawData!C:C,MATCH("1_Operational",Operational_RawData!$A:$A,0)+ROWS($2:65)-1))</f>
        <v>47.11</v>
      </c>
      <c r="D65">
        <f>IF(ROWS($2:65)&gt;COUNTIF(Operational_RawData!$A:$A,"1_Operational"),"",INDEX(Operational_RawData!D:D,MATCH("1_Operational",Operational_RawData!$A:$A,0)+ROWS($2:65)-1))</f>
        <v>1311.3820000000001</v>
      </c>
      <c r="E65">
        <f>IF(ROWS($2:65)&gt;COUNTIF(Operational_RawData!$A:$A,"1_Operational"),"",INDEX(Operational_RawData!E:E,MATCH("1_Operational",Operational_RawData!$A:$A,0)+ROWS($2:65)-1))</f>
        <v>2.39</v>
      </c>
      <c r="F65">
        <f>IF(ROWS($2:65)&gt;COUNTIF(Operational_RawData!$A:$A,"1_Operational"),"",INDEX(Operational_RawData!F:F,MATCH("1_Operational",Operational_RawData!$A:$A,0)+ROWS($2:65)-1))</f>
        <v>255.72</v>
      </c>
      <c r="G65">
        <f>IF(ROWS($2:65)&gt;COUNTIF(Operational_RawData!$A:$A,"1_Operational"),"",INDEX(Operational_RawData!G:G,MATCH("1_Operational",Operational_RawData!$A:$A,0)+ROWS($2:65)-1))</f>
        <v>255.72</v>
      </c>
      <c r="H65">
        <f>IF(ROWS($2:65)&gt;COUNTIF(Operational_RawData!$A:$A,"1_Operational"),"",INDEX(Operational_RawData!H:H,MATCH("1_Operational",Operational_RawData!$A:$A,0)+ROWS($2:65)-1))</f>
        <v>255.72</v>
      </c>
      <c r="I65">
        <f>IF(ROWS($2:65)&gt;COUNTIF(Operational_RawData!$A:$A,"1_Operational"),"",INDEX(Operational_RawData!I:I,MATCH("1_Operational",Operational_RawData!$A:$A,0)+ROWS($2:65)-1))</f>
        <v>255.72</v>
      </c>
      <c r="J65">
        <f>IF(ROWS($2:65)&gt;COUNTIF(Operational_RawData!$A:$A,"1_Operational"),"",INDEX(Operational_RawData!J:J,MATCH("1_Operational",Operational_RawData!$A:$A,0)+ROWS($2:65)-1))</f>
        <v>375.68</v>
      </c>
      <c r="K65">
        <f>IF(ROWS($2:65)&gt;COUNTIF(Operational_RawData!$A:$A,"1_Operational"),"",INDEX(Operational_RawData!K:K,MATCH("1_Operational",Operational_RawData!$A:$A,0)+ROWS($2:65)-1))</f>
        <v>375.68</v>
      </c>
      <c r="L65">
        <f>IF(ROWS($2:65)&gt;COUNTIF(Operational_RawData!$A:$A,"1_Operational"),"",INDEX(Operational_RawData!L:L,MATCH("1_Operational",Operational_RawData!$A:$A,0)+ROWS($2:65)-1))</f>
        <v>375.68</v>
      </c>
      <c r="M65">
        <f>IF(ROWS($2:65)&gt;COUNTIF(Operational_RawData!$A:$A,"1_Operational"),"",INDEX(Operational_RawData!M:M,MATCH("1_Operational",Operational_RawData!$A:$A,0)+ROWS($2:65)-1))</f>
        <v>375.68</v>
      </c>
      <c r="N65">
        <f>IF(ROWS($2:65)&gt;COUNTIF(Operational_RawData!$A:$A,"1_Operational"),"",INDEX(Operational_RawData!N:N,MATCH("1_Operational",Operational_RawData!$A:$A,0)+ROWS($2:65)-1))</f>
        <v>0.11</v>
      </c>
      <c r="O65">
        <f>IF(ROWS($2:65)&gt;COUNTIF(Operational_RawData!$A:$A,"1_Operational"),"",INDEX(Operational_RawData!O:O,MATCH("1_Operational",Operational_RawData!$A:$A,0)+ROWS($2:65)-1))</f>
        <v>0.19</v>
      </c>
      <c r="P65">
        <f>IF(ROWS($2:65)&gt;COUNTIF(Operational_RawData!$A:$A,"1_Operational"),"",INDEX(Operational_RawData!P:P,MATCH("1_Operational",Operational_RawData!$A:$A,0)+ROWS($2:65)-1))</f>
        <v>0.06</v>
      </c>
      <c r="Q65">
        <f>IF(ROWS($2:65)&gt;COUNTIF(Operational_RawData!$A:$A,"1_Operational"),"",INDEX(Operational_RawData!Q:Q,MATCH("1_Operational",Operational_RawData!$A:$A,0)+ROWS($2:65)-1))</f>
        <v>0.1</v>
      </c>
      <c r="R65" t="str">
        <f>IF(ROWS($2:65)&gt;COUNTIF(Operational_RawData!$A:$A,"1_Operational"),"",INDEX(Operational_RawData!R:R,MATCH("1_Operational",Operational_RawData!$A:$A,0)+ROWS($2:65)-1))</f>
        <v>Pass</v>
      </c>
      <c r="S65">
        <f>IF(ROWS($2:65)&gt;COUNTIF(Operational_RawData!$A:$A,"1_Operational"),"",INDEX(Operational_RawData!S:S,MATCH("1_Operational",Operational_RawData!$A:$A,0)+ROWS($2:65)-1))</f>
        <v>0</v>
      </c>
      <c r="T65">
        <f>IF(ROWS($2:65)&gt;COUNTIF(Operational_RawData!$A:$A,"1_Operational"),"",INDEX(Operational_RawData!T:T,MATCH("1_Operational",Operational_RawData!$A:$A,0)+ROWS($2:65)-1))</f>
        <v>0</v>
      </c>
    </row>
    <row r="66" spans="1:20">
      <c r="A66" t="str">
        <f>IF(ROWS($2:66)&gt;COUNTIF(Operational_RawData!$A:$A,"1_Operational"),"",INDEX(Operational_RawData!A:A,MATCH("1_Operational",Operational_RawData!$A:$A,0)+ROWS($2:66)-1))</f>
        <v>1_Operational</v>
      </c>
      <c r="B66">
        <f>IF(ROWS($2:66)&gt;COUNTIF(Operational_RawData!$A:$A,"1_Operational"),"",INDEX(Operational_RawData!B:B,MATCH("1_Operational",Operational_RawData!$A:$A,0)+ROWS($2:66)-1))</f>
        <v>144926.89300000001</v>
      </c>
      <c r="C66">
        <f>IF(ROWS($2:66)&gt;COUNTIF(Operational_RawData!$A:$A,"1_Operational"),"",INDEX(Operational_RawData!C:C,MATCH("1_Operational",Operational_RawData!$A:$A,0)+ROWS($2:66)-1))</f>
        <v>47.86</v>
      </c>
      <c r="D66">
        <f>IF(ROWS($2:66)&gt;COUNTIF(Operational_RawData!$A:$A,"1_Operational"),"",INDEX(Operational_RawData!D:D,MATCH("1_Operational",Operational_RawData!$A:$A,0)+ROWS($2:66)-1))</f>
        <v>1311.463</v>
      </c>
      <c r="E66">
        <f>IF(ROWS($2:66)&gt;COUNTIF(Operational_RawData!$A:$A,"1_Operational"),"",INDEX(Operational_RawData!E:E,MATCH("1_Operational",Operational_RawData!$A:$A,0)+ROWS($2:66)-1))</f>
        <v>2.31</v>
      </c>
      <c r="F66">
        <f>IF(ROWS($2:66)&gt;COUNTIF(Operational_RawData!$A:$A,"1_Operational"),"",INDEX(Operational_RawData!F:F,MATCH("1_Operational",Operational_RawData!$A:$A,0)+ROWS($2:66)-1))</f>
        <v>258.44</v>
      </c>
      <c r="G66">
        <f>IF(ROWS($2:66)&gt;COUNTIF(Operational_RawData!$A:$A,"1_Operational"),"",INDEX(Operational_RawData!G:G,MATCH("1_Operational",Operational_RawData!$A:$A,0)+ROWS($2:66)-1))</f>
        <v>258.44</v>
      </c>
      <c r="H66">
        <f>IF(ROWS($2:66)&gt;COUNTIF(Operational_RawData!$A:$A,"1_Operational"),"",INDEX(Operational_RawData!H:H,MATCH("1_Operational",Operational_RawData!$A:$A,0)+ROWS($2:66)-1))</f>
        <v>258.44</v>
      </c>
      <c r="I66">
        <f>IF(ROWS($2:66)&gt;COUNTIF(Operational_RawData!$A:$A,"1_Operational"),"",INDEX(Operational_RawData!I:I,MATCH("1_Operational",Operational_RawData!$A:$A,0)+ROWS($2:66)-1))</f>
        <v>258.44</v>
      </c>
      <c r="J66">
        <f>IF(ROWS($2:66)&gt;COUNTIF(Operational_RawData!$A:$A,"1_Operational"),"",INDEX(Operational_RawData!J:J,MATCH("1_Operational",Operational_RawData!$A:$A,0)+ROWS($2:66)-1))</f>
        <v>380.32</v>
      </c>
      <c r="K66">
        <f>IF(ROWS($2:66)&gt;COUNTIF(Operational_RawData!$A:$A,"1_Operational"),"",INDEX(Operational_RawData!K:K,MATCH("1_Operational",Operational_RawData!$A:$A,0)+ROWS($2:66)-1))</f>
        <v>380.32</v>
      </c>
      <c r="L66">
        <f>IF(ROWS($2:66)&gt;COUNTIF(Operational_RawData!$A:$A,"1_Operational"),"",INDEX(Operational_RawData!L:L,MATCH("1_Operational",Operational_RawData!$A:$A,0)+ROWS($2:66)-1))</f>
        <v>380.32</v>
      </c>
      <c r="M66">
        <f>IF(ROWS($2:66)&gt;COUNTIF(Operational_RawData!$A:$A,"1_Operational"),"",INDEX(Operational_RawData!M:M,MATCH("1_Operational",Operational_RawData!$A:$A,0)+ROWS($2:66)-1))</f>
        <v>380.32</v>
      </c>
      <c r="N66">
        <f>IF(ROWS($2:66)&gt;COUNTIF(Operational_RawData!$A:$A,"1_Operational"),"",INDEX(Operational_RawData!N:N,MATCH("1_Operational",Operational_RawData!$A:$A,0)+ROWS($2:66)-1))</f>
        <v>0.11</v>
      </c>
      <c r="O66">
        <f>IF(ROWS($2:66)&gt;COUNTIF(Operational_RawData!$A:$A,"1_Operational"),"",INDEX(Operational_RawData!O:O,MATCH("1_Operational",Operational_RawData!$A:$A,0)+ROWS($2:66)-1))</f>
        <v>0.19</v>
      </c>
      <c r="P66">
        <f>IF(ROWS($2:66)&gt;COUNTIF(Operational_RawData!$A:$A,"1_Operational"),"",INDEX(Operational_RawData!P:P,MATCH("1_Operational",Operational_RawData!$A:$A,0)+ROWS($2:66)-1))</f>
        <v>0.06</v>
      </c>
      <c r="Q66">
        <f>IF(ROWS($2:66)&gt;COUNTIF(Operational_RawData!$A:$A,"1_Operational"),"",INDEX(Operational_RawData!Q:Q,MATCH("1_Operational",Operational_RawData!$A:$A,0)+ROWS($2:66)-1))</f>
        <v>0.1</v>
      </c>
      <c r="R66" t="str">
        <f>IF(ROWS($2:66)&gt;COUNTIF(Operational_RawData!$A:$A,"1_Operational"),"",INDEX(Operational_RawData!R:R,MATCH("1_Operational",Operational_RawData!$A:$A,0)+ROWS($2:66)-1))</f>
        <v>Pass</v>
      </c>
      <c r="S66">
        <f>IF(ROWS($2:66)&gt;COUNTIF(Operational_RawData!$A:$A,"1_Operational"),"",INDEX(Operational_RawData!S:S,MATCH("1_Operational",Operational_RawData!$A:$A,0)+ROWS($2:66)-1))</f>
        <v>0</v>
      </c>
      <c r="T66">
        <f>IF(ROWS($2:66)&gt;COUNTIF(Operational_RawData!$A:$A,"1_Operational"),"",INDEX(Operational_RawData!T:T,MATCH("1_Operational",Operational_RawData!$A:$A,0)+ROWS($2:66)-1))</f>
        <v>0</v>
      </c>
    </row>
    <row r="67" spans="1:20">
      <c r="A67" t="str">
        <f>IF(ROWS($2:67)&gt;COUNTIF(Operational_RawData!$A:$A,"1_Operational"),"",INDEX(Operational_RawData!A:A,MATCH("1_Operational",Operational_RawData!$A:$A,0)+ROWS($2:67)-1))</f>
        <v>1_Operational</v>
      </c>
      <c r="B67">
        <f>IF(ROWS($2:67)&gt;COUNTIF(Operational_RawData!$A:$A,"1_Operational"),"",INDEX(Operational_RawData!B:B,MATCH("1_Operational",Operational_RawData!$A:$A,0)+ROWS($2:67)-1))</f>
        <v>144931.891</v>
      </c>
      <c r="C67">
        <f>IF(ROWS($2:67)&gt;COUNTIF(Operational_RawData!$A:$A,"1_Operational"),"",INDEX(Operational_RawData!C:C,MATCH("1_Operational",Operational_RawData!$A:$A,0)+ROWS($2:67)-1))</f>
        <v>48.58</v>
      </c>
      <c r="D67">
        <f>IF(ROWS($2:67)&gt;COUNTIF(Operational_RawData!$A:$A,"1_Operational"),"",INDEX(Operational_RawData!D:D,MATCH("1_Operational",Operational_RawData!$A:$A,0)+ROWS($2:67)-1))</f>
        <v>1311.5360000000001</v>
      </c>
      <c r="E67">
        <f>IF(ROWS($2:67)&gt;COUNTIF(Operational_RawData!$A:$A,"1_Operational"),"",INDEX(Operational_RawData!E:E,MATCH("1_Operational",Operational_RawData!$A:$A,0)+ROWS($2:67)-1))</f>
        <v>2.2200000000000002</v>
      </c>
      <c r="F67">
        <f>IF(ROWS($2:67)&gt;COUNTIF(Operational_RawData!$A:$A,"1_Operational"),"",INDEX(Operational_RawData!F:F,MATCH("1_Operational",Operational_RawData!$A:$A,0)+ROWS($2:67)-1))</f>
        <v>261.27999999999997</v>
      </c>
      <c r="G67">
        <f>IF(ROWS($2:67)&gt;COUNTIF(Operational_RawData!$A:$A,"1_Operational"),"",INDEX(Operational_RawData!G:G,MATCH("1_Operational",Operational_RawData!$A:$A,0)+ROWS($2:67)-1))</f>
        <v>261.27999999999997</v>
      </c>
      <c r="H67">
        <f>IF(ROWS($2:67)&gt;COUNTIF(Operational_RawData!$A:$A,"1_Operational"),"",INDEX(Operational_RawData!H:H,MATCH("1_Operational",Operational_RawData!$A:$A,0)+ROWS($2:67)-1))</f>
        <v>261.27999999999997</v>
      </c>
      <c r="I67">
        <f>IF(ROWS($2:67)&gt;COUNTIF(Operational_RawData!$A:$A,"1_Operational"),"",INDEX(Operational_RawData!I:I,MATCH("1_Operational",Operational_RawData!$A:$A,0)+ROWS($2:67)-1))</f>
        <v>261.27999999999997</v>
      </c>
      <c r="J67">
        <f>IF(ROWS($2:67)&gt;COUNTIF(Operational_RawData!$A:$A,"1_Operational"),"",INDEX(Operational_RawData!J:J,MATCH("1_Operational",Operational_RawData!$A:$A,0)+ROWS($2:67)-1))</f>
        <v>385.36</v>
      </c>
      <c r="K67">
        <f>IF(ROWS($2:67)&gt;COUNTIF(Operational_RawData!$A:$A,"1_Operational"),"",INDEX(Operational_RawData!K:K,MATCH("1_Operational",Operational_RawData!$A:$A,0)+ROWS($2:67)-1))</f>
        <v>385.36</v>
      </c>
      <c r="L67">
        <f>IF(ROWS($2:67)&gt;COUNTIF(Operational_RawData!$A:$A,"1_Operational"),"",INDEX(Operational_RawData!L:L,MATCH("1_Operational",Operational_RawData!$A:$A,0)+ROWS($2:67)-1))</f>
        <v>385.36</v>
      </c>
      <c r="M67">
        <f>IF(ROWS($2:67)&gt;COUNTIF(Operational_RawData!$A:$A,"1_Operational"),"",INDEX(Operational_RawData!M:M,MATCH("1_Operational",Operational_RawData!$A:$A,0)+ROWS($2:67)-1))</f>
        <v>385.36</v>
      </c>
      <c r="N67">
        <f>IF(ROWS($2:67)&gt;COUNTIF(Operational_RawData!$A:$A,"1_Operational"),"",INDEX(Operational_RawData!N:N,MATCH("1_Operational",Operational_RawData!$A:$A,0)+ROWS($2:67)-1))</f>
        <v>0.1</v>
      </c>
      <c r="O67">
        <f>IF(ROWS($2:67)&gt;COUNTIF(Operational_RawData!$A:$A,"1_Operational"),"",INDEX(Operational_RawData!O:O,MATCH("1_Operational",Operational_RawData!$A:$A,0)+ROWS($2:67)-1))</f>
        <v>0.19</v>
      </c>
      <c r="P67">
        <f>IF(ROWS($2:67)&gt;COUNTIF(Operational_RawData!$A:$A,"1_Operational"),"",INDEX(Operational_RawData!P:P,MATCH("1_Operational",Operational_RawData!$A:$A,0)+ROWS($2:67)-1))</f>
        <v>0.06</v>
      </c>
      <c r="Q67">
        <f>IF(ROWS($2:67)&gt;COUNTIF(Operational_RawData!$A:$A,"1_Operational"),"",INDEX(Operational_RawData!Q:Q,MATCH("1_Operational",Operational_RawData!$A:$A,0)+ROWS($2:67)-1))</f>
        <v>0.1</v>
      </c>
      <c r="R67" t="str">
        <f>IF(ROWS($2:67)&gt;COUNTIF(Operational_RawData!$A:$A,"1_Operational"),"",INDEX(Operational_RawData!R:R,MATCH("1_Operational",Operational_RawData!$A:$A,0)+ROWS($2:67)-1))</f>
        <v>Pass</v>
      </c>
      <c r="S67">
        <f>IF(ROWS($2:67)&gt;COUNTIF(Operational_RawData!$A:$A,"1_Operational"),"",INDEX(Operational_RawData!S:S,MATCH("1_Operational",Operational_RawData!$A:$A,0)+ROWS($2:67)-1))</f>
        <v>0</v>
      </c>
      <c r="T67">
        <f>IF(ROWS($2:67)&gt;COUNTIF(Operational_RawData!$A:$A,"1_Operational"),"",INDEX(Operational_RawData!T:T,MATCH("1_Operational",Operational_RawData!$A:$A,0)+ROWS($2:67)-1))</f>
        <v>0</v>
      </c>
    </row>
    <row r="68" spans="1:20">
      <c r="A68" t="str">
        <f>IF(ROWS($2:68)&gt;COUNTIF(Operational_RawData!$A:$A,"1_Operational"),"",INDEX(Operational_RawData!A:A,MATCH("1_Operational",Operational_RawData!$A:$A,0)+ROWS($2:68)-1))</f>
        <v>1_Operational</v>
      </c>
      <c r="B68">
        <f>IF(ROWS($2:68)&gt;COUNTIF(Operational_RawData!$A:$A,"1_Operational"),"",INDEX(Operational_RawData!B:B,MATCH("1_Operational",Operational_RawData!$A:$A,0)+ROWS($2:68)-1))</f>
        <v>144936.89799999999</v>
      </c>
      <c r="C68">
        <f>IF(ROWS($2:68)&gt;COUNTIF(Operational_RawData!$A:$A,"1_Operational"),"",INDEX(Operational_RawData!C:C,MATCH("1_Operational",Operational_RawData!$A:$A,0)+ROWS($2:68)-1))</f>
        <v>49.33</v>
      </c>
      <c r="D68">
        <f>IF(ROWS($2:68)&gt;COUNTIF(Operational_RawData!$A:$A,"1_Operational"),"",INDEX(Operational_RawData!D:D,MATCH("1_Operational",Operational_RawData!$A:$A,0)+ROWS($2:68)-1))</f>
        <v>1311.6179999999999</v>
      </c>
      <c r="E68">
        <f>IF(ROWS($2:68)&gt;COUNTIF(Operational_RawData!$A:$A,"1_Operational"),"",INDEX(Operational_RawData!E:E,MATCH("1_Operational",Operational_RawData!$A:$A,0)+ROWS($2:68)-1))</f>
        <v>2.2000000000000002</v>
      </c>
      <c r="F68">
        <f>IF(ROWS($2:68)&gt;COUNTIF(Operational_RawData!$A:$A,"1_Operational"),"",INDEX(Operational_RawData!F:F,MATCH("1_Operational",Operational_RawData!$A:$A,0)+ROWS($2:68)-1))</f>
        <v>264.39999999999998</v>
      </c>
      <c r="G68">
        <f>IF(ROWS($2:68)&gt;COUNTIF(Operational_RawData!$A:$A,"1_Operational"),"",INDEX(Operational_RawData!G:G,MATCH("1_Operational",Operational_RawData!$A:$A,0)+ROWS($2:68)-1))</f>
        <v>264.39999999999998</v>
      </c>
      <c r="H68">
        <f>IF(ROWS($2:68)&gt;COUNTIF(Operational_RawData!$A:$A,"1_Operational"),"",INDEX(Operational_RawData!H:H,MATCH("1_Operational",Operational_RawData!$A:$A,0)+ROWS($2:68)-1))</f>
        <v>264.39999999999998</v>
      </c>
      <c r="I68">
        <f>IF(ROWS($2:68)&gt;COUNTIF(Operational_RawData!$A:$A,"1_Operational"),"",INDEX(Operational_RawData!I:I,MATCH("1_Operational",Operational_RawData!$A:$A,0)+ROWS($2:68)-1))</f>
        <v>264.39999999999998</v>
      </c>
      <c r="J68">
        <f>IF(ROWS($2:68)&gt;COUNTIF(Operational_RawData!$A:$A,"1_Operational"),"",INDEX(Operational_RawData!J:J,MATCH("1_Operational",Operational_RawData!$A:$A,0)+ROWS($2:68)-1))</f>
        <v>390.88</v>
      </c>
      <c r="K68">
        <f>IF(ROWS($2:68)&gt;COUNTIF(Operational_RawData!$A:$A,"1_Operational"),"",INDEX(Operational_RawData!K:K,MATCH("1_Operational",Operational_RawData!$A:$A,0)+ROWS($2:68)-1))</f>
        <v>390.88</v>
      </c>
      <c r="L68">
        <f>IF(ROWS($2:68)&gt;COUNTIF(Operational_RawData!$A:$A,"1_Operational"),"",INDEX(Operational_RawData!L:L,MATCH("1_Operational",Operational_RawData!$A:$A,0)+ROWS($2:68)-1))</f>
        <v>390.88</v>
      </c>
      <c r="M68">
        <f>IF(ROWS($2:68)&gt;COUNTIF(Operational_RawData!$A:$A,"1_Operational"),"",INDEX(Operational_RawData!M:M,MATCH("1_Operational",Operational_RawData!$A:$A,0)+ROWS($2:68)-1))</f>
        <v>390.88</v>
      </c>
      <c r="N68">
        <f>IF(ROWS($2:68)&gt;COUNTIF(Operational_RawData!$A:$A,"1_Operational"),"",INDEX(Operational_RawData!N:N,MATCH("1_Operational",Operational_RawData!$A:$A,0)+ROWS($2:68)-1))</f>
        <v>0.11</v>
      </c>
      <c r="O68">
        <f>IF(ROWS($2:68)&gt;COUNTIF(Operational_RawData!$A:$A,"1_Operational"),"",INDEX(Operational_RawData!O:O,MATCH("1_Operational",Operational_RawData!$A:$A,0)+ROWS($2:68)-1))</f>
        <v>0.19</v>
      </c>
      <c r="P68">
        <f>IF(ROWS($2:68)&gt;COUNTIF(Operational_RawData!$A:$A,"1_Operational"),"",INDEX(Operational_RawData!P:P,MATCH("1_Operational",Operational_RawData!$A:$A,0)+ROWS($2:68)-1))</f>
        <v>0.06</v>
      </c>
      <c r="Q68">
        <f>IF(ROWS($2:68)&gt;COUNTIF(Operational_RawData!$A:$A,"1_Operational"),"",INDEX(Operational_RawData!Q:Q,MATCH("1_Operational",Operational_RawData!$A:$A,0)+ROWS($2:68)-1))</f>
        <v>0.1</v>
      </c>
      <c r="R68" t="str">
        <f>IF(ROWS($2:68)&gt;COUNTIF(Operational_RawData!$A:$A,"1_Operational"),"",INDEX(Operational_RawData!R:R,MATCH("1_Operational",Operational_RawData!$A:$A,0)+ROWS($2:68)-1))</f>
        <v>Pass</v>
      </c>
      <c r="S68">
        <f>IF(ROWS($2:68)&gt;COUNTIF(Operational_RawData!$A:$A,"1_Operational"),"",INDEX(Operational_RawData!S:S,MATCH("1_Operational",Operational_RawData!$A:$A,0)+ROWS($2:68)-1))</f>
        <v>0</v>
      </c>
      <c r="T68">
        <f>IF(ROWS($2:68)&gt;COUNTIF(Operational_RawData!$A:$A,"1_Operational"),"",INDEX(Operational_RawData!T:T,MATCH("1_Operational",Operational_RawData!$A:$A,0)+ROWS($2:68)-1))</f>
        <v>0</v>
      </c>
    </row>
    <row r="69" spans="1:20">
      <c r="A69" t="str">
        <f>IF(ROWS($2:69)&gt;COUNTIF(Operational_RawData!$A:$A,"1_Operational"),"",INDEX(Operational_RawData!A:A,MATCH("1_Operational",Operational_RawData!$A:$A,0)+ROWS($2:69)-1))</f>
        <v>1_Operational</v>
      </c>
      <c r="B69">
        <f>IF(ROWS($2:69)&gt;COUNTIF(Operational_RawData!$A:$A,"1_Operational"),"",INDEX(Operational_RawData!B:B,MATCH("1_Operational",Operational_RawData!$A:$A,0)+ROWS($2:69)-1))</f>
        <v>144941.894</v>
      </c>
      <c r="C69">
        <f>IF(ROWS($2:69)&gt;COUNTIF(Operational_RawData!$A:$A,"1_Operational"),"",INDEX(Operational_RawData!C:C,MATCH("1_Operational",Operational_RawData!$A:$A,0)+ROWS($2:69)-1))</f>
        <v>50.06</v>
      </c>
      <c r="D69">
        <f>IF(ROWS($2:69)&gt;COUNTIF(Operational_RawData!$A:$A,"1_Operational"),"",INDEX(Operational_RawData!D:D,MATCH("1_Operational",Operational_RawData!$A:$A,0)+ROWS($2:69)-1))</f>
        <v>1311.7090000000001</v>
      </c>
      <c r="E69">
        <f>IF(ROWS($2:69)&gt;COUNTIF(Operational_RawData!$A:$A,"1_Operational"),"",INDEX(Operational_RawData!E:E,MATCH("1_Operational",Operational_RawData!$A:$A,0)+ROWS($2:69)-1))</f>
        <v>2.11</v>
      </c>
      <c r="F69">
        <f>IF(ROWS($2:69)&gt;COUNTIF(Operational_RawData!$A:$A,"1_Operational"),"",INDEX(Operational_RawData!F:F,MATCH("1_Operational",Operational_RawData!$A:$A,0)+ROWS($2:69)-1))</f>
        <v>267.76</v>
      </c>
      <c r="G69">
        <f>IF(ROWS($2:69)&gt;COUNTIF(Operational_RawData!$A:$A,"1_Operational"),"",INDEX(Operational_RawData!G:G,MATCH("1_Operational",Operational_RawData!$A:$A,0)+ROWS($2:69)-1))</f>
        <v>267.76</v>
      </c>
      <c r="H69">
        <f>IF(ROWS($2:69)&gt;COUNTIF(Operational_RawData!$A:$A,"1_Operational"),"",INDEX(Operational_RawData!H:H,MATCH("1_Operational",Operational_RawData!$A:$A,0)+ROWS($2:69)-1))</f>
        <v>267.76</v>
      </c>
      <c r="I69">
        <f>IF(ROWS($2:69)&gt;COUNTIF(Operational_RawData!$A:$A,"1_Operational"),"",INDEX(Operational_RawData!I:I,MATCH("1_Operational",Operational_RawData!$A:$A,0)+ROWS($2:69)-1))</f>
        <v>267.76</v>
      </c>
      <c r="J69">
        <f>IF(ROWS($2:69)&gt;COUNTIF(Operational_RawData!$A:$A,"1_Operational"),"",INDEX(Operational_RawData!J:J,MATCH("1_Operational",Operational_RawData!$A:$A,0)+ROWS($2:69)-1))</f>
        <v>396.44</v>
      </c>
      <c r="K69">
        <f>IF(ROWS($2:69)&gt;COUNTIF(Operational_RawData!$A:$A,"1_Operational"),"",INDEX(Operational_RawData!K:K,MATCH("1_Operational",Operational_RawData!$A:$A,0)+ROWS($2:69)-1))</f>
        <v>396.44</v>
      </c>
      <c r="L69">
        <f>IF(ROWS($2:69)&gt;COUNTIF(Operational_RawData!$A:$A,"1_Operational"),"",INDEX(Operational_RawData!L:L,MATCH("1_Operational",Operational_RawData!$A:$A,0)+ROWS($2:69)-1))</f>
        <v>396.44</v>
      </c>
      <c r="M69">
        <f>IF(ROWS($2:69)&gt;COUNTIF(Operational_RawData!$A:$A,"1_Operational"),"",INDEX(Operational_RawData!M:M,MATCH("1_Operational",Operational_RawData!$A:$A,0)+ROWS($2:69)-1))</f>
        <v>396.44</v>
      </c>
      <c r="N69">
        <f>IF(ROWS($2:69)&gt;COUNTIF(Operational_RawData!$A:$A,"1_Operational"),"",INDEX(Operational_RawData!N:N,MATCH("1_Operational",Operational_RawData!$A:$A,0)+ROWS($2:69)-1))</f>
        <v>0.12</v>
      </c>
      <c r="O69">
        <f>IF(ROWS($2:69)&gt;COUNTIF(Operational_RawData!$A:$A,"1_Operational"),"",INDEX(Operational_RawData!O:O,MATCH("1_Operational",Operational_RawData!$A:$A,0)+ROWS($2:69)-1))</f>
        <v>0.19</v>
      </c>
      <c r="P69">
        <f>IF(ROWS($2:69)&gt;COUNTIF(Operational_RawData!$A:$A,"1_Operational"),"",INDEX(Operational_RawData!P:P,MATCH("1_Operational",Operational_RawData!$A:$A,0)+ROWS($2:69)-1))</f>
        <v>0.06</v>
      </c>
      <c r="Q69">
        <f>IF(ROWS($2:69)&gt;COUNTIF(Operational_RawData!$A:$A,"1_Operational"),"",INDEX(Operational_RawData!Q:Q,MATCH("1_Operational",Operational_RawData!$A:$A,0)+ROWS($2:69)-1))</f>
        <v>0.1</v>
      </c>
      <c r="R69" t="str">
        <f>IF(ROWS($2:69)&gt;COUNTIF(Operational_RawData!$A:$A,"1_Operational"),"",INDEX(Operational_RawData!R:R,MATCH("1_Operational",Operational_RawData!$A:$A,0)+ROWS($2:69)-1))</f>
        <v>Pass</v>
      </c>
      <c r="S69">
        <f>IF(ROWS($2:69)&gt;COUNTIF(Operational_RawData!$A:$A,"1_Operational"),"",INDEX(Operational_RawData!S:S,MATCH("1_Operational",Operational_RawData!$A:$A,0)+ROWS($2:69)-1))</f>
        <v>0</v>
      </c>
      <c r="T69">
        <f>IF(ROWS($2:69)&gt;COUNTIF(Operational_RawData!$A:$A,"1_Operational"),"",INDEX(Operational_RawData!T:T,MATCH("1_Operational",Operational_RawData!$A:$A,0)+ROWS($2:69)-1))</f>
        <v>0</v>
      </c>
    </row>
    <row r="70" spans="1:20">
      <c r="A70" t="str">
        <f>IF(ROWS($2:70)&gt;COUNTIF(Operational_RawData!$A:$A,"1_Operational"),"",INDEX(Operational_RawData!A:A,MATCH("1_Operational",Operational_RawData!$A:$A,0)+ROWS($2:70)-1))</f>
        <v>1_Operational</v>
      </c>
      <c r="B70">
        <f>IF(ROWS($2:70)&gt;COUNTIF(Operational_RawData!$A:$A,"1_Operational"),"",INDEX(Operational_RawData!B:B,MATCH("1_Operational",Operational_RawData!$A:$A,0)+ROWS($2:70)-1))</f>
        <v>144946.89300000001</v>
      </c>
      <c r="C70">
        <f>IF(ROWS($2:70)&gt;COUNTIF(Operational_RawData!$A:$A,"1_Operational"),"",INDEX(Operational_RawData!C:C,MATCH("1_Operational",Operational_RawData!$A:$A,0)+ROWS($2:70)-1))</f>
        <v>50.83</v>
      </c>
      <c r="D70">
        <f>IF(ROWS($2:70)&gt;COUNTIF(Operational_RawData!$A:$A,"1_Operational"),"",INDEX(Operational_RawData!D:D,MATCH("1_Operational",Operational_RawData!$A:$A,0)+ROWS($2:70)-1))</f>
        <v>1311.7950000000001</v>
      </c>
      <c r="E70">
        <f>IF(ROWS($2:70)&gt;COUNTIF(Operational_RawData!$A:$A,"1_Operational"),"",INDEX(Operational_RawData!E:E,MATCH("1_Operational",Operational_RawData!$A:$A,0)+ROWS($2:70)-1))</f>
        <v>2.02</v>
      </c>
      <c r="F70">
        <f>IF(ROWS($2:70)&gt;COUNTIF(Operational_RawData!$A:$A,"1_Operational"),"",INDEX(Operational_RawData!F:F,MATCH("1_Operational",Operational_RawData!$A:$A,0)+ROWS($2:70)-1))</f>
        <v>270.95999999999998</v>
      </c>
      <c r="G70">
        <f>IF(ROWS($2:70)&gt;COUNTIF(Operational_RawData!$A:$A,"1_Operational"),"",INDEX(Operational_RawData!G:G,MATCH("1_Operational",Operational_RawData!$A:$A,0)+ROWS($2:70)-1))</f>
        <v>270.95999999999998</v>
      </c>
      <c r="H70">
        <f>IF(ROWS($2:70)&gt;COUNTIF(Operational_RawData!$A:$A,"1_Operational"),"",INDEX(Operational_RawData!H:H,MATCH("1_Operational",Operational_RawData!$A:$A,0)+ROWS($2:70)-1))</f>
        <v>270.95999999999998</v>
      </c>
      <c r="I70">
        <f>IF(ROWS($2:70)&gt;COUNTIF(Operational_RawData!$A:$A,"1_Operational"),"",INDEX(Operational_RawData!I:I,MATCH("1_Operational",Operational_RawData!$A:$A,0)+ROWS($2:70)-1))</f>
        <v>270.95999999999998</v>
      </c>
      <c r="J70">
        <f>IF(ROWS($2:70)&gt;COUNTIF(Operational_RawData!$A:$A,"1_Operational"),"",INDEX(Operational_RawData!J:J,MATCH("1_Operational",Operational_RawData!$A:$A,0)+ROWS($2:70)-1))</f>
        <v>399</v>
      </c>
      <c r="K70">
        <f>IF(ROWS($2:70)&gt;COUNTIF(Operational_RawData!$A:$A,"1_Operational"),"",INDEX(Operational_RawData!K:K,MATCH("1_Operational",Operational_RawData!$A:$A,0)+ROWS($2:70)-1))</f>
        <v>399</v>
      </c>
      <c r="L70">
        <f>IF(ROWS($2:70)&gt;COUNTIF(Operational_RawData!$A:$A,"1_Operational"),"",INDEX(Operational_RawData!L:L,MATCH("1_Operational",Operational_RawData!$A:$A,0)+ROWS($2:70)-1))</f>
        <v>399</v>
      </c>
      <c r="M70">
        <f>IF(ROWS($2:70)&gt;COUNTIF(Operational_RawData!$A:$A,"1_Operational"),"",INDEX(Operational_RawData!M:M,MATCH("1_Operational",Operational_RawData!$A:$A,0)+ROWS($2:70)-1))</f>
        <v>399</v>
      </c>
      <c r="N70">
        <f>IF(ROWS($2:70)&gt;COUNTIF(Operational_RawData!$A:$A,"1_Operational"),"",INDEX(Operational_RawData!N:N,MATCH("1_Operational",Operational_RawData!$A:$A,0)+ROWS($2:70)-1))</f>
        <v>0.11</v>
      </c>
      <c r="O70">
        <f>IF(ROWS($2:70)&gt;COUNTIF(Operational_RawData!$A:$A,"1_Operational"),"",INDEX(Operational_RawData!O:O,MATCH("1_Operational",Operational_RawData!$A:$A,0)+ROWS($2:70)-1))</f>
        <v>0.19</v>
      </c>
      <c r="P70">
        <f>IF(ROWS($2:70)&gt;COUNTIF(Operational_RawData!$A:$A,"1_Operational"),"",INDEX(Operational_RawData!P:P,MATCH("1_Operational",Operational_RawData!$A:$A,0)+ROWS($2:70)-1))</f>
        <v>0.06</v>
      </c>
      <c r="Q70">
        <f>IF(ROWS($2:70)&gt;COUNTIF(Operational_RawData!$A:$A,"1_Operational"),"",INDEX(Operational_RawData!Q:Q,MATCH("1_Operational",Operational_RawData!$A:$A,0)+ROWS($2:70)-1))</f>
        <v>0.1</v>
      </c>
      <c r="R70" t="str">
        <f>IF(ROWS($2:70)&gt;COUNTIF(Operational_RawData!$A:$A,"1_Operational"),"",INDEX(Operational_RawData!R:R,MATCH("1_Operational",Operational_RawData!$A:$A,0)+ROWS($2:70)-1))</f>
        <v>Pass</v>
      </c>
      <c r="S70">
        <f>IF(ROWS($2:70)&gt;COUNTIF(Operational_RawData!$A:$A,"1_Operational"),"",INDEX(Operational_RawData!S:S,MATCH("1_Operational",Operational_RawData!$A:$A,0)+ROWS($2:70)-1))</f>
        <v>0</v>
      </c>
      <c r="T70">
        <f>IF(ROWS($2:70)&gt;COUNTIF(Operational_RawData!$A:$A,"1_Operational"),"",INDEX(Operational_RawData!T:T,MATCH("1_Operational",Operational_RawData!$A:$A,0)+ROWS($2:70)-1))</f>
        <v>0</v>
      </c>
    </row>
    <row r="71" spans="1:20">
      <c r="A71" t="str">
        <f>IF(ROWS($2:71)&gt;COUNTIF(Operational_RawData!$A:$A,"1_Operational"),"",INDEX(Operational_RawData!A:A,MATCH("1_Operational",Operational_RawData!$A:$A,0)+ROWS($2:71)-1))</f>
        <v>1_Operational</v>
      </c>
      <c r="B71">
        <f>IF(ROWS($2:71)&gt;COUNTIF(Operational_RawData!$A:$A,"1_Operational"),"",INDEX(Operational_RawData!B:B,MATCH("1_Operational",Operational_RawData!$A:$A,0)+ROWS($2:71)-1))</f>
        <v>144951.9</v>
      </c>
      <c r="C71">
        <f>IF(ROWS($2:71)&gt;COUNTIF(Operational_RawData!$A:$A,"1_Operational"),"",INDEX(Operational_RawData!C:C,MATCH("1_Operational",Operational_RawData!$A:$A,0)+ROWS($2:71)-1))</f>
        <v>51.56</v>
      </c>
      <c r="D71">
        <f>IF(ROWS($2:71)&gt;COUNTIF(Operational_RawData!$A:$A,"1_Operational"),"",INDEX(Operational_RawData!D:D,MATCH("1_Operational",Operational_RawData!$A:$A,0)+ROWS($2:71)-1))</f>
        <v>1311.8810000000001</v>
      </c>
      <c r="E71">
        <f>IF(ROWS($2:71)&gt;COUNTIF(Operational_RawData!$A:$A,"1_Operational"),"",INDEX(Operational_RawData!E:E,MATCH("1_Operational",Operational_RawData!$A:$A,0)+ROWS($2:71)-1))</f>
        <v>2.02</v>
      </c>
      <c r="F71">
        <f>IF(ROWS($2:71)&gt;COUNTIF(Operational_RawData!$A:$A,"1_Operational"),"",INDEX(Operational_RawData!F:F,MATCH("1_Operational",Operational_RawData!$A:$A,0)+ROWS($2:71)-1))</f>
        <v>274.60000000000002</v>
      </c>
      <c r="G71">
        <f>IF(ROWS($2:71)&gt;COUNTIF(Operational_RawData!$A:$A,"1_Operational"),"",INDEX(Operational_RawData!G:G,MATCH("1_Operational",Operational_RawData!$A:$A,0)+ROWS($2:71)-1))</f>
        <v>274.60000000000002</v>
      </c>
      <c r="H71">
        <f>IF(ROWS($2:71)&gt;COUNTIF(Operational_RawData!$A:$A,"1_Operational"),"",INDEX(Operational_RawData!H:H,MATCH("1_Operational",Operational_RawData!$A:$A,0)+ROWS($2:71)-1))</f>
        <v>274.60000000000002</v>
      </c>
      <c r="I71">
        <f>IF(ROWS($2:71)&gt;COUNTIF(Operational_RawData!$A:$A,"1_Operational"),"",INDEX(Operational_RawData!I:I,MATCH("1_Operational",Operational_RawData!$A:$A,0)+ROWS($2:71)-1))</f>
        <v>274.60000000000002</v>
      </c>
      <c r="J71">
        <f>IF(ROWS($2:71)&gt;COUNTIF(Operational_RawData!$A:$A,"1_Operational"),"",INDEX(Operational_RawData!J:J,MATCH("1_Operational",Operational_RawData!$A:$A,0)+ROWS($2:71)-1))</f>
        <v>399</v>
      </c>
      <c r="K71">
        <f>IF(ROWS($2:71)&gt;COUNTIF(Operational_RawData!$A:$A,"1_Operational"),"",INDEX(Operational_RawData!K:K,MATCH("1_Operational",Operational_RawData!$A:$A,0)+ROWS($2:71)-1))</f>
        <v>399</v>
      </c>
      <c r="L71">
        <f>IF(ROWS($2:71)&gt;COUNTIF(Operational_RawData!$A:$A,"1_Operational"),"",INDEX(Operational_RawData!L:L,MATCH("1_Operational",Operational_RawData!$A:$A,0)+ROWS($2:71)-1))</f>
        <v>399</v>
      </c>
      <c r="M71">
        <f>IF(ROWS($2:71)&gt;COUNTIF(Operational_RawData!$A:$A,"1_Operational"),"",INDEX(Operational_RawData!M:M,MATCH("1_Operational",Operational_RawData!$A:$A,0)+ROWS($2:71)-1))</f>
        <v>399</v>
      </c>
      <c r="N71">
        <f>IF(ROWS($2:71)&gt;COUNTIF(Operational_RawData!$A:$A,"1_Operational"),"",INDEX(Operational_RawData!N:N,MATCH("1_Operational",Operational_RawData!$A:$A,0)+ROWS($2:71)-1))</f>
        <v>0.12</v>
      </c>
      <c r="O71">
        <f>IF(ROWS($2:71)&gt;COUNTIF(Operational_RawData!$A:$A,"1_Operational"),"",INDEX(Operational_RawData!O:O,MATCH("1_Operational",Operational_RawData!$A:$A,0)+ROWS($2:71)-1))</f>
        <v>0.19</v>
      </c>
      <c r="P71">
        <f>IF(ROWS($2:71)&gt;COUNTIF(Operational_RawData!$A:$A,"1_Operational"),"",INDEX(Operational_RawData!P:P,MATCH("1_Operational",Operational_RawData!$A:$A,0)+ROWS($2:71)-1))</f>
        <v>0.06</v>
      </c>
      <c r="Q71">
        <f>IF(ROWS($2:71)&gt;COUNTIF(Operational_RawData!$A:$A,"1_Operational"),"",INDEX(Operational_RawData!Q:Q,MATCH("1_Operational",Operational_RawData!$A:$A,0)+ROWS($2:71)-1))</f>
        <v>0.1</v>
      </c>
      <c r="R71" t="str">
        <f>IF(ROWS($2:71)&gt;COUNTIF(Operational_RawData!$A:$A,"1_Operational"),"",INDEX(Operational_RawData!R:R,MATCH("1_Operational",Operational_RawData!$A:$A,0)+ROWS($2:71)-1))</f>
        <v>Pass</v>
      </c>
      <c r="S71">
        <f>IF(ROWS($2:71)&gt;COUNTIF(Operational_RawData!$A:$A,"1_Operational"),"",INDEX(Operational_RawData!S:S,MATCH("1_Operational",Operational_RawData!$A:$A,0)+ROWS($2:71)-1))</f>
        <v>0</v>
      </c>
      <c r="T71">
        <f>IF(ROWS($2:71)&gt;COUNTIF(Operational_RawData!$A:$A,"1_Operational"),"",INDEX(Operational_RawData!T:T,MATCH("1_Operational",Operational_RawData!$A:$A,0)+ROWS($2:71)-1))</f>
        <v>0</v>
      </c>
    </row>
    <row r="72" spans="1:20">
      <c r="A72" t="str">
        <f>IF(ROWS($2:72)&gt;COUNTIF(Operational_RawData!$A:$A,"1_Operational"),"",INDEX(Operational_RawData!A:A,MATCH("1_Operational",Operational_RawData!$A:$A,0)+ROWS($2:72)-1))</f>
        <v>1_Operational</v>
      </c>
      <c r="B72">
        <f>IF(ROWS($2:72)&gt;COUNTIF(Operational_RawData!$A:$A,"1_Operational"),"",INDEX(Operational_RawData!B:B,MATCH("1_Operational",Operational_RawData!$A:$A,0)+ROWS($2:72)-1))</f>
        <v>144956.90700000001</v>
      </c>
      <c r="C72">
        <f>IF(ROWS($2:72)&gt;COUNTIF(Operational_RawData!$A:$A,"1_Operational"),"",INDEX(Operational_RawData!C:C,MATCH("1_Operational",Operational_RawData!$A:$A,0)+ROWS($2:72)-1))</f>
        <v>52.32</v>
      </c>
      <c r="D72">
        <f>IF(ROWS($2:72)&gt;COUNTIF(Operational_RawData!$A:$A,"1_Operational"),"",INDEX(Operational_RawData!D:D,MATCH("1_Operational",Operational_RawData!$A:$A,0)+ROWS($2:72)-1))</f>
        <v>1311.9649999999999</v>
      </c>
      <c r="E72">
        <f>IF(ROWS($2:72)&gt;COUNTIF(Operational_RawData!$A:$A,"1_Operational"),"",INDEX(Operational_RawData!E:E,MATCH("1_Operational",Operational_RawData!$A:$A,0)+ROWS($2:72)-1))</f>
        <v>1.94</v>
      </c>
      <c r="F72">
        <f>IF(ROWS($2:72)&gt;COUNTIF(Operational_RawData!$A:$A,"1_Operational"),"",INDEX(Operational_RawData!F:F,MATCH("1_Operational",Operational_RawData!$A:$A,0)+ROWS($2:72)-1))</f>
        <v>278.24</v>
      </c>
      <c r="G72">
        <f>IF(ROWS($2:72)&gt;COUNTIF(Operational_RawData!$A:$A,"1_Operational"),"",INDEX(Operational_RawData!G:G,MATCH("1_Operational",Operational_RawData!$A:$A,0)+ROWS($2:72)-1))</f>
        <v>278.24</v>
      </c>
      <c r="H72">
        <f>IF(ROWS($2:72)&gt;COUNTIF(Operational_RawData!$A:$A,"1_Operational"),"",INDEX(Operational_RawData!H:H,MATCH("1_Operational",Operational_RawData!$A:$A,0)+ROWS($2:72)-1))</f>
        <v>278.24</v>
      </c>
      <c r="I72">
        <f>IF(ROWS($2:72)&gt;COUNTIF(Operational_RawData!$A:$A,"1_Operational"),"",INDEX(Operational_RawData!I:I,MATCH("1_Operational",Operational_RawData!$A:$A,0)+ROWS($2:72)-1))</f>
        <v>278.24</v>
      </c>
      <c r="J72">
        <f>IF(ROWS($2:72)&gt;COUNTIF(Operational_RawData!$A:$A,"1_Operational"),"",INDEX(Operational_RawData!J:J,MATCH("1_Operational",Operational_RawData!$A:$A,0)+ROWS($2:72)-1))</f>
        <v>399</v>
      </c>
      <c r="K72">
        <f>IF(ROWS($2:72)&gt;COUNTIF(Operational_RawData!$A:$A,"1_Operational"),"",INDEX(Operational_RawData!K:K,MATCH("1_Operational",Operational_RawData!$A:$A,0)+ROWS($2:72)-1))</f>
        <v>399</v>
      </c>
      <c r="L72">
        <f>IF(ROWS($2:72)&gt;COUNTIF(Operational_RawData!$A:$A,"1_Operational"),"",INDEX(Operational_RawData!L:L,MATCH("1_Operational",Operational_RawData!$A:$A,0)+ROWS($2:72)-1))</f>
        <v>399</v>
      </c>
      <c r="M72">
        <f>IF(ROWS($2:72)&gt;COUNTIF(Operational_RawData!$A:$A,"1_Operational"),"",INDEX(Operational_RawData!M:M,MATCH("1_Operational",Operational_RawData!$A:$A,0)+ROWS($2:72)-1))</f>
        <v>399</v>
      </c>
      <c r="N72">
        <f>IF(ROWS($2:72)&gt;COUNTIF(Operational_RawData!$A:$A,"1_Operational"),"",INDEX(Operational_RawData!N:N,MATCH("1_Operational",Operational_RawData!$A:$A,0)+ROWS($2:72)-1))</f>
        <v>0.11</v>
      </c>
      <c r="O72">
        <f>IF(ROWS($2:72)&gt;COUNTIF(Operational_RawData!$A:$A,"1_Operational"),"",INDEX(Operational_RawData!O:O,MATCH("1_Operational",Operational_RawData!$A:$A,0)+ROWS($2:72)-1))</f>
        <v>0.19</v>
      </c>
      <c r="P72">
        <f>IF(ROWS($2:72)&gt;COUNTIF(Operational_RawData!$A:$A,"1_Operational"),"",INDEX(Operational_RawData!P:P,MATCH("1_Operational",Operational_RawData!$A:$A,0)+ROWS($2:72)-1))</f>
        <v>0.06</v>
      </c>
      <c r="Q72">
        <f>IF(ROWS($2:72)&gt;COUNTIF(Operational_RawData!$A:$A,"1_Operational"),"",INDEX(Operational_RawData!Q:Q,MATCH("1_Operational",Operational_RawData!$A:$A,0)+ROWS($2:72)-1))</f>
        <v>0.1</v>
      </c>
      <c r="R72" t="str">
        <f>IF(ROWS($2:72)&gt;COUNTIF(Operational_RawData!$A:$A,"1_Operational"),"",INDEX(Operational_RawData!R:R,MATCH("1_Operational",Operational_RawData!$A:$A,0)+ROWS($2:72)-1))</f>
        <v>Pass</v>
      </c>
      <c r="S72">
        <f>IF(ROWS($2:72)&gt;COUNTIF(Operational_RawData!$A:$A,"1_Operational"),"",INDEX(Operational_RawData!S:S,MATCH("1_Operational",Operational_RawData!$A:$A,0)+ROWS($2:72)-1))</f>
        <v>0</v>
      </c>
      <c r="T72">
        <f>IF(ROWS($2:72)&gt;COUNTIF(Operational_RawData!$A:$A,"1_Operational"),"",INDEX(Operational_RawData!T:T,MATCH("1_Operational",Operational_RawData!$A:$A,0)+ROWS($2:72)-1))</f>
        <v>0</v>
      </c>
    </row>
    <row r="73" spans="1:20">
      <c r="A73" t="str">
        <f>IF(ROWS($2:73)&gt;COUNTIF(Operational_RawData!$A:$A,"1_Operational"),"",INDEX(Operational_RawData!A:A,MATCH("1_Operational",Operational_RawData!$A:$A,0)+ROWS($2:73)-1))</f>
        <v>1_Operational</v>
      </c>
      <c r="B73">
        <f>IF(ROWS($2:73)&gt;COUNTIF(Operational_RawData!$A:$A,"1_Operational"),"",INDEX(Operational_RawData!B:B,MATCH("1_Operational",Operational_RawData!$A:$A,0)+ROWS($2:73)-1))</f>
        <v>145001.902</v>
      </c>
      <c r="C73">
        <f>IF(ROWS($2:73)&gt;COUNTIF(Operational_RawData!$A:$A,"1_Operational"),"",INDEX(Operational_RawData!C:C,MATCH("1_Operational",Operational_RawData!$A:$A,0)+ROWS($2:73)-1))</f>
        <v>53.09</v>
      </c>
      <c r="D73">
        <f>IF(ROWS($2:73)&gt;COUNTIF(Operational_RawData!$A:$A,"1_Operational"),"",INDEX(Operational_RawData!D:D,MATCH("1_Operational",Operational_RawData!$A:$A,0)+ROWS($2:73)-1))</f>
        <v>1312.0530000000001</v>
      </c>
      <c r="E73">
        <f>IF(ROWS($2:73)&gt;COUNTIF(Operational_RawData!$A:$A,"1_Operational"),"",INDEX(Operational_RawData!E:E,MATCH("1_Operational",Operational_RawData!$A:$A,0)+ROWS($2:73)-1))</f>
        <v>1.91</v>
      </c>
      <c r="F73">
        <f>IF(ROWS($2:73)&gt;COUNTIF(Operational_RawData!$A:$A,"1_Operational"),"",INDEX(Operational_RawData!F:F,MATCH("1_Operational",Operational_RawData!$A:$A,0)+ROWS($2:73)-1))</f>
        <v>282.04000000000002</v>
      </c>
      <c r="G73">
        <f>IF(ROWS($2:73)&gt;COUNTIF(Operational_RawData!$A:$A,"1_Operational"),"",INDEX(Operational_RawData!G:G,MATCH("1_Operational",Operational_RawData!$A:$A,0)+ROWS($2:73)-1))</f>
        <v>282.04000000000002</v>
      </c>
      <c r="H73">
        <f>IF(ROWS($2:73)&gt;COUNTIF(Operational_RawData!$A:$A,"1_Operational"),"",INDEX(Operational_RawData!H:H,MATCH("1_Operational",Operational_RawData!$A:$A,0)+ROWS($2:73)-1))</f>
        <v>282.04000000000002</v>
      </c>
      <c r="I73">
        <f>IF(ROWS($2:73)&gt;COUNTIF(Operational_RawData!$A:$A,"1_Operational"),"",INDEX(Operational_RawData!I:I,MATCH("1_Operational",Operational_RawData!$A:$A,0)+ROWS($2:73)-1))</f>
        <v>282.04000000000002</v>
      </c>
      <c r="J73">
        <f>IF(ROWS($2:73)&gt;COUNTIF(Operational_RawData!$A:$A,"1_Operational"),"",INDEX(Operational_RawData!J:J,MATCH("1_Operational",Operational_RawData!$A:$A,0)+ROWS($2:73)-1))</f>
        <v>399</v>
      </c>
      <c r="K73">
        <f>IF(ROWS($2:73)&gt;COUNTIF(Operational_RawData!$A:$A,"1_Operational"),"",INDEX(Operational_RawData!K:K,MATCH("1_Operational",Operational_RawData!$A:$A,0)+ROWS($2:73)-1))</f>
        <v>399</v>
      </c>
      <c r="L73">
        <f>IF(ROWS($2:73)&gt;COUNTIF(Operational_RawData!$A:$A,"1_Operational"),"",INDEX(Operational_RawData!L:L,MATCH("1_Operational",Operational_RawData!$A:$A,0)+ROWS($2:73)-1))</f>
        <v>399</v>
      </c>
      <c r="M73">
        <f>IF(ROWS($2:73)&gt;COUNTIF(Operational_RawData!$A:$A,"1_Operational"),"",INDEX(Operational_RawData!M:M,MATCH("1_Operational",Operational_RawData!$A:$A,0)+ROWS($2:73)-1))</f>
        <v>399</v>
      </c>
      <c r="N73">
        <f>IF(ROWS($2:73)&gt;COUNTIF(Operational_RawData!$A:$A,"1_Operational"),"",INDEX(Operational_RawData!N:N,MATCH("1_Operational",Operational_RawData!$A:$A,0)+ROWS($2:73)-1))</f>
        <v>0.11</v>
      </c>
      <c r="O73">
        <f>IF(ROWS($2:73)&gt;COUNTIF(Operational_RawData!$A:$A,"1_Operational"),"",INDEX(Operational_RawData!O:O,MATCH("1_Operational",Operational_RawData!$A:$A,0)+ROWS($2:73)-1))</f>
        <v>0.19</v>
      </c>
      <c r="P73">
        <f>IF(ROWS($2:73)&gt;COUNTIF(Operational_RawData!$A:$A,"1_Operational"),"",INDEX(Operational_RawData!P:P,MATCH("1_Operational",Operational_RawData!$A:$A,0)+ROWS($2:73)-1))</f>
        <v>0.06</v>
      </c>
      <c r="Q73">
        <f>IF(ROWS($2:73)&gt;COUNTIF(Operational_RawData!$A:$A,"1_Operational"),"",INDEX(Operational_RawData!Q:Q,MATCH("1_Operational",Operational_RawData!$A:$A,0)+ROWS($2:73)-1))</f>
        <v>0.1</v>
      </c>
      <c r="R73" t="str">
        <f>IF(ROWS($2:73)&gt;COUNTIF(Operational_RawData!$A:$A,"1_Operational"),"",INDEX(Operational_RawData!R:R,MATCH("1_Operational",Operational_RawData!$A:$A,0)+ROWS($2:73)-1))</f>
        <v>Pass</v>
      </c>
      <c r="S73">
        <f>IF(ROWS($2:73)&gt;COUNTIF(Operational_RawData!$A:$A,"1_Operational"),"",INDEX(Operational_RawData!S:S,MATCH("1_Operational",Operational_RawData!$A:$A,0)+ROWS($2:73)-1))</f>
        <v>0</v>
      </c>
      <c r="T73">
        <f>IF(ROWS($2:73)&gt;COUNTIF(Operational_RawData!$A:$A,"1_Operational"),"",INDEX(Operational_RawData!T:T,MATCH("1_Operational",Operational_RawData!$A:$A,0)+ROWS($2:73)-1))</f>
        <v>0</v>
      </c>
    </row>
    <row r="74" spans="1:20">
      <c r="A74" t="str">
        <f>IF(ROWS($2:74)&gt;COUNTIF(Operational_RawData!$A:$A,"1_Operational"),"",INDEX(Operational_RawData!A:A,MATCH("1_Operational",Operational_RawData!$A:$A,0)+ROWS($2:74)-1))</f>
        <v>1_Operational</v>
      </c>
      <c r="B74">
        <f>IF(ROWS($2:74)&gt;COUNTIF(Operational_RawData!$A:$A,"1_Operational"),"",INDEX(Operational_RawData!B:B,MATCH("1_Operational",Operational_RawData!$A:$A,0)+ROWS($2:74)-1))</f>
        <v>145006.90100000001</v>
      </c>
      <c r="C74">
        <f>IF(ROWS($2:74)&gt;COUNTIF(Operational_RawData!$A:$A,"1_Operational"),"",INDEX(Operational_RawData!C:C,MATCH("1_Operational",Operational_RawData!$A:$A,0)+ROWS($2:74)-1))</f>
        <v>53.84</v>
      </c>
      <c r="D74">
        <f>IF(ROWS($2:74)&gt;COUNTIF(Operational_RawData!$A:$A,"1_Operational"),"",INDEX(Operational_RawData!D:D,MATCH("1_Operational",Operational_RawData!$A:$A,0)+ROWS($2:74)-1))</f>
        <v>1312.1420000000001</v>
      </c>
      <c r="E74">
        <f>IF(ROWS($2:74)&gt;COUNTIF(Operational_RawData!$A:$A,"1_Operational"),"",INDEX(Operational_RawData!E:E,MATCH("1_Operational",Operational_RawData!$A:$A,0)+ROWS($2:74)-1))</f>
        <v>1.8</v>
      </c>
      <c r="F74">
        <f>IF(ROWS($2:74)&gt;COUNTIF(Operational_RawData!$A:$A,"1_Operational"),"",INDEX(Operational_RawData!F:F,MATCH("1_Operational",Operational_RawData!$A:$A,0)+ROWS($2:74)-1))</f>
        <v>285.95999999999998</v>
      </c>
      <c r="G74">
        <f>IF(ROWS($2:74)&gt;COUNTIF(Operational_RawData!$A:$A,"1_Operational"),"",INDEX(Operational_RawData!G:G,MATCH("1_Operational",Operational_RawData!$A:$A,0)+ROWS($2:74)-1))</f>
        <v>285.95999999999998</v>
      </c>
      <c r="H74">
        <f>IF(ROWS($2:74)&gt;COUNTIF(Operational_RawData!$A:$A,"1_Operational"),"",INDEX(Operational_RawData!H:H,MATCH("1_Operational",Operational_RawData!$A:$A,0)+ROWS($2:74)-1))</f>
        <v>285.95999999999998</v>
      </c>
      <c r="I74">
        <f>IF(ROWS($2:74)&gt;COUNTIF(Operational_RawData!$A:$A,"1_Operational"),"",INDEX(Operational_RawData!I:I,MATCH("1_Operational",Operational_RawData!$A:$A,0)+ROWS($2:74)-1))</f>
        <v>285.95999999999998</v>
      </c>
      <c r="J74">
        <f>IF(ROWS($2:74)&gt;COUNTIF(Operational_RawData!$A:$A,"1_Operational"),"",INDEX(Operational_RawData!J:J,MATCH("1_Operational",Operational_RawData!$A:$A,0)+ROWS($2:74)-1))</f>
        <v>399</v>
      </c>
      <c r="K74">
        <f>IF(ROWS($2:74)&gt;COUNTIF(Operational_RawData!$A:$A,"1_Operational"),"",INDEX(Operational_RawData!K:K,MATCH("1_Operational",Operational_RawData!$A:$A,0)+ROWS($2:74)-1))</f>
        <v>399</v>
      </c>
      <c r="L74">
        <f>IF(ROWS($2:74)&gt;COUNTIF(Operational_RawData!$A:$A,"1_Operational"),"",INDEX(Operational_RawData!L:L,MATCH("1_Operational",Operational_RawData!$A:$A,0)+ROWS($2:74)-1))</f>
        <v>399</v>
      </c>
      <c r="M74">
        <f>IF(ROWS($2:74)&gt;COUNTIF(Operational_RawData!$A:$A,"1_Operational"),"",INDEX(Operational_RawData!M:M,MATCH("1_Operational",Operational_RawData!$A:$A,0)+ROWS($2:74)-1))</f>
        <v>399</v>
      </c>
      <c r="N74">
        <f>IF(ROWS($2:74)&gt;COUNTIF(Operational_RawData!$A:$A,"1_Operational"),"",INDEX(Operational_RawData!N:N,MATCH("1_Operational",Operational_RawData!$A:$A,0)+ROWS($2:74)-1))</f>
        <v>0.12</v>
      </c>
      <c r="O74">
        <f>IF(ROWS($2:74)&gt;COUNTIF(Operational_RawData!$A:$A,"1_Operational"),"",INDEX(Operational_RawData!O:O,MATCH("1_Operational",Operational_RawData!$A:$A,0)+ROWS($2:74)-1))</f>
        <v>0.19</v>
      </c>
      <c r="P74">
        <f>IF(ROWS($2:74)&gt;COUNTIF(Operational_RawData!$A:$A,"1_Operational"),"",INDEX(Operational_RawData!P:P,MATCH("1_Operational",Operational_RawData!$A:$A,0)+ROWS($2:74)-1))</f>
        <v>0.06</v>
      </c>
      <c r="Q74">
        <f>IF(ROWS($2:74)&gt;COUNTIF(Operational_RawData!$A:$A,"1_Operational"),"",INDEX(Operational_RawData!Q:Q,MATCH("1_Operational",Operational_RawData!$A:$A,0)+ROWS($2:74)-1))</f>
        <v>0.1</v>
      </c>
      <c r="R74" t="str">
        <f>IF(ROWS($2:74)&gt;COUNTIF(Operational_RawData!$A:$A,"1_Operational"),"",INDEX(Operational_RawData!R:R,MATCH("1_Operational",Operational_RawData!$A:$A,0)+ROWS($2:74)-1))</f>
        <v>Pass</v>
      </c>
      <c r="S74">
        <f>IF(ROWS($2:74)&gt;COUNTIF(Operational_RawData!$A:$A,"1_Operational"),"",INDEX(Operational_RawData!S:S,MATCH("1_Operational",Operational_RawData!$A:$A,0)+ROWS($2:74)-1))</f>
        <v>0</v>
      </c>
      <c r="T74">
        <f>IF(ROWS($2:74)&gt;COUNTIF(Operational_RawData!$A:$A,"1_Operational"),"",INDEX(Operational_RawData!T:T,MATCH("1_Operational",Operational_RawData!$A:$A,0)+ROWS($2:74)-1))</f>
        <v>0</v>
      </c>
    </row>
    <row r="75" spans="1:20">
      <c r="A75" t="str">
        <f>IF(ROWS($2:75)&gt;COUNTIF(Operational_RawData!$A:$A,"1_Operational"),"",INDEX(Operational_RawData!A:A,MATCH("1_Operational",Operational_RawData!$A:$A,0)+ROWS($2:75)-1))</f>
        <v>1_Operational</v>
      </c>
      <c r="B75">
        <f>IF(ROWS($2:75)&gt;COUNTIF(Operational_RawData!$A:$A,"1_Operational"),"",INDEX(Operational_RawData!B:B,MATCH("1_Operational",Operational_RawData!$A:$A,0)+ROWS($2:75)-1))</f>
        <v>145011.90299999999</v>
      </c>
      <c r="C75">
        <f>IF(ROWS($2:75)&gt;COUNTIF(Operational_RawData!$A:$A,"1_Operational"),"",INDEX(Operational_RawData!C:C,MATCH("1_Operational",Operational_RawData!$A:$A,0)+ROWS($2:75)-1))</f>
        <v>54.6</v>
      </c>
      <c r="D75">
        <f>IF(ROWS($2:75)&gt;COUNTIF(Operational_RawData!$A:$A,"1_Operational"),"",INDEX(Operational_RawData!D:D,MATCH("1_Operational",Operational_RawData!$A:$A,0)+ROWS($2:75)-1))</f>
        <v>1312.229</v>
      </c>
      <c r="E75">
        <f>IF(ROWS($2:75)&gt;COUNTIF(Operational_RawData!$A:$A,"1_Operational"),"",INDEX(Operational_RawData!E:E,MATCH("1_Operational",Operational_RawData!$A:$A,0)+ROWS($2:75)-1))</f>
        <v>1.7</v>
      </c>
      <c r="F75">
        <f>IF(ROWS($2:75)&gt;COUNTIF(Operational_RawData!$A:$A,"1_Operational"),"",INDEX(Operational_RawData!F:F,MATCH("1_Operational",Operational_RawData!$A:$A,0)+ROWS($2:75)-1))</f>
        <v>290.16000000000003</v>
      </c>
      <c r="G75">
        <f>IF(ROWS($2:75)&gt;COUNTIF(Operational_RawData!$A:$A,"1_Operational"),"",INDEX(Operational_RawData!G:G,MATCH("1_Operational",Operational_RawData!$A:$A,0)+ROWS($2:75)-1))</f>
        <v>290.16000000000003</v>
      </c>
      <c r="H75">
        <f>IF(ROWS($2:75)&gt;COUNTIF(Operational_RawData!$A:$A,"1_Operational"),"",INDEX(Operational_RawData!H:H,MATCH("1_Operational",Operational_RawData!$A:$A,0)+ROWS($2:75)-1))</f>
        <v>290.16000000000003</v>
      </c>
      <c r="I75">
        <f>IF(ROWS($2:75)&gt;COUNTIF(Operational_RawData!$A:$A,"1_Operational"),"",INDEX(Operational_RawData!I:I,MATCH("1_Operational",Operational_RawData!$A:$A,0)+ROWS($2:75)-1))</f>
        <v>290.16000000000003</v>
      </c>
      <c r="J75">
        <f>IF(ROWS($2:75)&gt;COUNTIF(Operational_RawData!$A:$A,"1_Operational"),"",INDEX(Operational_RawData!J:J,MATCH("1_Operational",Operational_RawData!$A:$A,0)+ROWS($2:75)-1))</f>
        <v>399</v>
      </c>
      <c r="K75">
        <f>IF(ROWS($2:75)&gt;COUNTIF(Operational_RawData!$A:$A,"1_Operational"),"",INDEX(Operational_RawData!K:K,MATCH("1_Operational",Operational_RawData!$A:$A,0)+ROWS($2:75)-1))</f>
        <v>399</v>
      </c>
      <c r="L75">
        <f>IF(ROWS($2:75)&gt;COUNTIF(Operational_RawData!$A:$A,"1_Operational"),"",INDEX(Operational_RawData!L:L,MATCH("1_Operational",Operational_RawData!$A:$A,0)+ROWS($2:75)-1))</f>
        <v>399</v>
      </c>
      <c r="M75">
        <f>IF(ROWS($2:75)&gt;COUNTIF(Operational_RawData!$A:$A,"1_Operational"),"",INDEX(Operational_RawData!M:M,MATCH("1_Operational",Operational_RawData!$A:$A,0)+ROWS($2:75)-1))</f>
        <v>399</v>
      </c>
      <c r="N75">
        <f>IF(ROWS($2:75)&gt;COUNTIF(Operational_RawData!$A:$A,"1_Operational"),"",INDEX(Operational_RawData!N:N,MATCH("1_Operational",Operational_RawData!$A:$A,0)+ROWS($2:75)-1))</f>
        <v>0.11</v>
      </c>
      <c r="O75">
        <f>IF(ROWS($2:75)&gt;COUNTIF(Operational_RawData!$A:$A,"1_Operational"),"",INDEX(Operational_RawData!O:O,MATCH("1_Operational",Operational_RawData!$A:$A,0)+ROWS($2:75)-1))</f>
        <v>0.19</v>
      </c>
      <c r="P75">
        <f>IF(ROWS($2:75)&gt;COUNTIF(Operational_RawData!$A:$A,"1_Operational"),"",INDEX(Operational_RawData!P:P,MATCH("1_Operational",Operational_RawData!$A:$A,0)+ROWS($2:75)-1))</f>
        <v>0.06</v>
      </c>
      <c r="Q75">
        <f>IF(ROWS($2:75)&gt;COUNTIF(Operational_RawData!$A:$A,"1_Operational"),"",INDEX(Operational_RawData!Q:Q,MATCH("1_Operational",Operational_RawData!$A:$A,0)+ROWS($2:75)-1))</f>
        <v>0.1</v>
      </c>
      <c r="R75" t="str">
        <f>IF(ROWS($2:75)&gt;COUNTIF(Operational_RawData!$A:$A,"1_Operational"),"",INDEX(Operational_RawData!R:R,MATCH("1_Operational",Operational_RawData!$A:$A,0)+ROWS($2:75)-1))</f>
        <v>Pass</v>
      </c>
      <c r="S75">
        <f>IF(ROWS($2:75)&gt;COUNTIF(Operational_RawData!$A:$A,"1_Operational"),"",INDEX(Operational_RawData!S:S,MATCH("1_Operational",Operational_RawData!$A:$A,0)+ROWS($2:75)-1))</f>
        <v>0</v>
      </c>
      <c r="T75">
        <f>IF(ROWS($2:75)&gt;COUNTIF(Operational_RawData!$A:$A,"1_Operational"),"",INDEX(Operational_RawData!T:T,MATCH("1_Operational",Operational_RawData!$A:$A,0)+ROWS($2:75)-1))</f>
        <v>0</v>
      </c>
    </row>
    <row r="76" spans="1:20">
      <c r="A76" t="str">
        <f>IF(ROWS($2:76)&gt;COUNTIF(Operational_RawData!$A:$A,"1_Operational"),"",INDEX(Operational_RawData!A:A,MATCH("1_Operational",Operational_RawData!$A:$A,0)+ROWS($2:76)-1))</f>
        <v>1_Operational</v>
      </c>
      <c r="B76">
        <f>IF(ROWS($2:76)&gt;COUNTIF(Operational_RawData!$A:$A,"1_Operational"),"",INDEX(Operational_RawData!B:B,MATCH("1_Operational",Operational_RawData!$A:$A,0)+ROWS($2:76)-1))</f>
        <v>145016.908</v>
      </c>
      <c r="C76">
        <f>IF(ROWS($2:76)&gt;COUNTIF(Operational_RawData!$A:$A,"1_Operational"),"",INDEX(Operational_RawData!C:C,MATCH("1_Operational",Operational_RawData!$A:$A,0)+ROWS($2:76)-1))</f>
        <v>55.33</v>
      </c>
      <c r="D76">
        <f>IF(ROWS($2:76)&gt;COUNTIF(Operational_RawData!$A:$A,"1_Operational"),"",INDEX(Operational_RawData!D:D,MATCH("1_Operational",Operational_RawData!$A:$A,0)+ROWS($2:76)-1))</f>
        <v>1312.32</v>
      </c>
      <c r="E76">
        <f>IF(ROWS($2:76)&gt;COUNTIF(Operational_RawData!$A:$A,"1_Operational"),"",INDEX(Operational_RawData!E:E,MATCH("1_Operational",Operational_RawData!$A:$A,0)+ROWS($2:76)-1))</f>
        <v>1.67</v>
      </c>
      <c r="F76">
        <f>IF(ROWS($2:76)&gt;COUNTIF(Operational_RawData!$A:$A,"1_Operational"),"",INDEX(Operational_RawData!F:F,MATCH("1_Operational",Operational_RawData!$A:$A,0)+ROWS($2:76)-1))</f>
        <v>294.64</v>
      </c>
      <c r="G76">
        <f>IF(ROWS($2:76)&gt;COUNTIF(Operational_RawData!$A:$A,"1_Operational"),"",INDEX(Operational_RawData!G:G,MATCH("1_Operational",Operational_RawData!$A:$A,0)+ROWS($2:76)-1))</f>
        <v>294.64</v>
      </c>
      <c r="H76">
        <f>IF(ROWS($2:76)&gt;COUNTIF(Operational_RawData!$A:$A,"1_Operational"),"",INDEX(Operational_RawData!H:H,MATCH("1_Operational",Operational_RawData!$A:$A,0)+ROWS($2:76)-1))</f>
        <v>294.64</v>
      </c>
      <c r="I76">
        <f>IF(ROWS($2:76)&gt;COUNTIF(Operational_RawData!$A:$A,"1_Operational"),"",INDEX(Operational_RawData!I:I,MATCH("1_Operational",Operational_RawData!$A:$A,0)+ROWS($2:76)-1))</f>
        <v>294.64</v>
      </c>
      <c r="J76">
        <f>IF(ROWS($2:76)&gt;COUNTIF(Operational_RawData!$A:$A,"1_Operational"),"",INDEX(Operational_RawData!J:J,MATCH("1_Operational",Operational_RawData!$A:$A,0)+ROWS($2:76)-1))</f>
        <v>399</v>
      </c>
      <c r="K76">
        <f>IF(ROWS($2:76)&gt;COUNTIF(Operational_RawData!$A:$A,"1_Operational"),"",INDEX(Operational_RawData!K:K,MATCH("1_Operational",Operational_RawData!$A:$A,0)+ROWS($2:76)-1))</f>
        <v>399</v>
      </c>
      <c r="L76">
        <f>IF(ROWS($2:76)&gt;COUNTIF(Operational_RawData!$A:$A,"1_Operational"),"",INDEX(Operational_RawData!L:L,MATCH("1_Operational",Operational_RawData!$A:$A,0)+ROWS($2:76)-1))</f>
        <v>399</v>
      </c>
      <c r="M76">
        <f>IF(ROWS($2:76)&gt;COUNTIF(Operational_RawData!$A:$A,"1_Operational"),"",INDEX(Operational_RawData!M:M,MATCH("1_Operational",Operational_RawData!$A:$A,0)+ROWS($2:76)-1))</f>
        <v>399</v>
      </c>
      <c r="N76">
        <f>IF(ROWS($2:76)&gt;COUNTIF(Operational_RawData!$A:$A,"1_Operational"),"",INDEX(Operational_RawData!N:N,MATCH("1_Operational",Operational_RawData!$A:$A,0)+ROWS($2:76)-1))</f>
        <v>0.12</v>
      </c>
      <c r="O76">
        <f>IF(ROWS($2:76)&gt;COUNTIF(Operational_RawData!$A:$A,"1_Operational"),"",INDEX(Operational_RawData!O:O,MATCH("1_Operational",Operational_RawData!$A:$A,0)+ROWS($2:76)-1))</f>
        <v>0.19</v>
      </c>
      <c r="P76">
        <f>IF(ROWS($2:76)&gt;COUNTIF(Operational_RawData!$A:$A,"1_Operational"),"",INDEX(Operational_RawData!P:P,MATCH("1_Operational",Operational_RawData!$A:$A,0)+ROWS($2:76)-1))</f>
        <v>0.06</v>
      </c>
      <c r="Q76">
        <f>IF(ROWS($2:76)&gt;COUNTIF(Operational_RawData!$A:$A,"1_Operational"),"",INDEX(Operational_RawData!Q:Q,MATCH("1_Operational",Operational_RawData!$A:$A,0)+ROWS($2:76)-1))</f>
        <v>0.1</v>
      </c>
      <c r="R76" t="str">
        <f>IF(ROWS($2:76)&gt;COUNTIF(Operational_RawData!$A:$A,"1_Operational"),"",INDEX(Operational_RawData!R:R,MATCH("1_Operational",Operational_RawData!$A:$A,0)+ROWS($2:76)-1))</f>
        <v>Pass</v>
      </c>
      <c r="S76">
        <f>IF(ROWS($2:76)&gt;COUNTIF(Operational_RawData!$A:$A,"1_Operational"),"",INDEX(Operational_RawData!S:S,MATCH("1_Operational",Operational_RawData!$A:$A,0)+ROWS($2:76)-1))</f>
        <v>0</v>
      </c>
      <c r="T76">
        <f>IF(ROWS($2:76)&gt;COUNTIF(Operational_RawData!$A:$A,"1_Operational"),"",INDEX(Operational_RawData!T:T,MATCH("1_Operational",Operational_RawData!$A:$A,0)+ROWS($2:76)-1))</f>
        <v>0</v>
      </c>
    </row>
    <row r="77" spans="1:20">
      <c r="A77" t="str">
        <f>IF(ROWS($2:77)&gt;COUNTIF(Operational_RawData!$A:$A,"1_Operational"),"",INDEX(Operational_RawData!A:A,MATCH("1_Operational",Operational_RawData!$A:$A,0)+ROWS($2:77)-1))</f>
        <v>1_Operational</v>
      </c>
      <c r="B77">
        <f>IF(ROWS($2:77)&gt;COUNTIF(Operational_RawData!$A:$A,"1_Operational"),"",INDEX(Operational_RawData!B:B,MATCH("1_Operational",Operational_RawData!$A:$A,0)+ROWS($2:77)-1))</f>
        <v>145021.913</v>
      </c>
      <c r="C77">
        <f>IF(ROWS($2:77)&gt;COUNTIF(Operational_RawData!$A:$A,"1_Operational"),"",INDEX(Operational_RawData!C:C,MATCH("1_Operational",Operational_RawData!$A:$A,0)+ROWS($2:77)-1))</f>
        <v>56.08</v>
      </c>
      <c r="D77">
        <f>IF(ROWS($2:77)&gt;COUNTIF(Operational_RawData!$A:$A,"1_Operational"),"",INDEX(Operational_RawData!D:D,MATCH("1_Operational",Operational_RawData!$A:$A,0)+ROWS($2:77)-1))</f>
        <v>1312.4</v>
      </c>
      <c r="E77">
        <f>IF(ROWS($2:77)&gt;COUNTIF(Operational_RawData!$A:$A,"1_Operational"),"",INDEX(Operational_RawData!E:E,MATCH("1_Operational",Operational_RawData!$A:$A,0)+ROWS($2:77)-1))</f>
        <v>1.52</v>
      </c>
      <c r="F77">
        <f>IF(ROWS($2:77)&gt;COUNTIF(Operational_RawData!$A:$A,"1_Operational"),"",INDEX(Operational_RawData!F:F,MATCH("1_Operational",Operational_RawData!$A:$A,0)+ROWS($2:77)-1))</f>
        <v>299.12</v>
      </c>
      <c r="G77">
        <f>IF(ROWS($2:77)&gt;COUNTIF(Operational_RawData!$A:$A,"1_Operational"),"",INDEX(Operational_RawData!G:G,MATCH("1_Operational",Operational_RawData!$A:$A,0)+ROWS($2:77)-1))</f>
        <v>299.12</v>
      </c>
      <c r="H77">
        <f>IF(ROWS($2:77)&gt;COUNTIF(Operational_RawData!$A:$A,"1_Operational"),"",INDEX(Operational_RawData!H:H,MATCH("1_Operational",Operational_RawData!$A:$A,0)+ROWS($2:77)-1))</f>
        <v>299.12</v>
      </c>
      <c r="I77">
        <f>IF(ROWS($2:77)&gt;COUNTIF(Operational_RawData!$A:$A,"1_Operational"),"",INDEX(Operational_RawData!I:I,MATCH("1_Operational",Operational_RawData!$A:$A,0)+ROWS($2:77)-1))</f>
        <v>299.12</v>
      </c>
      <c r="J77">
        <f>IF(ROWS($2:77)&gt;COUNTIF(Operational_RawData!$A:$A,"1_Operational"),"",INDEX(Operational_RawData!J:J,MATCH("1_Operational",Operational_RawData!$A:$A,0)+ROWS($2:77)-1))</f>
        <v>399</v>
      </c>
      <c r="K77">
        <f>IF(ROWS($2:77)&gt;COUNTIF(Operational_RawData!$A:$A,"1_Operational"),"",INDEX(Operational_RawData!K:K,MATCH("1_Operational",Operational_RawData!$A:$A,0)+ROWS($2:77)-1))</f>
        <v>399</v>
      </c>
      <c r="L77">
        <f>IF(ROWS($2:77)&gt;COUNTIF(Operational_RawData!$A:$A,"1_Operational"),"",INDEX(Operational_RawData!L:L,MATCH("1_Operational",Operational_RawData!$A:$A,0)+ROWS($2:77)-1))</f>
        <v>399</v>
      </c>
      <c r="M77">
        <f>IF(ROWS($2:77)&gt;COUNTIF(Operational_RawData!$A:$A,"1_Operational"),"",INDEX(Operational_RawData!M:M,MATCH("1_Operational",Operational_RawData!$A:$A,0)+ROWS($2:77)-1))</f>
        <v>399</v>
      </c>
      <c r="N77">
        <f>IF(ROWS($2:77)&gt;COUNTIF(Operational_RawData!$A:$A,"1_Operational"),"",INDEX(Operational_RawData!N:N,MATCH("1_Operational",Operational_RawData!$A:$A,0)+ROWS($2:77)-1))</f>
        <v>0.11</v>
      </c>
      <c r="O77">
        <f>IF(ROWS($2:77)&gt;COUNTIF(Operational_RawData!$A:$A,"1_Operational"),"",INDEX(Operational_RawData!O:O,MATCH("1_Operational",Operational_RawData!$A:$A,0)+ROWS($2:77)-1))</f>
        <v>0.19</v>
      </c>
      <c r="P77">
        <f>IF(ROWS($2:77)&gt;COUNTIF(Operational_RawData!$A:$A,"1_Operational"),"",INDEX(Operational_RawData!P:P,MATCH("1_Operational",Operational_RawData!$A:$A,0)+ROWS($2:77)-1))</f>
        <v>0.06</v>
      </c>
      <c r="Q77">
        <f>IF(ROWS($2:77)&gt;COUNTIF(Operational_RawData!$A:$A,"1_Operational"),"",INDEX(Operational_RawData!Q:Q,MATCH("1_Operational",Operational_RawData!$A:$A,0)+ROWS($2:77)-1))</f>
        <v>0.1</v>
      </c>
      <c r="R77" t="str">
        <f>IF(ROWS($2:77)&gt;COUNTIF(Operational_RawData!$A:$A,"1_Operational"),"",INDEX(Operational_RawData!R:R,MATCH("1_Operational",Operational_RawData!$A:$A,0)+ROWS($2:77)-1))</f>
        <v>Pass</v>
      </c>
      <c r="S77">
        <f>IF(ROWS($2:77)&gt;COUNTIF(Operational_RawData!$A:$A,"1_Operational"),"",INDEX(Operational_RawData!S:S,MATCH("1_Operational",Operational_RawData!$A:$A,0)+ROWS($2:77)-1))</f>
        <v>0</v>
      </c>
      <c r="T77">
        <f>IF(ROWS($2:77)&gt;COUNTIF(Operational_RawData!$A:$A,"1_Operational"),"",INDEX(Operational_RawData!T:T,MATCH("1_Operational",Operational_RawData!$A:$A,0)+ROWS($2:77)-1))</f>
        <v>0</v>
      </c>
    </row>
    <row r="78" spans="1:20">
      <c r="A78" t="str">
        <f>IF(ROWS($2:78)&gt;COUNTIF(Operational_RawData!$A:$A,"1_Operational"),"",INDEX(Operational_RawData!A:A,MATCH("1_Operational",Operational_RawData!$A:$A,0)+ROWS($2:78)-1))</f>
        <v>1_Operational</v>
      </c>
      <c r="B78">
        <f>IF(ROWS($2:78)&gt;COUNTIF(Operational_RawData!$A:$A,"1_Operational"),"",INDEX(Operational_RawData!B:B,MATCH("1_Operational",Operational_RawData!$A:$A,0)+ROWS($2:78)-1))</f>
        <v>145026.91</v>
      </c>
      <c r="C78">
        <f>IF(ROWS($2:78)&gt;COUNTIF(Operational_RawData!$A:$A,"1_Operational"),"",INDEX(Operational_RawData!C:C,MATCH("1_Operational",Operational_RawData!$A:$A,0)+ROWS($2:78)-1))</f>
        <v>56.82</v>
      </c>
      <c r="D78">
        <f>IF(ROWS($2:78)&gt;COUNTIF(Operational_RawData!$A:$A,"1_Operational"),"",INDEX(Operational_RawData!D:D,MATCH("1_Operational",Operational_RawData!$A:$A,0)+ROWS($2:78)-1))</f>
        <v>1312.5029999999999</v>
      </c>
      <c r="E78">
        <f>IF(ROWS($2:78)&gt;COUNTIF(Operational_RawData!$A:$A,"1_Operational"),"",INDEX(Operational_RawData!E:E,MATCH("1_Operational",Operational_RawData!$A:$A,0)+ROWS($2:78)-1))</f>
        <v>1.45</v>
      </c>
      <c r="F78">
        <f>IF(ROWS($2:78)&gt;COUNTIF(Operational_RawData!$A:$A,"1_Operational"),"",INDEX(Operational_RawData!F:F,MATCH("1_Operational",Operational_RawData!$A:$A,0)+ROWS($2:78)-1))</f>
        <v>304.27999999999997</v>
      </c>
      <c r="G78">
        <f>IF(ROWS($2:78)&gt;COUNTIF(Operational_RawData!$A:$A,"1_Operational"),"",INDEX(Operational_RawData!G:G,MATCH("1_Operational",Operational_RawData!$A:$A,0)+ROWS($2:78)-1))</f>
        <v>304.27999999999997</v>
      </c>
      <c r="H78">
        <f>IF(ROWS($2:78)&gt;COUNTIF(Operational_RawData!$A:$A,"1_Operational"),"",INDEX(Operational_RawData!H:H,MATCH("1_Operational",Operational_RawData!$A:$A,0)+ROWS($2:78)-1))</f>
        <v>304.27999999999997</v>
      </c>
      <c r="I78">
        <f>IF(ROWS($2:78)&gt;COUNTIF(Operational_RawData!$A:$A,"1_Operational"),"",INDEX(Operational_RawData!I:I,MATCH("1_Operational",Operational_RawData!$A:$A,0)+ROWS($2:78)-1))</f>
        <v>304.27999999999997</v>
      </c>
      <c r="J78">
        <f>IF(ROWS($2:78)&gt;COUNTIF(Operational_RawData!$A:$A,"1_Operational"),"",INDEX(Operational_RawData!J:J,MATCH("1_Operational",Operational_RawData!$A:$A,0)+ROWS($2:78)-1))</f>
        <v>399</v>
      </c>
      <c r="K78">
        <f>IF(ROWS($2:78)&gt;COUNTIF(Operational_RawData!$A:$A,"1_Operational"),"",INDEX(Operational_RawData!K:K,MATCH("1_Operational",Operational_RawData!$A:$A,0)+ROWS($2:78)-1))</f>
        <v>399</v>
      </c>
      <c r="L78">
        <f>IF(ROWS($2:78)&gt;COUNTIF(Operational_RawData!$A:$A,"1_Operational"),"",INDEX(Operational_RawData!L:L,MATCH("1_Operational",Operational_RawData!$A:$A,0)+ROWS($2:78)-1))</f>
        <v>399</v>
      </c>
      <c r="M78">
        <f>IF(ROWS($2:78)&gt;COUNTIF(Operational_RawData!$A:$A,"1_Operational"),"",INDEX(Operational_RawData!M:M,MATCH("1_Operational",Operational_RawData!$A:$A,0)+ROWS($2:78)-1))</f>
        <v>399</v>
      </c>
      <c r="N78">
        <f>IF(ROWS($2:78)&gt;COUNTIF(Operational_RawData!$A:$A,"1_Operational"),"",INDEX(Operational_RawData!N:N,MATCH("1_Operational",Operational_RawData!$A:$A,0)+ROWS($2:78)-1))</f>
        <v>0.14000000000000001</v>
      </c>
      <c r="O78">
        <f>IF(ROWS($2:78)&gt;COUNTIF(Operational_RawData!$A:$A,"1_Operational"),"",INDEX(Operational_RawData!O:O,MATCH("1_Operational",Operational_RawData!$A:$A,0)+ROWS($2:78)-1))</f>
        <v>0.19</v>
      </c>
      <c r="P78">
        <f>IF(ROWS($2:78)&gt;COUNTIF(Operational_RawData!$A:$A,"1_Operational"),"",INDEX(Operational_RawData!P:P,MATCH("1_Operational",Operational_RawData!$A:$A,0)+ROWS($2:78)-1))</f>
        <v>0.06</v>
      </c>
      <c r="Q78">
        <f>IF(ROWS($2:78)&gt;COUNTIF(Operational_RawData!$A:$A,"1_Operational"),"",INDEX(Operational_RawData!Q:Q,MATCH("1_Operational",Operational_RawData!$A:$A,0)+ROWS($2:78)-1))</f>
        <v>0.1</v>
      </c>
      <c r="R78" t="str">
        <f>IF(ROWS($2:78)&gt;COUNTIF(Operational_RawData!$A:$A,"1_Operational"),"",INDEX(Operational_RawData!R:R,MATCH("1_Operational",Operational_RawData!$A:$A,0)+ROWS($2:78)-1))</f>
        <v>Pass</v>
      </c>
      <c r="S78">
        <f>IF(ROWS($2:78)&gt;COUNTIF(Operational_RawData!$A:$A,"1_Operational"),"",INDEX(Operational_RawData!S:S,MATCH("1_Operational",Operational_RawData!$A:$A,0)+ROWS($2:78)-1))</f>
        <v>0</v>
      </c>
      <c r="T78">
        <f>IF(ROWS($2:78)&gt;COUNTIF(Operational_RawData!$A:$A,"1_Operational"),"",INDEX(Operational_RawData!T:T,MATCH("1_Operational",Operational_RawData!$A:$A,0)+ROWS($2:78)-1))</f>
        <v>0</v>
      </c>
    </row>
    <row r="79" spans="1:20">
      <c r="A79" t="str">
        <f>IF(ROWS($2:79)&gt;COUNTIF(Operational_RawData!$A:$A,"1_Operational"),"",INDEX(Operational_RawData!A:A,MATCH("1_Operational",Operational_RawData!$A:$A,0)+ROWS($2:79)-1))</f>
        <v>1_Operational</v>
      </c>
      <c r="B79">
        <f>IF(ROWS($2:79)&gt;COUNTIF(Operational_RawData!$A:$A,"1_Operational"),"",INDEX(Operational_RawData!B:B,MATCH("1_Operational",Operational_RawData!$A:$A,0)+ROWS($2:79)-1))</f>
        <v>145031.91200000001</v>
      </c>
      <c r="C79">
        <f>IF(ROWS($2:79)&gt;COUNTIF(Operational_RawData!$A:$A,"1_Operational"),"",INDEX(Operational_RawData!C:C,MATCH("1_Operational",Operational_RawData!$A:$A,0)+ROWS($2:79)-1))</f>
        <v>57.57</v>
      </c>
      <c r="D79">
        <f>IF(ROWS($2:79)&gt;COUNTIF(Operational_RawData!$A:$A,"1_Operational"),"",INDEX(Operational_RawData!D:D,MATCH("1_Operational",Operational_RawData!$A:$A,0)+ROWS($2:79)-1))</f>
        <v>1312.598</v>
      </c>
      <c r="E79">
        <f>IF(ROWS($2:79)&gt;COUNTIF(Operational_RawData!$A:$A,"1_Operational"),"",INDEX(Operational_RawData!E:E,MATCH("1_Operational",Operational_RawData!$A:$A,0)+ROWS($2:79)-1))</f>
        <v>1.4</v>
      </c>
      <c r="F79">
        <f>IF(ROWS($2:79)&gt;COUNTIF(Operational_RawData!$A:$A,"1_Operational"),"",INDEX(Operational_RawData!F:F,MATCH("1_Operational",Operational_RawData!$A:$A,0)+ROWS($2:79)-1))</f>
        <v>309.36</v>
      </c>
      <c r="G79">
        <f>IF(ROWS($2:79)&gt;COUNTIF(Operational_RawData!$A:$A,"1_Operational"),"",INDEX(Operational_RawData!G:G,MATCH("1_Operational",Operational_RawData!$A:$A,0)+ROWS($2:79)-1))</f>
        <v>309.36</v>
      </c>
      <c r="H79">
        <f>IF(ROWS($2:79)&gt;COUNTIF(Operational_RawData!$A:$A,"1_Operational"),"",INDEX(Operational_RawData!H:H,MATCH("1_Operational",Operational_RawData!$A:$A,0)+ROWS($2:79)-1))</f>
        <v>309.36</v>
      </c>
      <c r="I79">
        <f>IF(ROWS($2:79)&gt;COUNTIF(Operational_RawData!$A:$A,"1_Operational"),"",INDEX(Operational_RawData!I:I,MATCH("1_Operational",Operational_RawData!$A:$A,0)+ROWS($2:79)-1))</f>
        <v>309.36</v>
      </c>
      <c r="J79">
        <f>IF(ROWS($2:79)&gt;COUNTIF(Operational_RawData!$A:$A,"1_Operational"),"",INDEX(Operational_RawData!J:J,MATCH("1_Operational",Operational_RawData!$A:$A,0)+ROWS($2:79)-1))</f>
        <v>399</v>
      </c>
      <c r="K79">
        <f>IF(ROWS($2:79)&gt;COUNTIF(Operational_RawData!$A:$A,"1_Operational"),"",INDEX(Operational_RawData!K:K,MATCH("1_Operational",Operational_RawData!$A:$A,0)+ROWS($2:79)-1))</f>
        <v>399</v>
      </c>
      <c r="L79">
        <f>IF(ROWS($2:79)&gt;COUNTIF(Operational_RawData!$A:$A,"1_Operational"),"",INDEX(Operational_RawData!L:L,MATCH("1_Operational",Operational_RawData!$A:$A,0)+ROWS($2:79)-1))</f>
        <v>399</v>
      </c>
      <c r="M79">
        <f>IF(ROWS($2:79)&gt;COUNTIF(Operational_RawData!$A:$A,"1_Operational"),"",INDEX(Operational_RawData!M:M,MATCH("1_Operational",Operational_RawData!$A:$A,0)+ROWS($2:79)-1))</f>
        <v>399</v>
      </c>
      <c r="N79">
        <f>IF(ROWS($2:79)&gt;COUNTIF(Operational_RawData!$A:$A,"1_Operational"),"",INDEX(Operational_RawData!N:N,MATCH("1_Operational",Operational_RawData!$A:$A,0)+ROWS($2:79)-1))</f>
        <v>0.13</v>
      </c>
      <c r="O79">
        <f>IF(ROWS($2:79)&gt;COUNTIF(Operational_RawData!$A:$A,"1_Operational"),"",INDEX(Operational_RawData!O:O,MATCH("1_Operational",Operational_RawData!$A:$A,0)+ROWS($2:79)-1))</f>
        <v>0.19</v>
      </c>
      <c r="P79">
        <f>IF(ROWS($2:79)&gt;COUNTIF(Operational_RawData!$A:$A,"1_Operational"),"",INDEX(Operational_RawData!P:P,MATCH("1_Operational",Operational_RawData!$A:$A,0)+ROWS($2:79)-1))</f>
        <v>0.06</v>
      </c>
      <c r="Q79">
        <f>IF(ROWS($2:79)&gt;COUNTIF(Operational_RawData!$A:$A,"1_Operational"),"",INDEX(Operational_RawData!Q:Q,MATCH("1_Operational",Operational_RawData!$A:$A,0)+ROWS($2:79)-1))</f>
        <v>0.1</v>
      </c>
      <c r="R79" t="str">
        <f>IF(ROWS($2:79)&gt;COUNTIF(Operational_RawData!$A:$A,"1_Operational"),"",INDEX(Operational_RawData!R:R,MATCH("1_Operational",Operational_RawData!$A:$A,0)+ROWS($2:79)-1))</f>
        <v>Pass</v>
      </c>
      <c r="S79">
        <f>IF(ROWS($2:79)&gt;COUNTIF(Operational_RawData!$A:$A,"1_Operational"),"",INDEX(Operational_RawData!S:S,MATCH("1_Operational",Operational_RawData!$A:$A,0)+ROWS($2:79)-1))</f>
        <v>0</v>
      </c>
      <c r="T79">
        <f>IF(ROWS($2:79)&gt;COUNTIF(Operational_RawData!$A:$A,"1_Operational"),"",INDEX(Operational_RawData!T:T,MATCH("1_Operational",Operational_RawData!$A:$A,0)+ROWS($2:79)-1))</f>
        <v>0</v>
      </c>
    </row>
    <row r="80" spans="1:20">
      <c r="A80" t="str">
        <f>IF(ROWS($2:80)&gt;COUNTIF(Operational_RawData!$A:$A,"1_Operational"),"",INDEX(Operational_RawData!A:A,MATCH("1_Operational",Operational_RawData!$A:$A,0)+ROWS($2:80)-1))</f>
        <v>1_Operational</v>
      </c>
      <c r="B80">
        <f>IF(ROWS($2:80)&gt;COUNTIF(Operational_RawData!$A:$A,"1_Operational"),"",INDEX(Operational_RawData!B:B,MATCH("1_Operational",Operational_RawData!$A:$A,0)+ROWS($2:80)-1))</f>
        <v>145036.921</v>
      </c>
      <c r="C80">
        <f>IF(ROWS($2:80)&gt;COUNTIF(Operational_RawData!$A:$A,"1_Operational"),"",INDEX(Operational_RawData!C:C,MATCH("1_Operational",Operational_RawData!$A:$A,0)+ROWS($2:80)-1))</f>
        <v>58.3</v>
      </c>
      <c r="D80">
        <f>IF(ROWS($2:80)&gt;COUNTIF(Operational_RawData!$A:$A,"1_Operational"),"",INDEX(Operational_RawData!D:D,MATCH("1_Operational",Operational_RawData!$A:$A,0)+ROWS($2:80)-1))</f>
        <v>1312.693</v>
      </c>
      <c r="E80">
        <f>IF(ROWS($2:80)&gt;COUNTIF(Operational_RawData!$A:$A,"1_Operational"),"",INDEX(Operational_RawData!E:E,MATCH("1_Operational",Operational_RawData!$A:$A,0)+ROWS($2:80)-1))</f>
        <v>1.33</v>
      </c>
      <c r="F80">
        <f>IF(ROWS($2:80)&gt;COUNTIF(Operational_RawData!$A:$A,"1_Operational"),"",INDEX(Operational_RawData!F:F,MATCH("1_Operational",Operational_RawData!$A:$A,0)+ROWS($2:80)-1))</f>
        <v>314.88</v>
      </c>
      <c r="G80">
        <f>IF(ROWS($2:80)&gt;COUNTIF(Operational_RawData!$A:$A,"1_Operational"),"",INDEX(Operational_RawData!G:G,MATCH("1_Operational",Operational_RawData!$A:$A,0)+ROWS($2:80)-1))</f>
        <v>314.88</v>
      </c>
      <c r="H80">
        <f>IF(ROWS($2:80)&gt;COUNTIF(Operational_RawData!$A:$A,"1_Operational"),"",INDEX(Operational_RawData!H:H,MATCH("1_Operational",Operational_RawData!$A:$A,0)+ROWS($2:80)-1))</f>
        <v>314.88</v>
      </c>
      <c r="I80">
        <f>IF(ROWS($2:80)&gt;COUNTIF(Operational_RawData!$A:$A,"1_Operational"),"",INDEX(Operational_RawData!I:I,MATCH("1_Operational",Operational_RawData!$A:$A,0)+ROWS($2:80)-1))</f>
        <v>314.88</v>
      </c>
      <c r="J80">
        <f>IF(ROWS($2:80)&gt;COUNTIF(Operational_RawData!$A:$A,"1_Operational"),"",INDEX(Operational_RawData!J:J,MATCH("1_Operational",Operational_RawData!$A:$A,0)+ROWS($2:80)-1))</f>
        <v>399</v>
      </c>
      <c r="K80">
        <f>IF(ROWS($2:80)&gt;COUNTIF(Operational_RawData!$A:$A,"1_Operational"),"",INDEX(Operational_RawData!K:K,MATCH("1_Operational",Operational_RawData!$A:$A,0)+ROWS($2:80)-1))</f>
        <v>399</v>
      </c>
      <c r="L80">
        <f>IF(ROWS($2:80)&gt;COUNTIF(Operational_RawData!$A:$A,"1_Operational"),"",INDEX(Operational_RawData!L:L,MATCH("1_Operational",Operational_RawData!$A:$A,0)+ROWS($2:80)-1))</f>
        <v>399</v>
      </c>
      <c r="M80">
        <f>IF(ROWS($2:80)&gt;COUNTIF(Operational_RawData!$A:$A,"1_Operational"),"",INDEX(Operational_RawData!M:M,MATCH("1_Operational",Operational_RawData!$A:$A,0)+ROWS($2:80)-1))</f>
        <v>399</v>
      </c>
      <c r="N80">
        <f>IF(ROWS($2:80)&gt;COUNTIF(Operational_RawData!$A:$A,"1_Operational"),"",INDEX(Operational_RawData!N:N,MATCH("1_Operational",Operational_RawData!$A:$A,0)+ROWS($2:80)-1))</f>
        <v>0.13</v>
      </c>
      <c r="O80">
        <f>IF(ROWS($2:80)&gt;COUNTIF(Operational_RawData!$A:$A,"1_Operational"),"",INDEX(Operational_RawData!O:O,MATCH("1_Operational",Operational_RawData!$A:$A,0)+ROWS($2:80)-1))</f>
        <v>0.19</v>
      </c>
      <c r="P80">
        <f>IF(ROWS($2:80)&gt;COUNTIF(Operational_RawData!$A:$A,"1_Operational"),"",INDEX(Operational_RawData!P:P,MATCH("1_Operational",Operational_RawData!$A:$A,0)+ROWS($2:80)-1))</f>
        <v>0.06</v>
      </c>
      <c r="Q80">
        <f>IF(ROWS($2:80)&gt;COUNTIF(Operational_RawData!$A:$A,"1_Operational"),"",INDEX(Operational_RawData!Q:Q,MATCH("1_Operational",Operational_RawData!$A:$A,0)+ROWS($2:80)-1))</f>
        <v>0.1</v>
      </c>
      <c r="R80" t="str">
        <f>IF(ROWS($2:80)&gt;COUNTIF(Operational_RawData!$A:$A,"1_Operational"),"",INDEX(Operational_RawData!R:R,MATCH("1_Operational",Operational_RawData!$A:$A,0)+ROWS($2:80)-1))</f>
        <v>Pass</v>
      </c>
      <c r="S80">
        <f>IF(ROWS($2:80)&gt;COUNTIF(Operational_RawData!$A:$A,"1_Operational"),"",INDEX(Operational_RawData!S:S,MATCH("1_Operational",Operational_RawData!$A:$A,0)+ROWS($2:80)-1))</f>
        <v>0</v>
      </c>
      <c r="T80">
        <f>IF(ROWS($2:80)&gt;COUNTIF(Operational_RawData!$A:$A,"1_Operational"),"",INDEX(Operational_RawData!T:T,MATCH("1_Operational",Operational_RawData!$A:$A,0)+ROWS($2:80)-1))</f>
        <v>0</v>
      </c>
    </row>
    <row r="81" spans="1:20">
      <c r="A81" t="str">
        <f>IF(ROWS($2:81)&gt;COUNTIF(Operational_RawData!$A:$A,"1_Operational"),"",INDEX(Operational_RawData!A:A,MATCH("1_Operational",Operational_RawData!$A:$A,0)+ROWS($2:81)-1))</f>
        <v>1_Operational</v>
      </c>
      <c r="B81">
        <f>IF(ROWS($2:81)&gt;COUNTIF(Operational_RawData!$A:$A,"1_Operational"),"",INDEX(Operational_RawData!B:B,MATCH("1_Operational",Operational_RawData!$A:$A,0)+ROWS($2:81)-1))</f>
        <v>145041.921</v>
      </c>
      <c r="C81">
        <f>IF(ROWS($2:81)&gt;COUNTIF(Operational_RawData!$A:$A,"1_Operational"),"",INDEX(Operational_RawData!C:C,MATCH("1_Operational",Operational_RawData!$A:$A,0)+ROWS($2:81)-1))</f>
        <v>59.05</v>
      </c>
      <c r="D81">
        <f>IF(ROWS($2:81)&gt;COUNTIF(Operational_RawData!$A:$A,"1_Operational"),"",INDEX(Operational_RawData!D:D,MATCH("1_Operational",Operational_RawData!$A:$A,0)+ROWS($2:81)-1))</f>
        <v>1312.7829999999999</v>
      </c>
      <c r="E81">
        <f>IF(ROWS($2:81)&gt;COUNTIF(Operational_RawData!$A:$A,"1_Operational"),"",INDEX(Operational_RawData!E:E,MATCH("1_Operational",Operational_RawData!$A:$A,0)+ROWS($2:81)-1))</f>
        <v>1.28</v>
      </c>
      <c r="F81">
        <f>IF(ROWS($2:81)&gt;COUNTIF(Operational_RawData!$A:$A,"1_Operational"),"",INDEX(Operational_RawData!F:F,MATCH("1_Operational",Operational_RawData!$A:$A,0)+ROWS($2:81)-1))</f>
        <v>320.88</v>
      </c>
      <c r="G81">
        <f>IF(ROWS($2:81)&gt;COUNTIF(Operational_RawData!$A:$A,"1_Operational"),"",INDEX(Operational_RawData!G:G,MATCH("1_Operational",Operational_RawData!$A:$A,0)+ROWS($2:81)-1))</f>
        <v>320.88</v>
      </c>
      <c r="H81">
        <f>IF(ROWS($2:81)&gt;COUNTIF(Operational_RawData!$A:$A,"1_Operational"),"",INDEX(Operational_RawData!H:H,MATCH("1_Operational",Operational_RawData!$A:$A,0)+ROWS($2:81)-1))</f>
        <v>320.88</v>
      </c>
      <c r="I81">
        <f>IF(ROWS($2:81)&gt;COUNTIF(Operational_RawData!$A:$A,"1_Operational"),"",INDEX(Operational_RawData!I:I,MATCH("1_Operational",Operational_RawData!$A:$A,0)+ROWS($2:81)-1))</f>
        <v>320.88</v>
      </c>
      <c r="J81">
        <f>IF(ROWS($2:81)&gt;COUNTIF(Operational_RawData!$A:$A,"1_Operational"),"",INDEX(Operational_RawData!J:J,MATCH("1_Operational",Operational_RawData!$A:$A,0)+ROWS($2:81)-1))</f>
        <v>399</v>
      </c>
      <c r="K81">
        <f>IF(ROWS($2:81)&gt;COUNTIF(Operational_RawData!$A:$A,"1_Operational"),"",INDEX(Operational_RawData!K:K,MATCH("1_Operational",Operational_RawData!$A:$A,0)+ROWS($2:81)-1))</f>
        <v>399</v>
      </c>
      <c r="L81">
        <f>IF(ROWS($2:81)&gt;COUNTIF(Operational_RawData!$A:$A,"1_Operational"),"",INDEX(Operational_RawData!L:L,MATCH("1_Operational",Operational_RawData!$A:$A,0)+ROWS($2:81)-1))</f>
        <v>399</v>
      </c>
      <c r="M81">
        <f>IF(ROWS($2:81)&gt;COUNTIF(Operational_RawData!$A:$A,"1_Operational"),"",INDEX(Operational_RawData!M:M,MATCH("1_Operational",Operational_RawData!$A:$A,0)+ROWS($2:81)-1))</f>
        <v>399</v>
      </c>
      <c r="N81">
        <f>IF(ROWS($2:81)&gt;COUNTIF(Operational_RawData!$A:$A,"1_Operational"),"",INDEX(Operational_RawData!N:N,MATCH("1_Operational",Operational_RawData!$A:$A,0)+ROWS($2:81)-1))</f>
        <v>0.12</v>
      </c>
      <c r="O81">
        <f>IF(ROWS($2:81)&gt;COUNTIF(Operational_RawData!$A:$A,"1_Operational"),"",INDEX(Operational_RawData!O:O,MATCH("1_Operational",Operational_RawData!$A:$A,0)+ROWS($2:81)-1))</f>
        <v>0.19</v>
      </c>
      <c r="P81">
        <f>IF(ROWS($2:81)&gt;COUNTIF(Operational_RawData!$A:$A,"1_Operational"),"",INDEX(Operational_RawData!P:P,MATCH("1_Operational",Operational_RawData!$A:$A,0)+ROWS($2:81)-1))</f>
        <v>0.06</v>
      </c>
      <c r="Q81">
        <f>IF(ROWS($2:81)&gt;COUNTIF(Operational_RawData!$A:$A,"1_Operational"),"",INDEX(Operational_RawData!Q:Q,MATCH("1_Operational",Operational_RawData!$A:$A,0)+ROWS($2:81)-1))</f>
        <v>0.1</v>
      </c>
      <c r="R81" t="str">
        <f>IF(ROWS($2:81)&gt;COUNTIF(Operational_RawData!$A:$A,"1_Operational"),"",INDEX(Operational_RawData!R:R,MATCH("1_Operational",Operational_RawData!$A:$A,0)+ROWS($2:81)-1))</f>
        <v>Pass</v>
      </c>
      <c r="S81">
        <f>IF(ROWS($2:81)&gt;COUNTIF(Operational_RawData!$A:$A,"1_Operational"),"",INDEX(Operational_RawData!S:S,MATCH("1_Operational",Operational_RawData!$A:$A,0)+ROWS($2:81)-1))</f>
        <v>0</v>
      </c>
      <c r="T81">
        <f>IF(ROWS($2:81)&gt;COUNTIF(Operational_RawData!$A:$A,"1_Operational"),"",INDEX(Operational_RawData!T:T,MATCH("1_Operational",Operational_RawData!$A:$A,0)+ROWS($2:81)-1))</f>
        <v>0</v>
      </c>
    </row>
    <row r="82" spans="1:20">
      <c r="A82" t="str">
        <f>IF(ROWS($2:82)&gt;COUNTIF(Operational_RawData!$A:$A,"1_Operational"),"",INDEX(Operational_RawData!A:A,MATCH("1_Operational",Operational_RawData!$A:$A,0)+ROWS($2:82)-1))</f>
        <v>1_Operational</v>
      </c>
      <c r="B82">
        <f>IF(ROWS($2:82)&gt;COUNTIF(Operational_RawData!$A:$A,"1_Operational"),"",INDEX(Operational_RawData!B:B,MATCH("1_Operational",Operational_RawData!$A:$A,0)+ROWS($2:82)-1))</f>
        <v>145046.91399999999</v>
      </c>
      <c r="C82">
        <f>IF(ROWS($2:82)&gt;COUNTIF(Operational_RawData!$A:$A,"1_Operational"),"",INDEX(Operational_RawData!C:C,MATCH("1_Operational",Operational_RawData!$A:$A,0)+ROWS($2:82)-1))</f>
        <v>59.81</v>
      </c>
      <c r="D82">
        <f>IF(ROWS($2:82)&gt;COUNTIF(Operational_RawData!$A:$A,"1_Operational"),"",INDEX(Operational_RawData!D:D,MATCH("1_Operational",Operational_RawData!$A:$A,0)+ROWS($2:82)-1))</f>
        <v>1312.8910000000001</v>
      </c>
      <c r="E82">
        <f>IF(ROWS($2:82)&gt;COUNTIF(Operational_RawData!$A:$A,"1_Operational"),"",INDEX(Operational_RawData!E:E,MATCH("1_Operational",Operational_RawData!$A:$A,0)+ROWS($2:82)-1))</f>
        <v>1.0900000000000001</v>
      </c>
      <c r="F82">
        <f>IF(ROWS($2:82)&gt;COUNTIF(Operational_RawData!$A:$A,"1_Operational"),"",INDEX(Operational_RawData!F:F,MATCH("1_Operational",Operational_RawData!$A:$A,0)+ROWS($2:82)-1))</f>
        <v>326.83999999999997</v>
      </c>
      <c r="G82">
        <f>IF(ROWS($2:82)&gt;COUNTIF(Operational_RawData!$A:$A,"1_Operational"),"",INDEX(Operational_RawData!G:G,MATCH("1_Operational",Operational_RawData!$A:$A,0)+ROWS($2:82)-1))</f>
        <v>326.83999999999997</v>
      </c>
      <c r="H82">
        <f>IF(ROWS($2:82)&gt;COUNTIF(Operational_RawData!$A:$A,"1_Operational"),"",INDEX(Operational_RawData!H:H,MATCH("1_Operational",Operational_RawData!$A:$A,0)+ROWS($2:82)-1))</f>
        <v>326.83999999999997</v>
      </c>
      <c r="I82">
        <f>IF(ROWS($2:82)&gt;COUNTIF(Operational_RawData!$A:$A,"1_Operational"),"",INDEX(Operational_RawData!I:I,MATCH("1_Operational",Operational_RawData!$A:$A,0)+ROWS($2:82)-1))</f>
        <v>326.83999999999997</v>
      </c>
      <c r="J82">
        <f>IF(ROWS($2:82)&gt;COUNTIF(Operational_RawData!$A:$A,"1_Operational"),"",INDEX(Operational_RawData!J:J,MATCH("1_Operational",Operational_RawData!$A:$A,0)+ROWS($2:82)-1))</f>
        <v>399</v>
      </c>
      <c r="K82">
        <f>IF(ROWS($2:82)&gt;COUNTIF(Operational_RawData!$A:$A,"1_Operational"),"",INDEX(Operational_RawData!K:K,MATCH("1_Operational",Operational_RawData!$A:$A,0)+ROWS($2:82)-1))</f>
        <v>399</v>
      </c>
      <c r="L82">
        <f>IF(ROWS($2:82)&gt;COUNTIF(Operational_RawData!$A:$A,"1_Operational"),"",INDEX(Operational_RawData!L:L,MATCH("1_Operational",Operational_RawData!$A:$A,0)+ROWS($2:82)-1))</f>
        <v>399</v>
      </c>
      <c r="M82">
        <f>IF(ROWS($2:82)&gt;COUNTIF(Operational_RawData!$A:$A,"1_Operational"),"",INDEX(Operational_RawData!M:M,MATCH("1_Operational",Operational_RawData!$A:$A,0)+ROWS($2:82)-1))</f>
        <v>399</v>
      </c>
      <c r="N82">
        <f>IF(ROWS($2:82)&gt;COUNTIF(Operational_RawData!$A:$A,"1_Operational"),"",INDEX(Operational_RawData!N:N,MATCH("1_Operational",Operational_RawData!$A:$A,0)+ROWS($2:82)-1))</f>
        <v>0.14000000000000001</v>
      </c>
      <c r="O82">
        <f>IF(ROWS($2:82)&gt;COUNTIF(Operational_RawData!$A:$A,"1_Operational"),"",INDEX(Operational_RawData!O:O,MATCH("1_Operational",Operational_RawData!$A:$A,0)+ROWS($2:82)-1))</f>
        <v>0.19</v>
      </c>
      <c r="P82">
        <f>IF(ROWS($2:82)&gt;COUNTIF(Operational_RawData!$A:$A,"1_Operational"),"",INDEX(Operational_RawData!P:P,MATCH("1_Operational",Operational_RawData!$A:$A,0)+ROWS($2:82)-1))</f>
        <v>0.06</v>
      </c>
      <c r="Q82">
        <f>IF(ROWS($2:82)&gt;COUNTIF(Operational_RawData!$A:$A,"1_Operational"),"",INDEX(Operational_RawData!Q:Q,MATCH("1_Operational",Operational_RawData!$A:$A,0)+ROWS($2:82)-1))</f>
        <v>0.1</v>
      </c>
      <c r="R82" t="str">
        <f>IF(ROWS($2:82)&gt;COUNTIF(Operational_RawData!$A:$A,"1_Operational"),"",INDEX(Operational_RawData!R:R,MATCH("1_Operational",Operational_RawData!$A:$A,0)+ROWS($2:82)-1))</f>
        <v>Pass</v>
      </c>
      <c r="S82">
        <f>IF(ROWS($2:82)&gt;COUNTIF(Operational_RawData!$A:$A,"1_Operational"),"",INDEX(Operational_RawData!S:S,MATCH("1_Operational",Operational_RawData!$A:$A,0)+ROWS($2:82)-1))</f>
        <v>0</v>
      </c>
      <c r="T82">
        <f>IF(ROWS($2:82)&gt;COUNTIF(Operational_RawData!$A:$A,"1_Operational"),"",INDEX(Operational_RawData!T:T,MATCH("1_Operational",Operational_RawData!$A:$A,0)+ROWS($2:82)-1))</f>
        <v>0</v>
      </c>
    </row>
    <row r="83" spans="1:20">
      <c r="A83" t="str">
        <f>IF(ROWS($2:83)&gt;COUNTIF(Operational_RawData!$A:$A,"1_Operational"),"",INDEX(Operational_RawData!A:A,MATCH("1_Operational",Operational_RawData!$A:$A,0)+ROWS($2:83)-1))</f>
        <v>1_Operational</v>
      </c>
      <c r="B83">
        <f>IF(ROWS($2:83)&gt;COUNTIF(Operational_RawData!$A:$A,"1_Operational"),"",INDEX(Operational_RawData!B:B,MATCH("1_Operational",Operational_RawData!$A:$A,0)+ROWS($2:83)-1))</f>
        <v>145051.91699999999</v>
      </c>
      <c r="C83">
        <f>IF(ROWS($2:83)&gt;COUNTIF(Operational_RawData!$A:$A,"1_Operational"),"",INDEX(Operational_RawData!C:C,MATCH("1_Operational",Operational_RawData!$A:$A,0)+ROWS($2:83)-1))</f>
        <v>60.55</v>
      </c>
      <c r="D83">
        <f>IF(ROWS($2:83)&gt;COUNTIF(Operational_RawData!$A:$A,"1_Operational"),"",INDEX(Operational_RawData!D:D,MATCH("1_Operational",Operational_RawData!$A:$A,0)+ROWS($2:83)-1))</f>
        <v>1312.9839999999999</v>
      </c>
      <c r="E83">
        <f>IF(ROWS($2:83)&gt;COUNTIF(Operational_RawData!$A:$A,"1_Operational"),"",INDEX(Operational_RawData!E:E,MATCH("1_Operational",Operational_RawData!$A:$A,0)+ROWS($2:83)-1))</f>
        <v>1.06</v>
      </c>
      <c r="F83">
        <f>IF(ROWS($2:83)&gt;COUNTIF(Operational_RawData!$A:$A,"1_Operational"),"",INDEX(Operational_RawData!F:F,MATCH("1_Operational",Operational_RawData!$A:$A,0)+ROWS($2:83)-1))</f>
        <v>333.64</v>
      </c>
      <c r="G83">
        <f>IF(ROWS($2:83)&gt;COUNTIF(Operational_RawData!$A:$A,"1_Operational"),"",INDEX(Operational_RawData!G:G,MATCH("1_Operational",Operational_RawData!$A:$A,0)+ROWS($2:83)-1))</f>
        <v>333.64</v>
      </c>
      <c r="H83">
        <f>IF(ROWS($2:83)&gt;COUNTIF(Operational_RawData!$A:$A,"1_Operational"),"",INDEX(Operational_RawData!H:H,MATCH("1_Operational",Operational_RawData!$A:$A,0)+ROWS($2:83)-1))</f>
        <v>333.64</v>
      </c>
      <c r="I83">
        <f>IF(ROWS($2:83)&gt;COUNTIF(Operational_RawData!$A:$A,"1_Operational"),"",INDEX(Operational_RawData!I:I,MATCH("1_Operational",Operational_RawData!$A:$A,0)+ROWS($2:83)-1))</f>
        <v>333.64</v>
      </c>
      <c r="J83">
        <f>IF(ROWS($2:83)&gt;COUNTIF(Operational_RawData!$A:$A,"1_Operational"),"",INDEX(Operational_RawData!J:J,MATCH("1_Operational",Operational_RawData!$A:$A,0)+ROWS($2:83)-1))</f>
        <v>399</v>
      </c>
      <c r="K83">
        <f>IF(ROWS($2:83)&gt;COUNTIF(Operational_RawData!$A:$A,"1_Operational"),"",INDEX(Operational_RawData!K:K,MATCH("1_Operational",Operational_RawData!$A:$A,0)+ROWS($2:83)-1))</f>
        <v>399</v>
      </c>
      <c r="L83">
        <f>IF(ROWS($2:83)&gt;COUNTIF(Operational_RawData!$A:$A,"1_Operational"),"",INDEX(Operational_RawData!L:L,MATCH("1_Operational",Operational_RawData!$A:$A,0)+ROWS($2:83)-1))</f>
        <v>399</v>
      </c>
      <c r="M83">
        <f>IF(ROWS($2:83)&gt;COUNTIF(Operational_RawData!$A:$A,"1_Operational"),"",INDEX(Operational_RawData!M:M,MATCH("1_Operational",Operational_RawData!$A:$A,0)+ROWS($2:83)-1))</f>
        <v>399</v>
      </c>
      <c r="N83">
        <f>IF(ROWS($2:83)&gt;COUNTIF(Operational_RawData!$A:$A,"1_Operational"),"",INDEX(Operational_RawData!N:N,MATCH("1_Operational",Operational_RawData!$A:$A,0)+ROWS($2:83)-1))</f>
        <v>0.13</v>
      </c>
      <c r="O83">
        <f>IF(ROWS($2:83)&gt;COUNTIF(Operational_RawData!$A:$A,"1_Operational"),"",INDEX(Operational_RawData!O:O,MATCH("1_Operational",Operational_RawData!$A:$A,0)+ROWS($2:83)-1))</f>
        <v>0.19</v>
      </c>
      <c r="P83">
        <f>IF(ROWS($2:83)&gt;COUNTIF(Operational_RawData!$A:$A,"1_Operational"),"",INDEX(Operational_RawData!P:P,MATCH("1_Operational",Operational_RawData!$A:$A,0)+ROWS($2:83)-1))</f>
        <v>0.06</v>
      </c>
      <c r="Q83">
        <f>IF(ROWS($2:83)&gt;COUNTIF(Operational_RawData!$A:$A,"1_Operational"),"",INDEX(Operational_RawData!Q:Q,MATCH("1_Operational",Operational_RawData!$A:$A,0)+ROWS($2:83)-1))</f>
        <v>0.1</v>
      </c>
      <c r="R83" t="str">
        <f>IF(ROWS($2:83)&gt;COUNTIF(Operational_RawData!$A:$A,"1_Operational"),"",INDEX(Operational_RawData!R:R,MATCH("1_Operational",Operational_RawData!$A:$A,0)+ROWS($2:83)-1))</f>
        <v>Pass</v>
      </c>
      <c r="S83">
        <f>IF(ROWS($2:83)&gt;COUNTIF(Operational_RawData!$A:$A,"1_Operational"),"",INDEX(Operational_RawData!S:S,MATCH("1_Operational",Operational_RawData!$A:$A,0)+ROWS($2:83)-1))</f>
        <v>0</v>
      </c>
      <c r="T83">
        <f>IF(ROWS($2:83)&gt;COUNTIF(Operational_RawData!$A:$A,"1_Operational"),"",INDEX(Operational_RawData!T:T,MATCH("1_Operational",Operational_RawData!$A:$A,0)+ROWS($2:83)-1))</f>
        <v>0</v>
      </c>
    </row>
    <row r="84" spans="1:20">
      <c r="A84" t="str">
        <f>IF(ROWS($2:84)&gt;COUNTIF(Operational_RawData!$A:$A,"1_Operational"),"",INDEX(Operational_RawData!A:A,MATCH("1_Operational",Operational_RawData!$A:$A,0)+ROWS($2:84)-1))</f>
        <v>1_Operational</v>
      </c>
      <c r="B84">
        <f>IF(ROWS($2:84)&gt;COUNTIF(Operational_RawData!$A:$A,"1_Operational"),"",INDEX(Operational_RawData!B:B,MATCH("1_Operational",Operational_RawData!$A:$A,0)+ROWS($2:84)-1))</f>
        <v>145056.913</v>
      </c>
      <c r="C84">
        <f>IF(ROWS($2:84)&gt;COUNTIF(Operational_RawData!$A:$A,"1_Operational"),"",INDEX(Operational_RawData!C:C,MATCH("1_Operational",Operational_RawData!$A:$A,0)+ROWS($2:84)-1))</f>
        <v>61.3</v>
      </c>
      <c r="D84">
        <f>IF(ROWS($2:84)&gt;COUNTIF(Operational_RawData!$A:$A,"1_Operational"),"",INDEX(Operational_RawData!D:D,MATCH("1_Operational",Operational_RawData!$A:$A,0)+ROWS($2:84)-1))</f>
        <v>1313.097</v>
      </c>
      <c r="E84">
        <f>IF(ROWS($2:84)&gt;COUNTIF(Operational_RawData!$A:$A,"1_Operational"),"",INDEX(Operational_RawData!E:E,MATCH("1_Operational",Operational_RawData!$A:$A,0)+ROWS($2:84)-1))</f>
        <v>0.98</v>
      </c>
      <c r="F84">
        <f>IF(ROWS($2:84)&gt;COUNTIF(Operational_RawData!$A:$A,"1_Operational"),"",INDEX(Operational_RawData!F:F,MATCH("1_Operational",Operational_RawData!$A:$A,0)+ROWS($2:84)-1))</f>
        <v>340.76</v>
      </c>
      <c r="G84">
        <f>IF(ROWS($2:84)&gt;COUNTIF(Operational_RawData!$A:$A,"1_Operational"),"",INDEX(Operational_RawData!G:G,MATCH("1_Operational",Operational_RawData!$A:$A,0)+ROWS($2:84)-1))</f>
        <v>340.76</v>
      </c>
      <c r="H84">
        <f>IF(ROWS($2:84)&gt;COUNTIF(Operational_RawData!$A:$A,"1_Operational"),"",INDEX(Operational_RawData!H:H,MATCH("1_Operational",Operational_RawData!$A:$A,0)+ROWS($2:84)-1))</f>
        <v>340.76</v>
      </c>
      <c r="I84">
        <f>IF(ROWS($2:84)&gt;COUNTIF(Operational_RawData!$A:$A,"1_Operational"),"",INDEX(Operational_RawData!I:I,MATCH("1_Operational",Operational_RawData!$A:$A,0)+ROWS($2:84)-1))</f>
        <v>340.76</v>
      </c>
      <c r="J84">
        <f>IF(ROWS($2:84)&gt;COUNTIF(Operational_RawData!$A:$A,"1_Operational"),"",INDEX(Operational_RawData!J:J,MATCH("1_Operational",Operational_RawData!$A:$A,0)+ROWS($2:84)-1))</f>
        <v>399</v>
      </c>
      <c r="K84">
        <f>IF(ROWS($2:84)&gt;COUNTIF(Operational_RawData!$A:$A,"1_Operational"),"",INDEX(Operational_RawData!K:K,MATCH("1_Operational",Operational_RawData!$A:$A,0)+ROWS($2:84)-1))</f>
        <v>399</v>
      </c>
      <c r="L84">
        <f>IF(ROWS($2:84)&gt;COUNTIF(Operational_RawData!$A:$A,"1_Operational"),"",INDEX(Operational_RawData!L:L,MATCH("1_Operational",Operational_RawData!$A:$A,0)+ROWS($2:84)-1))</f>
        <v>399</v>
      </c>
      <c r="M84">
        <f>IF(ROWS($2:84)&gt;COUNTIF(Operational_RawData!$A:$A,"1_Operational"),"",INDEX(Operational_RawData!M:M,MATCH("1_Operational",Operational_RawData!$A:$A,0)+ROWS($2:84)-1))</f>
        <v>399</v>
      </c>
      <c r="N84">
        <f>IF(ROWS($2:84)&gt;COUNTIF(Operational_RawData!$A:$A,"1_Operational"),"",INDEX(Operational_RawData!N:N,MATCH("1_Operational",Operational_RawData!$A:$A,0)+ROWS($2:84)-1))</f>
        <v>0.15</v>
      </c>
      <c r="O84">
        <f>IF(ROWS($2:84)&gt;COUNTIF(Operational_RawData!$A:$A,"1_Operational"),"",INDEX(Operational_RawData!O:O,MATCH("1_Operational",Operational_RawData!$A:$A,0)+ROWS($2:84)-1))</f>
        <v>0.19</v>
      </c>
      <c r="P84">
        <f>IF(ROWS($2:84)&gt;COUNTIF(Operational_RawData!$A:$A,"1_Operational"),"",INDEX(Operational_RawData!P:P,MATCH("1_Operational",Operational_RawData!$A:$A,0)+ROWS($2:84)-1))</f>
        <v>0.06</v>
      </c>
      <c r="Q84">
        <f>IF(ROWS($2:84)&gt;COUNTIF(Operational_RawData!$A:$A,"1_Operational"),"",INDEX(Operational_RawData!Q:Q,MATCH("1_Operational",Operational_RawData!$A:$A,0)+ROWS($2:84)-1))</f>
        <v>0.1</v>
      </c>
      <c r="R84" t="str">
        <f>IF(ROWS($2:84)&gt;COUNTIF(Operational_RawData!$A:$A,"1_Operational"),"",INDEX(Operational_RawData!R:R,MATCH("1_Operational",Operational_RawData!$A:$A,0)+ROWS($2:84)-1))</f>
        <v>Pass</v>
      </c>
      <c r="S84">
        <f>IF(ROWS($2:84)&gt;COUNTIF(Operational_RawData!$A:$A,"1_Operational"),"",INDEX(Operational_RawData!S:S,MATCH("1_Operational",Operational_RawData!$A:$A,0)+ROWS($2:84)-1))</f>
        <v>0</v>
      </c>
      <c r="T84">
        <f>IF(ROWS($2:84)&gt;COUNTIF(Operational_RawData!$A:$A,"1_Operational"),"",INDEX(Operational_RawData!T:T,MATCH("1_Operational",Operational_RawData!$A:$A,0)+ROWS($2:84)-1))</f>
        <v>0</v>
      </c>
    </row>
    <row r="85" spans="1:20">
      <c r="A85" t="str">
        <f>IF(ROWS($2:85)&gt;COUNTIF(Operational_RawData!$A:$A,"1_Operational"),"",INDEX(Operational_RawData!A:A,MATCH("1_Operational",Operational_RawData!$A:$A,0)+ROWS($2:85)-1))</f>
        <v>1_Operational</v>
      </c>
      <c r="B85">
        <f>IF(ROWS($2:85)&gt;COUNTIF(Operational_RawData!$A:$A,"1_Operational"),"",INDEX(Operational_RawData!B:B,MATCH("1_Operational",Operational_RawData!$A:$A,0)+ROWS($2:85)-1))</f>
        <v>145101.91699999999</v>
      </c>
      <c r="C85">
        <f>IF(ROWS($2:85)&gt;COUNTIF(Operational_RawData!$A:$A,"1_Operational"),"",INDEX(Operational_RawData!C:C,MATCH("1_Operational",Operational_RawData!$A:$A,0)+ROWS($2:85)-1))</f>
        <v>62.03</v>
      </c>
      <c r="D85">
        <f>IF(ROWS($2:85)&gt;COUNTIF(Operational_RawData!$A:$A,"1_Operational"),"",INDEX(Operational_RawData!D:D,MATCH("1_Operational",Operational_RawData!$A:$A,0)+ROWS($2:85)-1))</f>
        <v>1313.2059999999999</v>
      </c>
      <c r="E85">
        <f>IF(ROWS($2:85)&gt;COUNTIF(Operational_RawData!$A:$A,"1_Operational"),"",INDEX(Operational_RawData!E:E,MATCH("1_Operational",Operational_RawData!$A:$A,0)+ROWS($2:85)-1))</f>
        <v>0.94</v>
      </c>
      <c r="F85">
        <f>IF(ROWS($2:85)&gt;COUNTIF(Operational_RawData!$A:$A,"1_Operational"),"",INDEX(Operational_RawData!F:F,MATCH("1_Operational",Operational_RawData!$A:$A,0)+ROWS($2:85)-1))</f>
        <v>348.56</v>
      </c>
      <c r="G85">
        <f>IF(ROWS($2:85)&gt;COUNTIF(Operational_RawData!$A:$A,"1_Operational"),"",INDEX(Operational_RawData!G:G,MATCH("1_Operational",Operational_RawData!$A:$A,0)+ROWS($2:85)-1))</f>
        <v>348.56</v>
      </c>
      <c r="H85">
        <f>IF(ROWS($2:85)&gt;COUNTIF(Operational_RawData!$A:$A,"1_Operational"),"",INDEX(Operational_RawData!H:H,MATCH("1_Operational",Operational_RawData!$A:$A,0)+ROWS($2:85)-1))</f>
        <v>348.56</v>
      </c>
      <c r="I85">
        <f>IF(ROWS($2:85)&gt;COUNTIF(Operational_RawData!$A:$A,"1_Operational"),"",INDEX(Operational_RawData!I:I,MATCH("1_Operational",Operational_RawData!$A:$A,0)+ROWS($2:85)-1))</f>
        <v>348.56</v>
      </c>
      <c r="J85">
        <f>IF(ROWS($2:85)&gt;COUNTIF(Operational_RawData!$A:$A,"1_Operational"),"",INDEX(Operational_RawData!J:J,MATCH("1_Operational",Operational_RawData!$A:$A,0)+ROWS($2:85)-1))</f>
        <v>399</v>
      </c>
      <c r="K85">
        <f>IF(ROWS($2:85)&gt;COUNTIF(Operational_RawData!$A:$A,"1_Operational"),"",INDEX(Operational_RawData!K:K,MATCH("1_Operational",Operational_RawData!$A:$A,0)+ROWS($2:85)-1))</f>
        <v>399</v>
      </c>
      <c r="L85">
        <f>IF(ROWS($2:85)&gt;COUNTIF(Operational_RawData!$A:$A,"1_Operational"),"",INDEX(Operational_RawData!L:L,MATCH("1_Operational",Operational_RawData!$A:$A,0)+ROWS($2:85)-1))</f>
        <v>399</v>
      </c>
      <c r="M85">
        <f>IF(ROWS($2:85)&gt;COUNTIF(Operational_RawData!$A:$A,"1_Operational"),"",INDEX(Operational_RawData!M:M,MATCH("1_Operational",Operational_RawData!$A:$A,0)+ROWS($2:85)-1))</f>
        <v>399</v>
      </c>
      <c r="N85">
        <f>IF(ROWS($2:85)&gt;COUNTIF(Operational_RawData!$A:$A,"1_Operational"),"",INDEX(Operational_RawData!N:N,MATCH("1_Operational",Operational_RawData!$A:$A,0)+ROWS($2:85)-1))</f>
        <v>0.15</v>
      </c>
      <c r="O85">
        <f>IF(ROWS($2:85)&gt;COUNTIF(Operational_RawData!$A:$A,"1_Operational"),"",INDEX(Operational_RawData!O:O,MATCH("1_Operational",Operational_RawData!$A:$A,0)+ROWS($2:85)-1))</f>
        <v>0.19</v>
      </c>
      <c r="P85">
        <f>IF(ROWS($2:85)&gt;COUNTIF(Operational_RawData!$A:$A,"1_Operational"),"",INDEX(Operational_RawData!P:P,MATCH("1_Operational",Operational_RawData!$A:$A,0)+ROWS($2:85)-1))</f>
        <v>0.06</v>
      </c>
      <c r="Q85">
        <f>IF(ROWS($2:85)&gt;COUNTIF(Operational_RawData!$A:$A,"1_Operational"),"",INDEX(Operational_RawData!Q:Q,MATCH("1_Operational",Operational_RawData!$A:$A,0)+ROWS($2:85)-1))</f>
        <v>0.1</v>
      </c>
      <c r="R85" t="str">
        <f>IF(ROWS($2:85)&gt;COUNTIF(Operational_RawData!$A:$A,"1_Operational"),"",INDEX(Operational_RawData!R:R,MATCH("1_Operational",Operational_RawData!$A:$A,0)+ROWS($2:85)-1))</f>
        <v>Pass</v>
      </c>
      <c r="S85">
        <f>IF(ROWS($2:85)&gt;COUNTIF(Operational_RawData!$A:$A,"1_Operational"),"",INDEX(Operational_RawData!S:S,MATCH("1_Operational",Operational_RawData!$A:$A,0)+ROWS($2:85)-1))</f>
        <v>0</v>
      </c>
      <c r="T85">
        <f>IF(ROWS($2:85)&gt;COUNTIF(Operational_RawData!$A:$A,"1_Operational"),"",INDEX(Operational_RawData!T:T,MATCH("1_Operational",Operational_RawData!$A:$A,0)+ROWS($2:85)-1))</f>
        <v>0</v>
      </c>
    </row>
    <row r="86" spans="1:20">
      <c r="A86" t="str">
        <f>IF(ROWS($2:86)&gt;COUNTIF(Operational_RawData!$A:$A,"1_Operational"),"",INDEX(Operational_RawData!A:A,MATCH("1_Operational",Operational_RawData!$A:$A,0)+ROWS($2:86)-1))</f>
        <v>1_Operational</v>
      </c>
      <c r="B86">
        <f>IF(ROWS($2:86)&gt;COUNTIF(Operational_RawData!$A:$A,"1_Operational"),"",INDEX(Operational_RawData!B:B,MATCH("1_Operational",Operational_RawData!$A:$A,0)+ROWS($2:86)-1))</f>
        <v>145106.92499999999</v>
      </c>
      <c r="C86">
        <f>IF(ROWS($2:86)&gt;COUNTIF(Operational_RawData!$A:$A,"1_Operational"),"",INDEX(Operational_RawData!C:C,MATCH("1_Operational",Operational_RawData!$A:$A,0)+ROWS($2:86)-1))</f>
        <v>62.78</v>
      </c>
      <c r="D86">
        <f>IF(ROWS($2:86)&gt;COUNTIF(Operational_RawData!$A:$A,"1_Operational"),"",INDEX(Operational_RawData!D:D,MATCH("1_Operational",Operational_RawData!$A:$A,0)+ROWS($2:86)-1))</f>
        <v>1313.32</v>
      </c>
      <c r="E86">
        <f>IF(ROWS($2:86)&gt;COUNTIF(Operational_RawData!$A:$A,"1_Operational"),"",INDEX(Operational_RawData!E:E,MATCH("1_Operational",Operational_RawData!$A:$A,0)+ROWS($2:86)-1))</f>
        <v>0.81</v>
      </c>
      <c r="F86">
        <f>IF(ROWS($2:86)&gt;COUNTIF(Operational_RawData!$A:$A,"1_Operational"),"",INDEX(Operational_RawData!F:F,MATCH("1_Operational",Operational_RawData!$A:$A,0)+ROWS($2:86)-1))</f>
        <v>356.36</v>
      </c>
      <c r="G86">
        <f>IF(ROWS($2:86)&gt;COUNTIF(Operational_RawData!$A:$A,"1_Operational"),"",INDEX(Operational_RawData!G:G,MATCH("1_Operational",Operational_RawData!$A:$A,0)+ROWS($2:86)-1))</f>
        <v>356.36</v>
      </c>
      <c r="H86">
        <f>IF(ROWS($2:86)&gt;COUNTIF(Operational_RawData!$A:$A,"1_Operational"),"",INDEX(Operational_RawData!H:H,MATCH("1_Operational",Operational_RawData!$A:$A,0)+ROWS($2:86)-1))</f>
        <v>356.36</v>
      </c>
      <c r="I86">
        <f>IF(ROWS($2:86)&gt;COUNTIF(Operational_RawData!$A:$A,"1_Operational"),"",INDEX(Operational_RawData!I:I,MATCH("1_Operational",Operational_RawData!$A:$A,0)+ROWS($2:86)-1))</f>
        <v>356.36</v>
      </c>
      <c r="J86">
        <f>IF(ROWS($2:86)&gt;COUNTIF(Operational_RawData!$A:$A,"1_Operational"),"",INDEX(Operational_RawData!J:J,MATCH("1_Operational",Operational_RawData!$A:$A,0)+ROWS($2:86)-1))</f>
        <v>399</v>
      </c>
      <c r="K86">
        <f>IF(ROWS($2:86)&gt;COUNTIF(Operational_RawData!$A:$A,"1_Operational"),"",INDEX(Operational_RawData!K:K,MATCH("1_Operational",Operational_RawData!$A:$A,0)+ROWS($2:86)-1))</f>
        <v>399</v>
      </c>
      <c r="L86">
        <f>IF(ROWS($2:86)&gt;COUNTIF(Operational_RawData!$A:$A,"1_Operational"),"",INDEX(Operational_RawData!L:L,MATCH("1_Operational",Operational_RawData!$A:$A,0)+ROWS($2:86)-1))</f>
        <v>399</v>
      </c>
      <c r="M86">
        <f>IF(ROWS($2:86)&gt;COUNTIF(Operational_RawData!$A:$A,"1_Operational"),"",INDEX(Operational_RawData!M:M,MATCH("1_Operational",Operational_RawData!$A:$A,0)+ROWS($2:86)-1))</f>
        <v>399</v>
      </c>
      <c r="N86">
        <f>IF(ROWS($2:86)&gt;COUNTIF(Operational_RawData!$A:$A,"1_Operational"),"",INDEX(Operational_RawData!N:N,MATCH("1_Operational",Operational_RawData!$A:$A,0)+ROWS($2:86)-1))</f>
        <v>0.15</v>
      </c>
      <c r="O86">
        <f>IF(ROWS($2:86)&gt;COUNTIF(Operational_RawData!$A:$A,"1_Operational"),"",INDEX(Operational_RawData!O:O,MATCH("1_Operational",Operational_RawData!$A:$A,0)+ROWS($2:86)-1))</f>
        <v>0.19</v>
      </c>
      <c r="P86">
        <f>IF(ROWS($2:86)&gt;COUNTIF(Operational_RawData!$A:$A,"1_Operational"),"",INDEX(Operational_RawData!P:P,MATCH("1_Operational",Operational_RawData!$A:$A,0)+ROWS($2:86)-1))</f>
        <v>0.06</v>
      </c>
      <c r="Q86">
        <f>IF(ROWS($2:86)&gt;COUNTIF(Operational_RawData!$A:$A,"1_Operational"),"",INDEX(Operational_RawData!Q:Q,MATCH("1_Operational",Operational_RawData!$A:$A,0)+ROWS($2:86)-1))</f>
        <v>0.1</v>
      </c>
      <c r="R86" t="str">
        <f>IF(ROWS($2:86)&gt;COUNTIF(Operational_RawData!$A:$A,"1_Operational"),"",INDEX(Operational_RawData!R:R,MATCH("1_Operational",Operational_RawData!$A:$A,0)+ROWS($2:86)-1))</f>
        <v>Pass</v>
      </c>
      <c r="S86">
        <f>IF(ROWS($2:86)&gt;COUNTIF(Operational_RawData!$A:$A,"1_Operational"),"",INDEX(Operational_RawData!S:S,MATCH("1_Operational",Operational_RawData!$A:$A,0)+ROWS($2:86)-1))</f>
        <v>0</v>
      </c>
      <c r="T86">
        <f>IF(ROWS($2:86)&gt;COUNTIF(Operational_RawData!$A:$A,"1_Operational"),"",INDEX(Operational_RawData!T:T,MATCH("1_Operational",Operational_RawData!$A:$A,0)+ROWS($2:86)-1))</f>
        <v>0</v>
      </c>
    </row>
    <row r="87" spans="1:20">
      <c r="A87" t="str">
        <f>IF(ROWS($2:87)&gt;COUNTIF(Operational_RawData!$A:$A,"1_Operational"),"",INDEX(Operational_RawData!A:A,MATCH("1_Operational",Operational_RawData!$A:$A,0)+ROWS($2:87)-1))</f>
        <v>1_Operational</v>
      </c>
      <c r="B87">
        <f>IF(ROWS($2:87)&gt;COUNTIF(Operational_RawData!$A:$A,"1_Operational"),"",INDEX(Operational_RawData!B:B,MATCH("1_Operational",Operational_RawData!$A:$A,0)+ROWS($2:87)-1))</f>
        <v>145111.91399999999</v>
      </c>
      <c r="C87">
        <f>IF(ROWS($2:87)&gt;COUNTIF(Operational_RawData!$A:$A,"1_Operational"),"",INDEX(Operational_RawData!C:C,MATCH("1_Operational",Operational_RawData!$A:$A,0)+ROWS($2:87)-1))</f>
        <v>63.53</v>
      </c>
      <c r="D87">
        <f>IF(ROWS($2:87)&gt;COUNTIF(Operational_RawData!$A:$A,"1_Operational"),"",INDEX(Operational_RawData!D:D,MATCH("1_Operational",Operational_RawData!$A:$A,0)+ROWS($2:87)-1))</f>
        <v>1313.434</v>
      </c>
      <c r="E87">
        <f>IF(ROWS($2:87)&gt;COUNTIF(Operational_RawData!$A:$A,"1_Operational"),"",INDEX(Operational_RawData!E:E,MATCH("1_Operational",Operational_RawData!$A:$A,0)+ROWS($2:87)-1))</f>
        <v>0.79</v>
      </c>
      <c r="F87">
        <f>IF(ROWS($2:87)&gt;COUNTIF(Operational_RawData!$A:$A,"1_Operational"),"",INDEX(Operational_RawData!F:F,MATCH("1_Operational",Operational_RawData!$A:$A,0)+ROWS($2:87)-1))</f>
        <v>364.56</v>
      </c>
      <c r="G87">
        <f>IF(ROWS($2:87)&gt;COUNTIF(Operational_RawData!$A:$A,"1_Operational"),"",INDEX(Operational_RawData!G:G,MATCH("1_Operational",Operational_RawData!$A:$A,0)+ROWS($2:87)-1))</f>
        <v>364.56</v>
      </c>
      <c r="H87">
        <f>IF(ROWS($2:87)&gt;COUNTIF(Operational_RawData!$A:$A,"1_Operational"),"",INDEX(Operational_RawData!H:H,MATCH("1_Operational",Operational_RawData!$A:$A,0)+ROWS($2:87)-1))</f>
        <v>364.6</v>
      </c>
      <c r="I87">
        <f>IF(ROWS($2:87)&gt;COUNTIF(Operational_RawData!$A:$A,"1_Operational"),"",INDEX(Operational_RawData!I:I,MATCH("1_Operational",Operational_RawData!$A:$A,0)+ROWS($2:87)-1))</f>
        <v>364.6</v>
      </c>
      <c r="J87">
        <f>IF(ROWS($2:87)&gt;COUNTIF(Operational_RawData!$A:$A,"1_Operational"),"",INDEX(Operational_RawData!J:J,MATCH("1_Operational",Operational_RawData!$A:$A,0)+ROWS($2:87)-1))</f>
        <v>399</v>
      </c>
      <c r="K87">
        <f>IF(ROWS($2:87)&gt;COUNTIF(Operational_RawData!$A:$A,"1_Operational"),"",INDEX(Operational_RawData!K:K,MATCH("1_Operational",Operational_RawData!$A:$A,0)+ROWS($2:87)-1))</f>
        <v>399</v>
      </c>
      <c r="L87">
        <f>IF(ROWS($2:87)&gt;COUNTIF(Operational_RawData!$A:$A,"1_Operational"),"",INDEX(Operational_RawData!L:L,MATCH("1_Operational",Operational_RawData!$A:$A,0)+ROWS($2:87)-1))</f>
        <v>399</v>
      </c>
      <c r="M87">
        <f>IF(ROWS($2:87)&gt;COUNTIF(Operational_RawData!$A:$A,"1_Operational"),"",INDEX(Operational_RawData!M:M,MATCH("1_Operational",Operational_RawData!$A:$A,0)+ROWS($2:87)-1))</f>
        <v>399</v>
      </c>
      <c r="N87">
        <f>IF(ROWS($2:87)&gt;COUNTIF(Operational_RawData!$A:$A,"1_Operational"),"",INDEX(Operational_RawData!N:N,MATCH("1_Operational",Operational_RawData!$A:$A,0)+ROWS($2:87)-1))</f>
        <v>0.15</v>
      </c>
      <c r="O87">
        <f>IF(ROWS($2:87)&gt;COUNTIF(Operational_RawData!$A:$A,"1_Operational"),"",INDEX(Operational_RawData!O:O,MATCH("1_Operational",Operational_RawData!$A:$A,0)+ROWS($2:87)-1))</f>
        <v>0.19</v>
      </c>
      <c r="P87">
        <f>IF(ROWS($2:87)&gt;COUNTIF(Operational_RawData!$A:$A,"1_Operational"),"",INDEX(Operational_RawData!P:P,MATCH("1_Operational",Operational_RawData!$A:$A,0)+ROWS($2:87)-1))</f>
        <v>0.06</v>
      </c>
      <c r="Q87">
        <f>IF(ROWS($2:87)&gt;COUNTIF(Operational_RawData!$A:$A,"1_Operational"),"",INDEX(Operational_RawData!Q:Q,MATCH("1_Operational",Operational_RawData!$A:$A,0)+ROWS($2:87)-1))</f>
        <v>0.1</v>
      </c>
      <c r="R87" t="str">
        <f>IF(ROWS($2:87)&gt;COUNTIF(Operational_RawData!$A:$A,"1_Operational"),"",INDEX(Operational_RawData!R:R,MATCH("1_Operational",Operational_RawData!$A:$A,0)+ROWS($2:87)-1))</f>
        <v>Pass</v>
      </c>
      <c r="S87">
        <f>IF(ROWS($2:87)&gt;COUNTIF(Operational_RawData!$A:$A,"1_Operational"),"",INDEX(Operational_RawData!S:S,MATCH("1_Operational",Operational_RawData!$A:$A,0)+ROWS($2:87)-1))</f>
        <v>0</v>
      </c>
      <c r="T87">
        <f>IF(ROWS($2:87)&gt;COUNTIF(Operational_RawData!$A:$A,"1_Operational"),"",INDEX(Operational_RawData!T:T,MATCH("1_Operational",Operational_RawData!$A:$A,0)+ROWS($2:87)-1))</f>
        <v>0</v>
      </c>
    </row>
    <row r="88" spans="1:20">
      <c r="A88" t="str">
        <f>IF(ROWS($2:88)&gt;COUNTIF(Operational_RawData!$A:$A,"1_Operational"),"",INDEX(Operational_RawData!A:A,MATCH("1_Operational",Operational_RawData!$A:$A,0)+ROWS($2:88)-1))</f>
        <v>1_Operational</v>
      </c>
      <c r="B88">
        <f>IF(ROWS($2:88)&gt;COUNTIF(Operational_RawData!$A:$A,"1_Operational"),"",INDEX(Operational_RawData!B:B,MATCH("1_Operational",Operational_RawData!$A:$A,0)+ROWS($2:88)-1))</f>
        <v>145116.92199999999</v>
      </c>
      <c r="C88">
        <f>IF(ROWS($2:88)&gt;COUNTIF(Operational_RawData!$A:$A,"1_Operational"),"",INDEX(Operational_RawData!C:C,MATCH("1_Operational",Operational_RawData!$A:$A,0)+ROWS($2:88)-1))</f>
        <v>64.28</v>
      </c>
      <c r="D88">
        <f>IF(ROWS($2:88)&gt;COUNTIF(Operational_RawData!$A:$A,"1_Operational"),"",INDEX(Operational_RawData!D:D,MATCH("1_Operational",Operational_RawData!$A:$A,0)+ROWS($2:88)-1))</f>
        <v>1313.539</v>
      </c>
      <c r="E88">
        <f>IF(ROWS($2:88)&gt;COUNTIF(Operational_RawData!$A:$A,"1_Operational"),"",INDEX(Operational_RawData!E:E,MATCH("1_Operational",Operational_RawData!$A:$A,0)+ROWS($2:88)-1))</f>
        <v>0.59</v>
      </c>
      <c r="F88">
        <f>IF(ROWS($2:88)&gt;COUNTIF(Operational_RawData!$A:$A,"1_Operational"),"",INDEX(Operational_RawData!F:F,MATCH("1_Operational",Operational_RawData!$A:$A,0)+ROWS($2:88)-1))</f>
        <v>374</v>
      </c>
      <c r="G88">
        <f>IF(ROWS($2:88)&gt;COUNTIF(Operational_RawData!$A:$A,"1_Operational"),"",INDEX(Operational_RawData!G:G,MATCH("1_Operational",Operational_RawData!$A:$A,0)+ROWS($2:88)-1))</f>
        <v>374</v>
      </c>
      <c r="H88">
        <f>IF(ROWS($2:88)&gt;COUNTIF(Operational_RawData!$A:$A,"1_Operational"),"",INDEX(Operational_RawData!H:H,MATCH("1_Operational",Operational_RawData!$A:$A,0)+ROWS($2:88)-1))</f>
        <v>374</v>
      </c>
      <c r="I88">
        <f>IF(ROWS($2:88)&gt;COUNTIF(Operational_RawData!$A:$A,"1_Operational"),"",INDEX(Operational_RawData!I:I,MATCH("1_Operational",Operational_RawData!$A:$A,0)+ROWS($2:88)-1))</f>
        <v>374</v>
      </c>
      <c r="J88">
        <f>IF(ROWS($2:88)&gt;COUNTIF(Operational_RawData!$A:$A,"1_Operational"),"",INDEX(Operational_RawData!J:J,MATCH("1_Operational",Operational_RawData!$A:$A,0)+ROWS($2:88)-1))</f>
        <v>399</v>
      </c>
      <c r="K88">
        <f>IF(ROWS($2:88)&gt;COUNTIF(Operational_RawData!$A:$A,"1_Operational"),"",INDEX(Operational_RawData!K:K,MATCH("1_Operational",Operational_RawData!$A:$A,0)+ROWS($2:88)-1))</f>
        <v>399</v>
      </c>
      <c r="L88">
        <f>IF(ROWS($2:88)&gt;COUNTIF(Operational_RawData!$A:$A,"1_Operational"),"",INDEX(Operational_RawData!L:L,MATCH("1_Operational",Operational_RawData!$A:$A,0)+ROWS($2:88)-1))</f>
        <v>399</v>
      </c>
      <c r="M88">
        <f>IF(ROWS($2:88)&gt;COUNTIF(Operational_RawData!$A:$A,"1_Operational"),"",INDEX(Operational_RawData!M:M,MATCH("1_Operational",Operational_RawData!$A:$A,0)+ROWS($2:88)-1))</f>
        <v>399</v>
      </c>
      <c r="N88">
        <f>IF(ROWS($2:88)&gt;COUNTIF(Operational_RawData!$A:$A,"1_Operational"),"",INDEX(Operational_RawData!N:N,MATCH("1_Operational",Operational_RawData!$A:$A,0)+ROWS($2:88)-1))</f>
        <v>0.14000000000000001</v>
      </c>
      <c r="O88">
        <f>IF(ROWS($2:88)&gt;COUNTIF(Operational_RawData!$A:$A,"1_Operational"),"",INDEX(Operational_RawData!O:O,MATCH("1_Operational",Operational_RawData!$A:$A,0)+ROWS($2:88)-1))</f>
        <v>0.19</v>
      </c>
      <c r="P88">
        <f>IF(ROWS($2:88)&gt;COUNTIF(Operational_RawData!$A:$A,"1_Operational"),"",INDEX(Operational_RawData!P:P,MATCH("1_Operational",Operational_RawData!$A:$A,0)+ROWS($2:88)-1))</f>
        <v>0.06</v>
      </c>
      <c r="Q88">
        <f>IF(ROWS($2:88)&gt;COUNTIF(Operational_RawData!$A:$A,"1_Operational"),"",INDEX(Operational_RawData!Q:Q,MATCH("1_Operational",Operational_RawData!$A:$A,0)+ROWS($2:88)-1))</f>
        <v>0.1</v>
      </c>
      <c r="R88" t="str">
        <f>IF(ROWS($2:88)&gt;COUNTIF(Operational_RawData!$A:$A,"1_Operational"),"",INDEX(Operational_RawData!R:R,MATCH("1_Operational",Operational_RawData!$A:$A,0)+ROWS($2:88)-1))</f>
        <v>Pass</v>
      </c>
      <c r="S88">
        <f>IF(ROWS($2:88)&gt;COUNTIF(Operational_RawData!$A:$A,"1_Operational"),"",INDEX(Operational_RawData!S:S,MATCH("1_Operational",Operational_RawData!$A:$A,0)+ROWS($2:88)-1))</f>
        <v>0</v>
      </c>
      <c r="T88">
        <f>IF(ROWS($2:88)&gt;COUNTIF(Operational_RawData!$A:$A,"1_Operational"),"",INDEX(Operational_RawData!T:T,MATCH("1_Operational",Operational_RawData!$A:$A,0)+ROWS($2:88)-1))</f>
        <v>0</v>
      </c>
    </row>
    <row r="89" spans="1:20">
      <c r="A89" t="str">
        <f>IF(ROWS($2:89)&gt;COUNTIF(Operational_RawData!$A:$A,"1_Operational"),"",INDEX(Operational_RawData!A:A,MATCH("1_Operational",Operational_RawData!$A:$A,0)+ROWS($2:89)-1))</f>
        <v>1_Operational</v>
      </c>
      <c r="B89">
        <f>IF(ROWS($2:89)&gt;COUNTIF(Operational_RawData!$A:$A,"1_Operational"),"",INDEX(Operational_RawData!B:B,MATCH("1_Operational",Operational_RawData!$A:$A,0)+ROWS($2:89)-1))</f>
        <v>145121.92600000001</v>
      </c>
      <c r="C89">
        <f>IF(ROWS($2:89)&gt;COUNTIF(Operational_RawData!$A:$A,"1_Operational"),"",INDEX(Operational_RawData!C:C,MATCH("1_Operational",Operational_RawData!$A:$A,0)+ROWS($2:89)-1))</f>
        <v>65.010000000000005</v>
      </c>
      <c r="D89">
        <f>IF(ROWS($2:89)&gt;COUNTIF(Operational_RawData!$A:$A,"1_Operational"),"",INDEX(Operational_RawData!D:D,MATCH("1_Operational",Operational_RawData!$A:$A,0)+ROWS($2:89)-1))</f>
        <v>1313.6679999999999</v>
      </c>
      <c r="E89">
        <f>IF(ROWS($2:89)&gt;COUNTIF(Operational_RawData!$A:$A,"1_Operational"),"",INDEX(Operational_RawData!E:E,MATCH("1_Operational",Operational_RawData!$A:$A,0)+ROWS($2:89)-1))</f>
        <v>0.55000000000000004</v>
      </c>
      <c r="F89">
        <f>IF(ROWS($2:89)&gt;COUNTIF(Operational_RawData!$A:$A,"1_Operational"),"",INDEX(Operational_RawData!F:F,MATCH("1_Operational",Operational_RawData!$A:$A,0)+ROWS($2:89)-1))</f>
        <v>383.64</v>
      </c>
      <c r="G89">
        <f>IF(ROWS($2:89)&gt;COUNTIF(Operational_RawData!$A:$A,"1_Operational"),"",INDEX(Operational_RawData!G:G,MATCH("1_Operational",Operational_RawData!$A:$A,0)+ROWS($2:89)-1))</f>
        <v>383.64</v>
      </c>
      <c r="H89">
        <f>IF(ROWS($2:89)&gt;COUNTIF(Operational_RawData!$A:$A,"1_Operational"),"",INDEX(Operational_RawData!H:H,MATCH("1_Operational",Operational_RawData!$A:$A,0)+ROWS($2:89)-1))</f>
        <v>383.64</v>
      </c>
      <c r="I89">
        <f>IF(ROWS($2:89)&gt;COUNTIF(Operational_RawData!$A:$A,"1_Operational"),"",INDEX(Operational_RawData!I:I,MATCH("1_Operational",Operational_RawData!$A:$A,0)+ROWS($2:89)-1))</f>
        <v>383.64</v>
      </c>
      <c r="J89">
        <f>IF(ROWS($2:89)&gt;COUNTIF(Operational_RawData!$A:$A,"1_Operational"),"",INDEX(Operational_RawData!J:J,MATCH("1_Operational",Operational_RawData!$A:$A,0)+ROWS($2:89)-1))</f>
        <v>399</v>
      </c>
      <c r="K89">
        <f>IF(ROWS($2:89)&gt;COUNTIF(Operational_RawData!$A:$A,"1_Operational"),"",INDEX(Operational_RawData!K:K,MATCH("1_Operational",Operational_RawData!$A:$A,0)+ROWS($2:89)-1))</f>
        <v>399</v>
      </c>
      <c r="L89">
        <f>IF(ROWS($2:89)&gt;COUNTIF(Operational_RawData!$A:$A,"1_Operational"),"",INDEX(Operational_RawData!L:L,MATCH("1_Operational",Operational_RawData!$A:$A,0)+ROWS($2:89)-1))</f>
        <v>399</v>
      </c>
      <c r="M89">
        <f>IF(ROWS($2:89)&gt;COUNTIF(Operational_RawData!$A:$A,"1_Operational"),"",INDEX(Operational_RawData!M:M,MATCH("1_Operational",Operational_RawData!$A:$A,0)+ROWS($2:89)-1))</f>
        <v>399</v>
      </c>
      <c r="N89">
        <f>IF(ROWS($2:89)&gt;COUNTIF(Operational_RawData!$A:$A,"1_Operational"),"",INDEX(Operational_RawData!N:N,MATCH("1_Operational",Operational_RawData!$A:$A,0)+ROWS($2:89)-1))</f>
        <v>0.18</v>
      </c>
      <c r="O89">
        <f>IF(ROWS($2:89)&gt;COUNTIF(Operational_RawData!$A:$A,"1_Operational"),"",INDEX(Operational_RawData!O:O,MATCH("1_Operational",Operational_RawData!$A:$A,0)+ROWS($2:89)-1))</f>
        <v>0.19</v>
      </c>
      <c r="P89">
        <f>IF(ROWS($2:89)&gt;COUNTIF(Operational_RawData!$A:$A,"1_Operational"),"",INDEX(Operational_RawData!P:P,MATCH("1_Operational",Operational_RawData!$A:$A,0)+ROWS($2:89)-1))</f>
        <v>0.06</v>
      </c>
      <c r="Q89">
        <f>IF(ROWS($2:89)&gt;COUNTIF(Operational_RawData!$A:$A,"1_Operational"),"",INDEX(Operational_RawData!Q:Q,MATCH("1_Operational",Operational_RawData!$A:$A,0)+ROWS($2:89)-1))</f>
        <v>0.1</v>
      </c>
      <c r="R89" t="str">
        <f>IF(ROWS($2:89)&gt;COUNTIF(Operational_RawData!$A:$A,"1_Operational"),"",INDEX(Operational_RawData!R:R,MATCH("1_Operational",Operational_RawData!$A:$A,0)+ROWS($2:89)-1))</f>
        <v>Pass</v>
      </c>
      <c r="S89">
        <f>IF(ROWS($2:89)&gt;COUNTIF(Operational_RawData!$A:$A,"1_Operational"),"",INDEX(Operational_RawData!S:S,MATCH("1_Operational",Operational_RawData!$A:$A,0)+ROWS($2:89)-1))</f>
        <v>0</v>
      </c>
      <c r="T89">
        <f>IF(ROWS($2:89)&gt;COUNTIF(Operational_RawData!$A:$A,"1_Operational"),"",INDEX(Operational_RawData!T:T,MATCH("1_Operational",Operational_RawData!$A:$A,0)+ROWS($2:89)-1))</f>
        <v>0</v>
      </c>
    </row>
    <row r="90" spans="1:20">
      <c r="A90" t="str">
        <f>IF(ROWS($2:90)&gt;COUNTIF(Operational_RawData!$A:$A,"1_Operational"),"",INDEX(Operational_RawData!A:A,MATCH("1_Operational",Operational_RawData!$A:$A,0)+ROWS($2:90)-1))</f>
        <v>1_Operational</v>
      </c>
      <c r="B90">
        <f>IF(ROWS($2:90)&gt;COUNTIF(Operational_RawData!$A:$A,"1_Operational"),"",INDEX(Operational_RawData!B:B,MATCH("1_Operational",Operational_RawData!$A:$A,0)+ROWS($2:90)-1))</f>
        <v>145126.92600000001</v>
      </c>
      <c r="C90">
        <f>IF(ROWS($2:90)&gt;COUNTIF(Operational_RawData!$A:$A,"1_Operational"),"",INDEX(Operational_RawData!C:C,MATCH("1_Operational",Operational_RawData!$A:$A,0)+ROWS($2:90)-1))</f>
        <v>65.760000000000005</v>
      </c>
      <c r="D90">
        <f>IF(ROWS($2:90)&gt;COUNTIF(Operational_RawData!$A:$A,"1_Operational"),"",INDEX(Operational_RawData!D:D,MATCH("1_Operational",Operational_RawData!$A:$A,0)+ROWS($2:90)-1))</f>
        <v>1313.796</v>
      </c>
      <c r="E90">
        <f>IF(ROWS($2:90)&gt;COUNTIF(Operational_RawData!$A:$A,"1_Operational"),"",INDEX(Operational_RawData!E:E,MATCH("1_Operational",Operational_RawData!$A:$A,0)+ROWS($2:90)-1))</f>
        <v>0.43</v>
      </c>
      <c r="F90">
        <f>IF(ROWS($2:90)&gt;COUNTIF(Operational_RawData!$A:$A,"1_Operational"),"",INDEX(Operational_RawData!F:F,MATCH("1_Operational",Operational_RawData!$A:$A,0)+ROWS($2:90)-1))</f>
        <v>395.04</v>
      </c>
      <c r="G90">
        <f>IF(ROWS($2:90)&gt;COUNTIF(Operational_RawData!$A:$A,"1_Operational"),"",INDEX(Operational_RawData!G:G,MATCH("1_Operational",Operational_RawData!$A:$A,0)+ROWS($2:90)-1))</f>
        <v>395.04</v>
      </c>
      <c r="H90">
        <f>IF(ROWS($2:90)&gt;COUNTIF(Operational_RawData!$A:$A,"1_Operational"),"",INDEX(Operational_RawData!H:H,MATCH("1_Operational",Operational_RawData!$A:$A,0)+ROWS($2:90)-1))</f>
        <v>395.04</v>
      </c>
      <c r="I90">
        <f>IF(ROWS($2:90)&gt;COUNTIF(Operational_RawData!$A:$A,"1_Operational"),"",INDEX(Operational_RawData!I:I,MATCH("1_Operational",Operational_RawData!$A:$A,0)+ROWS($2:90)-1))</f>
        <v>395.04</v>
      </c>
      <c r="J90">
        <f>IF(ROWS($2:90)&gt;COUNTIF(Operational_RawData!$A:$A,"1_Operational"),"",INDEX(Operational_RawData!J:J,MATCH("1_Operational",Operational_RawData!$A:$A,0)+ROWS($2:90)-1))</f>
        <v>399</v>
      </c>
      <c r="K90">
        <f>IF(ROWS($2:90)&gt;COUNTIF(Operational_RawData!$A:$A,"1_Operational"),"",INDEX(Operational_RawData!K:K,MATCH("1_Operational",Operational_RawData!$A:$A,0)+ROWS($2:90)-1))</f>
        <v>399</v>
      </c>
      <c r="L90">
        <f>IF(ROWS($2:90)&gt;COUNTIF(Operational_RawData!$A:$A,"1_Operational"),"",INDEX(Operational_RawData!L:L,MATCH("1_Operational",Operational_RawData!$A:$A,0)+ROWS($2:90)-1))</f>
        <v>399</v>
      </c>
      <c r="M90">
        <f>IF(ROWS($2:90)&gt;COUNTIF(Operational_RawData!$A:$A,"1_Operational"),"",INDEX(Operational_RawData!M:M,MATCH("1_Operational",Operational_RawData!$A:$A,0)+ROWS($2:90)-1))</f>
        <v>399</v>
      </c>
      <c r="N90">
        <f>IF(ROWS($2:90)&gt;COUNTIF(Operational_RawData!$A:$A,"1_Operational"),"",INDEX(Operational_RawData!N:N,MATCH("1_Operational",Operational_RawData!$A:$A,0)+ROWS($2:90)-1))</f>
        <v>0.17</v>
      </c>
      <c r="O90">
        <f>IF(ROWS($2:90)&gt;COUNTIF(Operational_RawData!$A:$A,"1_Operational"),"",INDEX(Operational_RawData!O:O,MATCH("1_Operational",Operational_RawData!$A:$A,0)+ROWS($2:90)-1))</f>
        <v>0.19</v>
      </c>
      <c r="P90">
        <f>IF(ROWS($2:90)&gt;COUNTIF(Operational_RawData!$A:$A,"1_Operational"),"",INDEX(Operational_RawData!P:P,MATCH("1_Operational",Operational_RawData!$A:$A,0)+ROWS($2:90)-1))</f>
        <v>0.06</v>
      </c>
      <c r="Q90">
        <f>IF(ROWS($2:90)&gt;COUNTIF(Operational_RawData!$A:$A,"1_Operational"),"",INDEX(Operational_RawData!Q:Q,MATCH("1_Operational",Operational_RawData!$A:$A,0)+ROWS($2:90)-1))</f>
        <v>0.1</v>
      </c>
      <c r="R90" t="str">
        <f>IF(ROWS($2:90)&gt;COUNTIF(Operational_RawData!$A:$A,"1_Operational"),"",INDEX(Operational_RawData!R:R,MATCH("1_Operational",Operational_RawData!$A:$A,0)+ROWS($2:90)-1))</f>
        <v>Pass</v>
      </c>
      <c r="S90">
        <f>IF(ROWS($2:90)&gt;COUNTIF(Operational_RawData!$A:$A,"1_Operational"),"",INDEX(Operational_RawData!S:S,MATCH("1_Operational",Operational_RawData!$A:$A,0)+ROWS($2:90)-1))</f>
        <v>0</v>
      </c>
      <c r="T90">
        <f>IF(ROWS($2:90)&gt;COUNTIF(Operational_RawData!$A:$A,"1_Operational"),"",INDEX(Operational_RawData!T:T,MATCH("1_Operational",Operational_RawData!$A:$A,0)+ROWS($2:90)-1))</f>
        <v>0</v>
      </c>
    </row>
    <row r="91" spans="1:20">
      <c r="A91" t="str">
        <f>IF(ROWS($2:91)&gt;COUNTIF(Operational_RawData!$A:$A,"1_Operational"),"",INDEX(Operational_RawData!A:A,MATCH("1_Operational",Operational_RawData!$A:$A,0)+ROWS($2:91)-1))</f>
        <v>1_Operational</v>
      </c>
      <c r="B91">
        <f>IF(ROWS($2:91)&gt;COUNTIF(Operational_RawData!$A:$A,"1_Operational"),"",INDEX(Operational_RawData!B:B,MATCH("1_Operational",Operational_RawData!$A:$A,0)+ROWS($2:91)-1))</f>
        <v>145131.93</v>
      </c>
      <c r="C91">
        <f>IF(ROWS($2:91)&gt;COUNTIF(Operational_RawData!$A:$A,"1_Operational"),"",INDEX(Operational_RawData!C:C,MATCH("1_Operational",Operational_RawData!$A:$A,0)+ROWS($2:91)-1))</f>
        <v>66.5</v>
      </c>
      <c r="D91">
        <f>IF(ROWS($2:91)&gt;COUNTIF(Operational_RawData!$A:$A,"1_Operational"),"",INDEX(Operational_RawData!D:D,MATCH("1_Operational",Operational_RawData!$A:$A,0)+ROWS($2:91)-1))</f>
        <v>1313.931</v>
      </c>
      <c r="E91">
        <f>IF(ROWS($2:91)&gt;COUNTIF(Operational_RawData!$A:$A,"1_Operational"),"",INDEX(Operational_RawData!E:E,MATCH("1_Operational",Operational_RawData!$A:$A,0)+ROWS($2:91)-1))</f>
        <v>0.33</v>
      </c>
      <c r="F91">
        <f>IF(ROWS($2:91)&gt;COUNTIF(Operational_RawData!$A:$A,"1_Operational"),"",INDEX(Operational_RawData!F:F,MATCH("1_Operational",Operational_RawData!$A:$A,0)+ROWS($2:91)-1))</f>
        <v>399</v>
      </c>
      <c r="G91">
        <f>IF(ROWS($2:91)&gt;COUNTIF(Operational_RawData!$A:$A,"1_Operational"),"",INDEX(Operational_RawData!G:G,MATCH("1_Operational",Operational_RawData!$A:$A,0)+ROWS($2:91)-1))</f>
        <v>399</v>
      </c>
      <c r="H91">
        <f>IF(ROWS($2:91)&gt;COUNTIF(Operational_RawData!$A:$A,"1_Operational"),"",INDEX(Operational_RawData!H:H,MATCH("1_Operational",Operational_RawData!$A:$A,0)+ROWS($2:91)-1))</f>
        <v>399</v>
      </c>
      <c r="I91">
        <f>IF(ROWS($2:91)&gt;COUNTIF(Operational_RawData!$A:$A,"1_Operational"),"",INDEX(Operational_RawData!I:I,MATCH("1_Operational",Operational_RawData!$A:$A,0)+ROWS($2:91)-1))</f>
        <v>399</v>
      </c>
      <c r="J91">
        <f>IF(ROWS($2:91)&gt;COUNTIF(Operational_RawData!$A:$A,"1_Operational"),"",INDEX(Operational_RawData!J:J,MATCH("1_Operational",Operational_RawData!$A:$A,0)+ROWS($2:91)-1))</f>
        <v>399</v>
      </c>
      <c r="K91">
        <f>IF(ROWS($2:91)&gt;COUNTIF(Operational_RawData!$A:$A,"1_Operational"),"",INDEX(Operational_RawData!K:K,MATCH("1_Operational",Operational_RawData!$A:$A,0)+ROWS($2:91)-1))</f>
        <v>399</v>
      </c>
      <c r="L91">
        <f>IF(ROWS($2:91)&gt;COUNTIF(Operational_RawData!$A:$A,"1_Operational"),"",INDEX(Operational_RawData!L:L,MATCH("1_Operational",Operational_RawData!$A:$A,0)+ROWS($2:91)-1))</f>
        <v>399</v>
      </c>
      <c r="M91">
        <f>IF(ROWS($2:91)&gt;COUNTIF(Operational_RawData!$A:$A,"1_Operational"),"",INDEX(Operational_RawData!M:M,MATCH("1_Operational",Operational_RawData!$A:$A,0)+ROWS($2:91)-1))</f>
        <v>399</v>
      </c>
      <c r="N91">
        <f>IF(ROWS($2:91)&gt;COUNTIF(Operational_RawData!$A:$A,"1_Operational"),"",INDEX(Operational_RawData!N:N,MATCH("1_Operational",Operational_RawData!$A:$A,0)+ROWS($2:91)-1))</f>
        <v>0.18</v>
      </c>
      <c r="O91">
        <f>IF(ROWS($2:91)&gt;COUNTIF(Operational_RawData!$A:$A,"1_Operational"),"",INDEX(Operational_RawData!O:O,MATCH("1_Operational",Operational_RawData!$A:$A,0)+ROWS($2:91)-1))</f>
        <v>0.19</v>
      </c>
      <c r="P91">
        <f>IF(ROWS($2:91)&gt;COUNTIF(Operational_RawData!$A:$A,"1_Operational"),"",INDEX(Operational_RawData!P:P,MATCH("1_Operational",Operational_RawData!$A:$A,0)+ROWS($2:91)-1))</f>
        <v>0.06</v>
      </c>
      <c r="Q91">
        <f>IF(ROWS($2:91)&gt;COUNTIF(Operational_RawData!$A:$A,"1_Operational"),"",INDEX(Operational_RawData!Q:Q,MATCH("1_Operational",Operational_RawData!$A:$A,0)+ROWS($2:91)-1))</f>
        <v>0.1</v>
      </c>
      <c r="R91" t="str">
        <f>IF(ROWS($2:91)&gt;COUNTIF(Operational_RawData!$A:$A,"1_Operational"),"",INDEX(Operational_RawData!R:R,MATCH("1_Operational",Operational_RawData!$A:$A,0)+ROWS($2:91)-1))</f>
        <v>Pass</v>
      </c>
      <c r="S91">
        <f>IF(ROWS($2:91)&gt;COUNTIF(Operational_RawData!$A:$A,"1_Operational"),"",INDEX(Operational_RawData!S:S,MATCH("1_Operational",Operational_RawData!$A:$A,0)+ROWS($2:91)-1))</f>
        <v>0</v>
      </c>
      <c r="T91">
        <f>IF(ROWS($2:91)&gt;COUNTIF(Operational_RawData!$A:$A,"1_Operational"),"",INDEX(Operational_RawData!T:T,MATCH("1_Operational",Operational_RawData!$A:$A,0)+ROWS($2:91)-1))</f>
        <v>0</v>
      </c>
    </row>
    <row r="92" spans="1:20">
      <c r="A92" t="str">
        <f>IF(ROWS($2:92)&gt;COUNTIF(Operational_RawData!$A:$A,"1_Operational"),"",INDEX(Operational_RawData!A:A,MATCH("1_Operational",Operational_RawData!$A:$A,0)+ROWS($2:92)-1))</f>
        <v>1_Operational</v>
      </c>
      <c r="B92">
        <f>IF(ROWS($2:92)&gt;COUNTIF(Operational_RawData!$A:$A,"1_Operational"),"",INDEX(Operational_RawData!B:B,MATCH("1_Operational",Operational_RawData!$A:$A,0)+ROWS($2:92)-1))</f>
        <v>145136.929</v>
      </c>
      <c r="C92">
        <f>IF(ROWS($2:92)&gt;COUNTIF(Operational_RawData!$A:$A,"1_Operational"),"",INDEX(Operational_RawData!C:C,MATCH("1_Operational",Operational_RawData!$A:$A,0)+ROWS($2:92)-1))</f>
        <v>67.23</v>
      </c>
      <c r="D92">
        <f>IF(ROWS($2:92)&gt;COUNTIF(Operational_RawData!$A:$A,"1_Operational"),"",INDEX(Operational_RawData!D:D,MATCH("1_Operational",Operational_RawData!$A:$A,0)+ROWS($2:92)-1))</f>
        <v>1314.069</v>
      </c>
      <c r="E92">
        <f>IF(ROWS($2:92)&gt;COUNTIF(Operational_RawData!$A:$A,"1_Operational"),"",INDEX(Operational_RawData!E:E,MATCH("1_Operational",Operational_RawData!$A:$A,0)+ROWS($2:92)-1))</f>
        <v>0.14000000000000001</v>
      </c>
      <c r="F92">
        <f>IF(ROWS($2:92)&gt;COUNTIF(Operational_RawData!$A:$A,"1_Operational"),"",INDEX(Operational_RawData!F:F,MATCH("1_Operational",Operational_RawData!$A:$A,0)+ROWS($2:92)-1))</f>
        <v>399</v>
      </c>
      <c r="G92">
        <f>IF(ROWS($2:92)&gt;COUNTIF(Operational_RawData!$A:$A,"1_Operational"),"",INDEX(Operational_RawData!G:G,MATCH("1_Operational",Operational_RawData!$A:$A,0)+ROWS($2:92)-1))</f>
        <v>399</v>
      </c>
      <c r="H92">
        <f>IF(ROWS($2:92)&gt;COUNTIF(Operational_RawData!$A:$A,"1_Operational"),"",INDEX(Operational_RawData!H:H,MATCH("1_Operational",Operational_RawData!$A:$A,0)+ROWS($2:92)-1))</f>
        <v>399</v>
      </c>
      <c r="I92">
        <f>IF(ROWS($2:92)&gt;COUNTIF(Operational_RawData!$A:$A,"1_Operational"),"",INDEX(Operational_RawData!I:I,MATCH("1_Operational",Operational_RawData!$A:$A,0)+ROWS($2:92)-1))</f>
        <v>399</v>
      </c>
      <c r="J92">
        <f>IF(ROWS($2:92)&gt;COUNTIF(Operational_RawData!$A:$A,"1_Operational"),"",INDEX(Operational_RawData!J:J,MATCH("1_Operational",Operational_RawData!$A:$A,0)+ROWS($2:92)-1))</f>
        <v>399</v>
      </c>
      <c r="K92">
        <f>IF(ROWS($2:92)&gt;COUNTIF(Operational_RawData!$A:$A,"1_Operational"),"",INDEX(Operational_RawData!K:K,MATCH("1_Operational",Operational_RawData!$A:$A,0)+ROWS($2:92)-1))</f>
        <v>399</v>
      </c>
      <c r="L92">
        <f>IF(ROWS($2:92)&gt;COUNTIF(Operational_RawData!$A:$A,"1_Operational"),"",INDEX(Operational_RawData!L:L,MATCH("1_Operational",Operational_RawData!$A:$A,0)+ROWS($2:92)-1))</f>
        <v>399</v>
      </c>
      <c r="M92">
        <f>IF(ROWS($2:92)&gt;COUNTIF(Operational_RawData!$A:$A,"1_Operational"),"",INDEX(Operational_RawData!M:M,MATCH("1_Operational",Operational_RawData!$A:$A,0)+ROWS($2:92)-1))</f>
        <v>399</v>
      </c>
      <c r="N92">
        <f>IF(ROWS($2:92)&gt;COUNTIF(Operational_RawData!$A:$A,"1_Operational"),"",INDEX(Operational_RawData!N:N,MATCH("1_Operational",Operational_RawData!$A:$A,0)+ROWS($2:92)-1))</f>
        <v>0.19</v>
      </c>
      <c r="O92">
        <f>IF(ROWS($2:92)&gt;COUNTIF(Operational_RawData!$A:$A,"1_Operational"),"",INDEX(Operational_RawData!O:O,MATCH("1_Operational",Operational_RawData!$A:$A,0)+ROWS($2:92)-1))</f>
        <v>0.19</v>
      </c>
      <c r="P92">
        <f>IF(ROWS($2:92)&gt;COUNTIF(Operational_RawData!$A:$A,"1_Operational"),"",INDEX(Operational_RawData!P:P,MATCH("1_Operational",Operational_RawData!$A:$A,0)+ROWS($2:92)-1))</f>
        <v>0.06</v>
      </c>
      <c r="Q92">
        <f>IF(ROWS($2:92)&gt;COUNTIF(Operational_RawData!$A:$A,"1_Operational"),"",INDEX(Operational_RawData!Q:Q,MATCH("1_Operational",Operational_RawData!$A:$A,0)+ROWS($2:92)-1))</f>
        <v>0.1</v>
      </c>
      <c r="R92" t="str">
        <f>IF(ROWS($2:92)&gt;COUNTIF(Operational_RawData!$A:$A,"1_Operational"),"",INDEX(Operational_RawData!R:R,MATCH("1_Operational",Operational_RawData!$A:$A,0)+ROWS($2:92)-1))</f>
        <v>Pass</v>
      </c>
      <c r="S92">
        <f>IF(ROWS($2:92)&gt;COUNTIF(Operational_RawData!$A:$A,"1_Operational"),"",INDEX(Operational_RawData!S:S,MATCH("1_Operational",Operational_RawData!$A:$A,0)+ROWS($2:92)-1))</f>
        <v>0</v>
      </c>
      <c r="T92">
        <f>IF(ROWS($2:92)&gt;COUNTIF(Operational_RawData!$A:$A,"1_Operational"),"",INDEX(Operational_RawData!T:T,MATCH("1_Operational",Operational_RawData!$A:$A,0)+ROWS($2:92)-1))</f>
        <v>0</v>
      </c>
    </row>
    <row r="93" spans="1:20">
      <c r="A93" t="str">
        <f>IF(ROWS($2:93)&gt;COUNTIF(Operational_RawData!$A:$A,"1_Operational"),"",INDEX(Operational_RawData!A:A,MATCH("1_Operational",Operational_RawData!$A:$A,0)+ROWS($2:93)-1))</f>
        <v>1_Operational</v>
      </c>
      <c r="B93">
        <f>IF(ROWS($2:93)&gt;COUNTIF(Operational_RawData!$A:$A,"1_Operational"),"",INDEX(Operational_RawData!B:B,MATCH("1_Operational",Operational_RawData!$A:$A,0)+ROWS($2:93)-1))</f>
        <v>145141.93400000001</v>
      </c>
      <c r="C93">
        <f>IF(ROWS($2:93)&gt;COUNTIF(Operational_RawData!$A:$A,"1_Operational"),"",INDEX(Operational_RawData!C:C,MATCH("1_Operational",Operational_RawData!$A:$A,0)+ROWS($2:93)-1))</f>
        <v>67.959999999999994</v>
      </c>
      <c r="D93">
        <f>IF(ROWS($2:93)&gt;COUNTIF(Operational_RawData!$A:$A,"1_Operational"),"",INDEX(Operational_RawData!D:D,MATCH("1_Operational",Operational_RawData!$A:$A,0)+ROWS($2:93)-1))</f>
        <v>1314.146</v>
      </c>
      <c r="E93">
        <f>IF(ROWS($2:93)&gt;COUNTIF(Operational_RawData!$A:$A,"1_Operational"),"",INDEX(Operational_RawData!E:E,MATCH("1_Operational",Operational_RawData!$A:$A,0)+ROWS($2:93)-1))</f>
        <v>0.04</v>
      </c>
      <c r="F93">
        <f>IF(ROWS($2:93)&gt;COUNTIF(Operational_RawData!$A:$A,"1_Operational"),"",INDEX(Operational_RawData!F:F,MATCH("1_Operational",Operational_RawData!$A:$A,0)+ROWS($2:93)-1))</f>
        <v>399</v>
      </c>
      <c r="G93">
        <f>IF(ROWS($2:93)&gt;COUNTIF(Operational_RawData!$A:$A,"1_Operational"),"",INDEX(Operational_RawData!G:G,MATCH("1_Operational",Operational_RawData!$A:$A,0)+ROWS($2:93)-1))</f>
        <v>399</v>
      </c>
      <c r="H93">
        <f>IF(ROWS($2:93)&gt;COUNTIF(Operational_RawData!$A:$A,"1_Operational"),"",INDEX(Operational_RawData!H:H,MATCH("1_Operational",Operational_RawData!$A:$A,0)+ROWS($2:93)-1))</f>
        <v>399</v>
      </c>
      <c r="I93">
        <f>IF(ROWS($2:93)&gt;COUNTIF(Operational_RawData!$A:$A,"1_Operational"),"",INDEX(Operational_RawData!I:I,MATCH("1_Operational",Operational_RawData!$A:$A,0)+ROWS($2:93)-1))</f>
        <v>399</v>
      </c>
      <c r="J93">
        <f>IF(ROWS($2:93)&gt;COUNTIF(Operational_RawData!$A:$A,"1_Operational"),"",INDEX(Operational_RawData!J:J,MATCH("1_Operational",Operational_RawData!$A:$A,0)+ROWS($2:93)-1))</f>
        <v>399</v>
      </c>
      <c r="K93">
        <f>IF(ROWS($2:93)&gt;COUNTIF(Operational_RawData!$A:$A,"1_Operational"),"",INDEX(Operational_RawData!K:K,MATCH("1_Operational",Operational_RawData!$A:$A,0)+ROWS($2:93)-1))</f>
        <v>399</v>
      </c>
      <c r="L93">
        <f>IF(ROWS($2:93)&gt;COUNTIF(Operational_RawData!$A:$A,"1_Operational"),"",INDEX(Operational_RawData!L:L,MATCH("1_Operational",Operational_RawData!$A:$A,0)+ROWS($2:93)-1))</f>
        <v>399</v>
      </c>
      <c r="M93">
        <f>IF(ROWS($2:93)&gt;COUNTIF(Operational_RawData!$A:$A,"1_Operational"),"",INDEX(Operational_RawData!M:M,MATCH("1_Operational",Operational_RawData!$A:$A,0)+ROWS($2:93)-1))</f>
        <v>399</v>
      </c>
      <c r="N93">
        <f>IF(ROWS($2:93)&gt;COUNTIF(Operational_RawData!$A:$A,"1_Operational"),"",INDEX(Operational_RawData!N:N,MATCH("1_Operational",Operational_RawData!$A:$A,0)+ROWS($2:93)-1))</f>
        <v>0.11</v>
      </c>
      <c r="O93">
        <f>IF(ROWS($2:93)&gt;COUNTIF(Operational_RawData!$A:$A,"1_Operational"),"",INDEX(Operational_RawData!O:O,MATCH("1_Operational",Operational_RawData!$A:$A,0)+ROWS($2:93)-1))</f>
        <v>0.19</v>
      </c>
      <c r="P93">
        <f>IF(ROWS($2:93)&gt;COUNTIF(Operational_RawData!$A:$A,"1_Operational"),"",INDEX(Operational_RawData!P:P,MATCH("1_Operational",Operational_RawData!$A:$A,0)+ROWS($2:93)-1))</f>
        <v>0.06</v>
      </c>
      <c r="Q93">
        <f>IF(ROWS($2:93)&gt;COUNTIF(Operational_RawData!$A:$A,"1_Operational"),"",INDEX(Operational_RawData!Q:Q,MATCH("1_Operational",Operational_RawData!$A:$A,0)+ROWS($2:93)-1))</f>
        <v>0.1</v>
      </c>
      <c r="R93" t="str">
        <f>IF(ROWS($2:93)&gt;COUNTIF(Operational_RawData!$A:$A,"1_Operational"),"",INDEX(Operational_RawData!R:R,MATCH("1_Operational",Operational_RawData!$A:$A,0)+ROWS($2:93)-1))</f>
        <v>Pass</v>
      </c>
      <c r="S93">
        <f>IF(ROWS($2:93)&gt;COUNTIF(Operational_RawData!$A:$A,"1_Operational"),"",INDEX(Operational_RawData!S:S,MATCH("1_Operational",Operational_RawData!$A:$A,0)+ROWS($2:93)-1))</f>
        <v>0</v>
      </c>
      <c r="T93">
        <f>IF(ROWS($2:93)&gt;COUNTIF(Operational_RawData!$A:$A,"1_Operational"),"",INDEX(Operational_RawData!T:T,MATCH("1_Operational",Operational_RawData!$A:$A,0)+ROWS($2:93)-1))</f>
        <v>0</v>
      </c>
    </row>
    <row r="94" spans="1:20">
      <c r="A94" t="str">
        <f>IF(ROWS($2:94)&gt;COUNTIF(Operational_RawData!$A:$A,"1_Operational"),"",INDEX(Operational_RawData!A:A,MATCH("1_Operational",Operational_RawData!$A:$A,0)+ROWS($2:94)-1))</f>
        <v>1_Operational</v>
      </c>
      <c r="B94">
        <f>IF(ROWS($2:94)&gt;COUNTIF(Operational_RawData!$A:$A,"1_Operational"),"",INDEX(Operational_RawData!B:B,MATCH("1_Operational",Operational_RawData!$A:$A,0)+ROWS($2:94)-1))</f>
        <v>145146.93299999999</v>
      </c>
      <c r="C94">
        <f>IF(ROWS($2:94)&gt;COUNTIF(Operational_RawData!$A:$A,"1_Operational"),"",INDEX(Operational_RawData!C:C,MATCH("1_Operational",Operational_RawData!$A:$A,0)+ROWS($2:94)-1))</f>
        <v>68.66</v>
      </c>
      <c r="D94">
        <f>IF(ROWS($2:94)&gt;COUNTIF(Operational_RawData!$A:$A,"1_Operational"),"",INDEX(Operational_RawData!D:D,MATCH("1_Operational",Operational_RawData!$A:$A,0)+ROWS($2:94)-1))</f>
        <v>1314.213</v>
      </c>
      <c r="E94">
        <f>IF(ROWS($2:94)&gt;COUNTIF(Operational_RawData!$A:$A,"1_Operational"),"",INDEX(Operational_RawData!E:E,MATCH("1_Operational",Operational_RawData!$A:$A,0)+ROWS($2:94)-1))</f>
        <v>-0.12</v>
      </c>
      <c r="F94">
        <f>IF(ROWS($2:94)&gt;COUNTIF(Operational_RawData!$A:$A,"1_Operational"),"",INDEX(Operational_RawData!F:F,MATCH("1_Operational",Operational_RawData!$A:$A,0)+ROWS($2:94)-1))</f>
        <v>399</v>
      </c>
      <c r="G94">
        <f>IF(ROWS($2:94)&gt;COUNTIF(Operational_RawData!$A:$A,"1_Operational"),"",INDEX(Operational_RawData!G:G,MATCH("1_Operational",Operational_RawData!$A:$A,0)+ROWS($2:94)-1))</f>
        <v>399</v>
      </c>
      <c r="H94">
        <f>IF(ROWS($2:94)&gt;COUNTIF(Operational_RawData!$A:$A,"1_Operational"),"",INDEX(Operational_RawData!H:H,MATCH("1_Operational",Operational_RawData!$A:$A,0)+ROWS($2:94)-1))</f>
        <v>399</v>
      </c>
      <c r="I94">
        <f>IF(ROWS($2:94)&gt;COUNTIF(Operational_RawData!$A:$A,"1_Operational"),"",INDEX(Operational_RawData!I:I,MATCH("1_Operational",Operational_RawData!$A:$A,0)+ROWS($2:94)-1))</f>
        <v>399</v>
      </c>
      <c r="J94">
        <f>IF(ROWS($2:94)&gt;COUNTIF(Operational_RawData!$A:$A,"1_Operational"),"",INDEX(Operational_RawData!J:J,MATCH("1_Operational",Operational_RawData!$A:$A,0)+ROWS($2:94)-1))</f>
        <v>399</v>
      </c>
      <c r="K94">
        <f>IF(ROWS($2:94)&gt;COUNTIF(Operational_RawData!$A:$A,"1_Operational"),"",INDEX(Operational_RawData!K:K,MATCH("1_Operational",Operational_RawData!$A:$A,0)+ROWS($2:94)-1))</f>
        <v>399</v>
      </c>
      <c r="L94">
        <f>IF(ROWS($2:94)&gt;COUNTIF(Operational_RawData!$A:$A,"1_Operational"),"",INDEX(Operational_RawData!L:L,MATCH("1_Operational",Operational_RawData!$A:$A,0)+ROWS($2:94)-1))</f>
        <v>399</v>
      </c>
      <c r="M94">
        <f>IF(ROWS($2:94)&gt;COUNTIF(Operational_RawData!$A:$A,"1_Operational"),"",INDEX(Operational_RawData!M:M,MATCH("1_Operational",Operational_RawData!$A:$A,0)+ROWS($2:94)-1))</f>
        <v>399</v>
      </c>
      <c r="N94">
        <f>IF(ROWS($2:94)&gt;COUNTIF(Operational_RawData!$A:$A,"1_Operational"),"",INDEX(Operational_RawData!N:N,MATCH("1_Operational",Operational_RawData!$A:$A,0)+ROWS($2:94)-1))</f>
        <v>0.1</v>
      </c>
      <c r="O94">
        <f>IF(ROWS($2:94)&gt;COUNTIF(Operational_RawData!$A:$A,"1_Operational"),"",INDEX(Operational_RawData!O:O,MATCH("1_Operational",Operational_RawData!$A:$A,0)+ROWS($2:94)-1))</f>
        <v>0.19</v>
      </c>
      <c r="P94">
        <f>IF(ROWS($2:94)&gt;COUNTIF(Operational_RawData!$A:$A,"1_Operational"),"",INDEX(Operational_RawData!P:P,MATCH("1_Operational",Operational_RawData!$A:$A,0)+ROWS($2:94)-1))</f>
        <v>0.06</v>
      </c>
      <c r="Q94">
        <f>IF(ROWS($2:94)&gt;COUNTIF(Operational_RawData!$A:$A,"1_Operational"),"",INDEX(Operational_RawData!Q:Q,MATCH("1_Operational",Operational_RawData!$A:$A,0)+ROWS($2:94)-1))</f>
        <v>0.1</v>
      </c>
      <c r="R94" t="str">
        <f>IF(ROWS($2:94)&gt;COUNTIF(Operational_RawData!$A:$A,"1_Operational"),"",INDEX(Operational_RawData!R:R,MATCH("1_Operational",Operational_RawData!$A:$A,0)+ROWS($2:94)-1))</f>
        <v>Pass</v>
      </c>
      <c r="S94">
        <f>IF(ROWS($2:94)&gt;COUNTIF(Operational_RawData!$A:$A,"1_Operational"),"",INDEX(Operational_RawData!S:S,MATCH("1_Operational",Operational_RawData!$A:$A,0)+ROWS($2:94)-1))</f>
        <v>0</v>
      </c>
      <c r="T94">
        <f>IF(ROWS($2:94)&gt;COUNTIF(Operational_RawData!$A:$A,"1_Operational"),"",INDEX(Operational_RawData!T:T,MATCH("1_Operational",Operational_RawData!$A:$A,0)+ROWS($2:94)-1))</f>
        <v>0</v>
      </c>
    </row>
    <row r="95" spans="1:20">
      <c r="A95" t="str">
        <f>IF(ROWS($2:95)&gt;COUNTIF(Operational_RawData!$A:$A,"1_Operational"),"",INDEX(Operational_RawData!A:A,MATCH("1_Operational",Operational_RawData!$A:$A,0)+ROWS($2:95)-1))</f>
        <v>1_Operational</v>
      </c>
      <c r="B95">
        <f>IF(ROWS($2:95)&gt;COUNTIF(Operational_RawData!$A:$A,"1_Operational"),"",INDEX(Operational_RawData!B:B,MATCH("1_Operational",Operational_RawData!$A:$A,0)+ROWS($2:95)-1))</f>
        <v>145151.932</v>
      </c>
      <c r="C95">
        <f>IF(ROWS($2:95)&gt;COUNTIF(Operational_RawData!$A:$A,"1_Operational"),"",INDEX(Operational_RawData!C:C,MATCH("1_Operational",Operational_RawData!$A:$A,0)+ROWS($2:95)-1))</f>
        <v>69.34</v>
      </c>
      <c r="D95">
        <f>IF(ROWS($2:95)&gt;COUNTIF(Operational_RawData!$A:$A,"1_Operational"),"",INDEX(Operational_RawData!D:D,MATCH("1_Operational",Operational_RawData!$A:$A,0)+ROWS($2:95)-1))</f>
        <v>1314.287</v>
      </c>
      <c r="E95">
        <f>IF(ROWS($2:95)&gt;COUNTIF(Operational_RawData!$A:$A,"1_Operational"),"",INDEX(Operational_RawData!E:E,MATCH("1_Operational",Operational_RawData!$A:$A,0)+ROWS($2:95)-1))</f>
        <v>-0.36</v>
      </c>
      <c r="F95">
        <f>IF(ROWS($2:95)&gt;COUNTIF(Operational_RawData!$A:$A,"1_Operational"),"",INDEX(Operational_RawData!F:F,MATCH("1_Operational",Operational_RawData!$A:$A,0)+ROWS($2:95)-1))</f>
        <v>399</v>
      </c>
      <c r="G95">
        <f>IF(ROWS($2:95)&gt;COUNTIF(Operational_RawData!$A:$A,"1_Operational"),"",INDEX(Operational_RawData!G:G,MATCH("1_Operational",Operational_RawData!$A:$A,0)+ROWS($2:95)-1))</f>
        <v>399</v>
      </c>
      <c r="H95">
        <f>IF(ROWS($2:95)&gt;COUNTIF(Operational_RawData!$A:$A,"1_Operational"),"",INDEX(Operational_RawData!H:H,MATCH("1_Operational",Operational_RawData!$A:$A,0)+ROWS($2:95)-1))</f>
        <v>399</v>
      </c>
      <c r="I95">
        <f>IF(ROWS($2:95)&gt;COUNTIF(Operational_RawData!$A:$A,"1_Operational"),"",INDEX(Operational_RawData!I:I,MATCH("1_Operational",Operational_RawData!$A:$A,0)+ROWS($2:95)-1))</f>
        <v>399</v>
      </c>
      <c r="J95">
        <f>IF(ROWS($2:95)&gt;COUNTIF(Operational_RawData!$A:$A,"1_Operational"),"",INDEX(Operational_RawData!J:J,MATCH("1_Operational",Operational_RawData!$A:$A,0)+ROWS($2:95)-1))</f>
        <v>399</v>
      </c>
      <c r="K95">
        <f>IF(ROWS($2:95)&gt;COUNTIF(Operational_RawData!$A:$A,"1_Operational"),"",INDEX(Operational_RawData!K:K,MATCH("1_Operational",Operational_RawData!$A:$A,0)+ROWS($2:95)-1))</f>
        <v>399</v>
      </c>
      <c r="L95">
        <f>IF(ROWS($2:95)&gt;COUNTIF(Operational_RawData!$A:$A,"1_Operational"),"",INDEX(Operational_RawData!L:L,MATCH("1_Operational",Operational_RawData!$A:$A,0)+ROWS($2:95)-1))</f>
        <v>399</v>
      </c>
      <c r="M95">
        <f>IF(ROWS($2:95)&gt;COUNTIF(Operational_RawData!$A:$A,"1_Operational"),"",INDEX(Operational_RawData!M:M,MATCH("1_Operational",Operational_RawData!$A:$A,0)+ROWS($2:95)-1))</f>
        <v>399</v>
      </c>
      <c r="N95">
        <f>IF(ROWS($2:95)&gt;COUNTIF(Operational_RawData!$A:$A,"1_Operational"),"",INDEX(Operational_RawData!N:N,MATCH("1_Operational",Operational_RawData!$A:$A,0)+ROWS($2:95)-1))</f>
        <v>0.11</v>
      </c>
      <c r="O95">
        <f>IF(ROWS($2:95)&gt;COUNTIF(Operational_RawData!$A:$A,"1_Operational"),"",INDEX(Operational_RawData!O:O,MATCH("1_Operational",Operational_RawData!$A:$A,0)+ROWS($2:95)-1))</f>
        <v>0.19</v>
      </c>
      <c r="P95">
        <f>IF(ROWS($2:95)&gt;COUNTIF(Operational_RawData!$A:$A,"1_Operational"),"",INDEX(Operational_RawData!P:P,MATCH("1_Operational",Operational_RawData!$A:$A,0)+ROWS($2:95)-1))</f>
        <v>0.06</v>
      </c>
      <c r="Q95">
        <f>IF(ROWS($2:95)&gt;COUNTIF(Operational_RawData!$A:$A,"1_Operational"),"",INDEX(Operational_RawData!Q:Q,MATCH("1_Operational",Operational_RawData!$A:$A,0)+ROWS($2:95)-1))</f>
        <v>0.1</v>
      </c>
      <c r="R95" t="str">
        <f>IF(ROWS($2:95)&gt;COUNTIF(Operational_RawData!$A:$A,"1_Operational"),"",INDEX(Operational_RawData!R:R,MATCH("1_Operational",Operational_RawData!$A:$A,0)+ROWS($2:95)-1))</f>
        <v>Pass</v>
      </c>
      <c r="S95">
        <f>IF(ROWS($2:95)&gt;COUNTIF(Operational_RawData!$A:$A,"1_Operational"),"",INDEX(Operational_RawData!S:S,MATCH("1_Operational",Operational_RawData!$A:$A,0)+ROWS($2:95)-1))</f>
        <v>0</v>
      </c>
      <c r="T95">
        <f>IF(ROWS($2:95)&gt;COUNTIF(Operational_RawData!$A:$A,"1_Operational"),"",INDEX(Operational_RawData!T:T,MATCH("1_Operational",Operational_RawData!$A:$A,0)+ROWS($2:95)-1))</f>
        <v>0</v>
      </c>
    </row>
    <row r="96" spans="1:20">
      <c r="A96" t="str">
        <f>IF(ROWS($2:96)&gt;COUNTIF(Operational_RawData!$A:$A,"1_Operational"),"",INDEX(Operational_RawData!A:A,MATCH("1_Operational",Operational_RawData!$A:$A,0)+ROWS($2:96)-1))</f>
        <v>1_Operational</v>
      </c>
      <c r="B96">
        <f>IF(ROWS($2:96)&gt;COUNTIF(Operational_RawData!$A:$A,"1_Operational"),"",INDEX(Operational_RawData!B:B,MATCH("1_Operational",Operational_RawData!$A:$A,0)+ROWS($2:96)-1))</f>
        <v>145156.943</v>
      </c>
      <c r="C96">
        <f>IF(ROWS($2:96)&gt;COUNTIF(Operational_RawData!$A:$A,"1_Operational"),"",INDEX(Operational_RawData!C:C,MATCH("1_Operational",Operational_RawData!$A:$A,0)+ROWS($2:96)-1))</f>
        <v>69.97</v>
      </c>
      <c r="D96">
        <f>IF(ROWS($2:96)&gt;COUNTIF(Operational_RawData!$A:$A,"1_Operational"),"",INDEX(Operational_RawData!D:D,MATCH("1_Operational",Operational_RawData!$A:$A,0)+ROWS($2:96)-1))</f>
        <v>1314.367</v>
      </c>
      <c r="E96">
        <f>IF(ROWS($2:96)&gt;COUNTIF(Operational_RawData!$A:$A,"1_Operational"),"",INDEX(Operational_RawData!E:E,MATCH("1_Operational",Operational_RawData!$A:$A,0)+ROWS($2:96)-1))</f>
        <v>-0.53</v>
      </c>
      <c r="F96">
        <f>IF(ROWS($2:96)&gt;COUNTIF(Operational_RawData!$A:$A,"1_Operational"),"",INDEX(Operational_RawData!F:F,MATCH("1_Operational",Operational_RawData!$A:$A,0)+ROWS($2:96)-1))</f>
        <v>399</v>
      </c>
      <c r="G96">
        <f>IF(ROWS($2:96)&gt;COUNTIF(Operational_RawData!$A:$A,"1_Operational"),"",INDEX(Operational_RawData!G:G,MATCH("1_Operational",Operational_RawData!$A:$A,0)+ROWS($2:96)-1))</f>
        <v>399</v>
      </c>
      <c r="H96">
        <f>IF(ROWS($2:96)&gt;COUNTIF(Operational_RawData!$A:$A,"1_Operational"),"",INDEX(Operational_RawData!H:H,MATCH("1_Operational",Operational_RawData!$A:$A,0)+ROWS($2:96)-1))</f>
        <v>399</v>
      </c>
      <c r="I96">
        <f>IF(ROWS($2:96)&gt;COUNTIF(Operational_RawData!$A:$A,"1_Operational"),"",INDEX(Operational_RawData!I:I,MATCH("1_Operational",Operational_RawData!$A:$A,0)+ROWS($2:96)-1))</f>
        <v>399</v>
      </c>
      <c r="J96">
        <f>IF(ROWS($2:96)&gt;COUNTIF(Operational_RawData!$A:$A,"1_Operational"),"",INDEX(Operational_RawData!J:J,MATCH("1_Operational",Operational_RawData!$A:$A,0)+ROWS($2:96)-1))</f>
        <v>399</v>
      </c>
      <c r="K96">
        <f>IF(ROWS($2:96)&gt;COUNTIF(Operational_RawData!$A:$A,"1_Operational"),"",INDEX(Operational_RawData!K:K,MATCH("1_Operational",Operational_RawData!$A:$A,0)+ROWS($2:96)-1))</f>
        <v>399</v>
      </c>
      <c r="L96">
        <f>IF(ROWS($2:96)&gt;COUNTIF(Operational_RawData!$A:$A,"1_Operational"),"",INDEX(Operational_RawData!L:L,MATCH("1_Operational",Operational_RawData!$A:$A,0)+ROWS($2:96)-1))</f>
        <v>399</v>
      </c>
      <c r="M96">
        <f>IF(ROWS($2:96)&gt;COUNTIF(Operational_RawData!$A:$A,"1_Operational"),"",INDEX(Operational_RawData!M:M,MATCH("1_Operational",Operational_RawData!$A:$A,0)+ROWS($2:96)-1))</f>
        <v>399</v>
      </c>
      <c r="N96">
        <f>IF(ROWS($2:96)&gt;COUNTIF(Operational_RawData!$A:$A,"1_Operational"),"",INDEX(Operational_RawData!N:N,MATCH("1_Operational",Operational_RawData!$A:$A,0)+ROWS($2:96)-1))</f>
        <v>0.13</v>
      </c>
      <c r="O96">
        <f>IF(ROWS($2:96)&gt;COUNTIF(Operational_RawData!$A:$A,"1_Operational"),"",INDEX(Operational_RawData!O:O,MATCH("1_Operational",Operational_RawData!$A:$A,0)+ROWS($2:96)-1))</f>
        <v>0.19</v>
      </c>
      <c r="P96">
        <f>IF(ROWS($2:96)&gt;COUNTIF(Operational_RawData!$A:$A,"1_Operational"),"",INDEX(Operational_RawData!P:P,MATCH("1_Operational",Operational_RawData!$A:$A,0)+ROWS($2:96)-1))</f>
        <v>0.06</v>
      </c>
      <c r="Q96">
        <f>IF(ROWS($2:96)&gt;COUNTIF(Operational_RawData!$A:$A,"1_Operational"),"",INDEX(Operational_RawData!Q:Q,MATCH("1_Operational",Operational_RawData!$A:$A,0)+ROWS($2:96)-1))</f>
        <v>0.1</v>
      </c>
      <c r="R96" t="str">
        <f>IF(ROWS($2:96)&gt;COUNTIF(Operational_RawData!$A:$A,"1_Operational"),"",INDEX(Operational_RawData!R:R,MATCH("1_Operational",Operational_RawData!$A:$A,0)+ROWS($2:96)-1))</f>
        <v>Pass</v>
      </c>
      <c r="S96">
        <f>IF(ROWS($2:96)&gt;COUNTIF(Operational_RawData!$A:$A,"1_Operational"),"",INDEX(Operational_RawData!S:S,MATCH("1_Operational",Operational_RawData!$A:$A,0)+ROWS($2:96)-1))</f>
        <v>0</v>
      </c>
      <c r="T96">
        <f>IF(ROWS($2:96)&gt;COUNTIF(Operational_RawData!$A:$A,"1_Operational"),"",INDEX(Operational_RawData!T:T,MATCH("1_Operational",Operational_RawData!$A:$A,0)+ROWS($2:96)-1))</f>
        <v>0</v>
      </c>
    </row>
  </sheetData>
  <autoFilter ref="A1:T1" xr:uid="{00000000-0009-0000-0000-000001000000}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96"/>
  <sheetViews>
    <sheetView workbookViewId="0">
      <pane ySplit="1" topLeftCell="A2" activePane="bottomLeft" state="frozen"/>
      <selection pane="bottomLeft" activeCell="G5" sqref="G5"/>
    </sheetView>
  </sheetViews>
  <sheetFormatPr defaultRowHeight="15.6"/>
  <cols>
    <col min="1" max="1" width="14.796875" style="1" customWidth="1"/>
  </cols>
  <sheetData>
    <row r="1" spans="1:20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</row>
    <row r="2" spans="1:20">
      <c r="A2" t="str">
        <f>IF(ROWS($2:2)&gt;COUNTIF(Operational_RawData!$A:$A,"5_Operational"),"",INDEX(Operational_RawData!A:A,MATCH("5_Operational",Operational_RawData!$A:$A,0)+ROWS($2:2)-1))</f>
        <v>5_Operational</v>
      </c>
      <c r="B2">
        <f>IF(ROWS($2:2)&gt;COUNTIF(Operational_RawData!$A:$A,"5_Operational"),"",INDEX(Operational_RawData!B:B,MATCH("5_Operational",Operational_RawData!$A:$A,0)+ROWS($2:2)-1))</f>
        <v>144406.81899999999</v>
      </c>
      <c r="C2">
        <f>IF(ROWS($2:2)&gt;COUNTIF(Operational_RawData!$A:$A,"5_Operational"),"",INDEX(Operational_RawData!C:C,MATCH("5_Operational",Operational_RawData!$A:$A,0)+ROWS($2:2)-1))</f>
        <v>0.2</v>
      </c>
      <c r="D2">
        <f>IF(ROWS($2:2)&gt;COUNTIF(Operational_RawData!$A:$A,"5_Operational"),"",INDEX(Operational_RawData!D:D,MATCH("5_Operational",Operational_RawData!$A:$A,0)+ROWS($2:2)-1))</f>
        <v>1307.3889999999999</v>
      </c>
      <c r="E2">
        <f>IF(ROWS($2:2)&gt;COUNTIF(Operational_RawData!$A:$A,"5_Operational"),"",INDEX(Operational_RawData!E:E,MATCH("5_Operational",Operational_RawData!$A:$A,0)+ROWS($2:2)-1))</f>
        <v>-0.51</v>
      </c>
      <c r="F2">
        <f>IF(ROWS($2:2)&gt;COUNTIF(Operational_RawData!$A:$A,"5_Operational"),"",INDEX(Operational_RawData!F:F,MATCH("5_Operational",Operational_RawData!$A:$A,0)+ROWS($2:2)-1))</f>
        <v>271.12</v>
      </c>
      <c r="G2">
        <f>IF(ROWS($2:2)&gt;COUNTIF(Operational_RawData!$A:$A,"5_Operational"),"",INDEX(Operational_RawData!G:G,MATCH("5_Operational",Operational_RawData!$A:$A,0)+ROWS($2:2)-1))</f>
        <v>271.12</v>
      </c>
      <c r="H2">
        <f>IF(ROWS($2:2)&gt;COUNTIF(Operational_RawData!$A:$A,"5_Operational"),"",INDEX(Operational_RawData!H:H,MATCH("5_Operational",Operational_RawData!$A:$A,0)+ROWS($2:2)-1))</f>
        <v>271.12</v>
      </c>
      <c r="I2">
        <f>IF(ROWS($2:2)&gt;COUNTIF(Operational_RawData!$A:$A,"5_Operational"),"",INDEX(Operational_RawData!I:I,MATCH("5_Operational",Operational_RawData!$A:$A,0)+ROWS($2:2)-1))</f>
        <v>271.12</v>
      </c>
      <c r="J2">
        <f>IF(ROWS($2:2)&gt;COUNTIF(Operational_RawData!$A:$A,"5_Operational"),"",INDEX(Operational_RawData!J:J,MATCH("5_Operational",Operational_RawData!$A:$A,0)+ROWS($2:2)-1))</f>
        <v>352.24</v>
      </c>
      <c r="K2">
        <f>IF(ROWS($2:2)&gt;COUNTIF(Operational_RawData!$A:$A,"5_Operational"),"",INDEX(Operational_RawData!K:K,MATCH("5_Operational",Operational_RawData!$A:$A,0)+ROWS($2:2)-1))</f>
        <v>352.24</v>
      </c>
      <c r="L2">
        <f>IF(ROWS($2:2)&gt;COUNTIF(Operational_RawData!$A:$A,"5_Operational"),"",INDEX(Operational_RawData!L:L,MATCH("5_Operational",Operational_RawData!$A:$A,0)+ROWS($2:2)-1))</f>
        <v>352.24</v>
      </c>
      <c r="M2">
        <f>IF(ROWS($2:2)&gt;COUNTIF(Operational_RawData!$A:$A,"5_Operational"),"",INDEX(Operational_RawData!M:M,MATCH("5_Operational",Operational_RawData!$A:$A,0)+ROWS($2:2)-1))</f>
        <v>352.24</v>
      </c>
      <c r="N2">
        <f>IF(ROWS($2:2)&gt;COUNTIF(Operational_RawData!$A:$A,"5_Operational"),"",INDEX(Operational_RawData!N:N,MATCH("5_Operational",Operational_RawData!$A:$A,0)+ROWS($2:2)-1))</f>
        <v>7.0000000000000007E-2</v>
      </c>
      <c r="O2">
        <f>IF(ROWS($2:2)&gt;COUNTIF(Operational_RawData!$A:$A,"5_Operational"),"",INDEX(Operational_RawData!O:O,MATCH("5_Operational",Operational_RawData!$A:$A,0)+ROWS($2:2)-1))</f>
        <v>0.15</v>
      </c>
      <c r="P2">
        <f>IF(ROWS($2:2)&gt;COUNTIF(Operational_RawData!$A:$A,"5_Operational"),"",INDEX(Operational_RawData!P:P,MATCH("5_Operational",Operational_RawData!$A:$A,0)+ROWS($2:2)-1))</f>
        <v>7.0000000000000007E-2</v>
      </c>
      <c r="Q2">
        <f>IF(ROWS($2:2)&gt;COUNTIF(Operational_RawData!$A:$A,"5_Operational"),"",INDEX(Operational_RawData!Q:Q,MATCH("5_Operational",Operational_RawData!$A:$A,0)+ROWS($2:2)-1))</f>
        <v>0.1</v>
      </c>
      <c r="R2" t="str">
        <f>IF(ROWS($2:2)&gt;COUNTIF(Operational_RawData!$A:$A,"5_Operational"),"",INDEX(Operational_RawData!R:R,MATCH("5_Operational",Operational_RawData!$A:$A,0)+ROWS($2:2)-1))</f>
        <v>Pass</v>
      </c>
      <c r="S2">
        <f>IF(ROWS($2:2)&gt;COUNTIF(Operational_RawData!$A:$A,"5_Operational"),"",INDEX(Operational_RawData!S:S,MATCH("5_Operational",Operational_RawData!$A:$A,0)+ROWS($2:2)-1))</f>
        <v>0</v>
      </c>
      <c r="T2">
        <f>IF(ROWS($2:2)&gt;COUNTIF(Operational_RawData!$A:$A,"5_Operational"),"",INDEX(Operational_RawData!T:T,MATCH("5_Operational",Operational_RawData!$A:$A,0)+ROWS($2:2)-1))</f>
        <v>0</v>
      </c>
    </row>
    <row r="3" spans="1:20">
      <c r="A3" t="str">
        <f>IF(ROWS($2:3)&gt;COUNTIF(Operational_RawData!$A:$A,"5_Operational"),"",INDEX(Operational_RawData!A:A,MATCH("5_Operational",Operational_RawData!$A:$A,0)+ROWS($2:3)-1))</f>
        <v>5_Operational</v>
      </c>
      <c r="B3">
        <f>IF(ROWS($2:3)&gt;COUNTIF(Operational_RawData!$A:$A,"5_Operational"),"",INDEX(Operational_RawData!B:B,MATCH("5_Operational",Operational_RawData!$A:$A,0)+ROWS($2:3)-1))</f>
        <v>144411.823</v>
      </c>
      <c r="C3">
        <f>IF(ROWS($2:3)&gt;COUNTIF(Operational_RawData!$A:$A,"5_Operational"),"",INDEX(Operational_RawData!C:C,MATCH("5_Operational",Operational_RawData!$A:$A,0)+ROWS($2:3)-1))</f>
        <v>0.96</v>
      </c>
      <c r="D3">
        <f>IF(ROWS($2:3)&gt;COUNTIF(Operational_RawData!$A:$A,"5_Operational"),"",INDEX(Operational_RawData!D:D,MATCH("5_Operational",Operational_RawData!$A:$A,0)+ROWS($2:3)-1))</f>
        <v>1307.443</v>
      </c>
      <c r="E3">
        <f>IF(ROWS($2:3)&gt;COUNTIF(Operational_RawData!$A:$A,"5_Operational"),"",INDEX(Operational_RawData!E:E,MATCH("5_Operational",Operational_RawData!$A:$A,0)+ROWS($2:3)-1))</f>
        <v>-0.52</v>
      </c>
      <c r="F3">
        <f>IF(ROWS($2:3)&gt;COUNTIF(Operational_RawData!$A:$A,"5_Operational"),"",INDEX(Operational_RawData!F:F,MATCH("5_Operational",Operational_RawData!$A:$A,0)+ROWS($2:3)-1))</f>
        <v>269.60000000000002</v>
      </c>
      <c r="G3">
        <f>IF(ROWS($2:3)&gt;COUNTIF(Operational_RawData!$A:$A,"5_Operational"),"",INDEX(Operational_RawData!G:G,MATCH("5_Operational",Operational_RawData!$A:$A,0)+ROWS($2:3)-1))</f>
        <v>269.60000000000002</v>
      </c>
      <c r="H3">
        <f>IF(ROWS($2:3)&gt;COUNTIF(Operational_RawData!$A:$A,"5_Operational"),"",INDEX(Operational_RawData!H:H,MATCH("5_Operational",Operational_RawData!$A:$A,0)+ROWS($2:3)-1))</f>
        <v>269.60000000000002</v>
      </c>
      <c r="I3">
        <f>IF(ROWS($2:3)&gt;COUNTIF(Operational_RawData!$A:$A,"5_Operational"),"",INDEX(Operational_RawData!I:I,MATCH("5_Operational",Operational_RawData!$A:$A,0)+ROWS($2:3)-1))</f>
        <v>269.60000000000002</v>
      </c>
      <c r="J3">
        <f>IF(ROWS($2:3)&gt;COUNTIF(Operational_RawData!$A:$A,"5_Operational"),"",INDEX(Operational_RawData!J:J,MATCH("5_Operational",Operational_RawData!$A:$A,0)+ROWS($2:3)-1))</f>
        <v>351.84</v>
      </c>
      <c r="K3">
        <f>IF(ROWS($2:3)&gt;COUNTIF(Operational_RawData!$A:$A,"5_Operational"),"",INDEX(Operational_RawData!K:K,MATCH("5_Operational",Operational_RawData!$A:$A,0)+ROWS($2:3)-1))</f>
        <v>351.84</v>
      </c>
      <c r="L3">
        <f>IF(ROWS($2:3)&gt;COUNTIF(Operational_RawData!$A:$A,"5_Operational"),"",INDEX(Operational_RawData!L:L,MATCH("5_Operational",Operational_RawData!$A:$A,0)+ROWS($2:3)-1))</f>
        <v>351.84</v>
      </c>
      <c r="M3">
        <f>IF(ROWS($2:3)&gt;COUNTIF(Operational_RawData!$A:$A,"5_Operational"),"",INDEX(Operational_RawData!M:M,MATCH("5_Operational",Operational_RawData!$A:$A,0)+ROWS($2:3)-1))</f>
        <v>351.84</v>
      </c>
      <c r="N3">
        <f>IF(ROWS($2:3)&gt;COUNTIF(Operational_RawData!$A:$A,"5_Operational"),"",INDEX(Operational_RawData!N:N,MATCH("5_Operational",Operational_RawData!$A:$A,0)+ROWS($2:3)-1))</f>
        <v>7.0000000000000007E-2</v>
      </c>
      <c r="O3">
        <f>IF(ROWS($2:3)&gt;COUNTIF(Operational_RawData!$A:$A,"5_Operational"),"",INDEX(Operational_RawData!O:O,MATCH("5_Operational",Operational_RawData!$A:$A,0)+ROWS($2:3)-1))</f>
        <v>0.15</v>
      </c>
      <c r="P3">
        <f>IF(ROWS($2:3)&gt;COUNTIF(Operational_RawData!$A:$A,"5_Operational"),"",INDEX(Operational_RawData!P:P,MATCH("5_Operational",Operational_RawData!$A:$A,0)+ROWS($2:3)-1))</f>
        <v>7.0000000000000007E-2</v>
      </c>
      <c r="Q3">
        <f>IF(ROWS($2:3)&gt;COUNTIF(Operational_RawData!$A:$A,"5_Operational"),"",INDEX(Operational_RawData!Q:Q,MATCH("5_Operational",Operational_RawData!$A:$A,0)+ROWS($2:3)-1))</f>
        <v>0.1</v>
      </c>
      <c r="R3" t="str">
        <f>IF(ROWS($2:3)&gt;COUNTIF(Operational_RawData!$A:$A,"5_Operational"),"",INDEX(Operational_RawData!R:R,MATCH("5_Operational",Operational_RawData!$A:$A,0)+ROWS($2:3)-1))</f>
        <v>Pass</v>
      </c>
      <c r="S3">
        <f>IF(ROWS($2:3)&gt;COUNTIF(Operational_RawData!$A:$A,"5_Operational"),"",INDEX(Operational_RawData!S:S,MATCH("5_Operational",Operational_RawData!$A:$A,0)+ROWS($2:3)-1))</f>
        <v>0</v>
      </c>
      <c r="T3">
        <f>IF(ROWS($2:3)&gt;COUNTIF(Operational_RawData!$A:$A,"5_Operational"),"",INDEX(Operational_RawData!T:T,MATCH("5_Operational",Operational_RawData!$A:$A,0)+ROWS($2:3)-1))</f>
        <v>0</v>
      </c>
    </row>
    <row r="4" spans="1:20">
      <c r="A4" t="str">
        <f>IF(ROWS($2:4)&gt;COUNTIF(Operational_RawData!$A:$A,"5_Operational"),"",INDEX(Operational_RawData!A:A,MATCH("5_Operational",Operational_RawData!$A:$A,0)+ROWS($2:4)-1))</f>
        <v>5_Operational</v>
      </c>
      <c r="B4">
        <f>IF(ROWS($2:4)&gt;COUNTIF(Operational_RawData!$A:$A,"5_Operational"),"",INDEX(Operational_RawData!B:B,MATCH("5_Operational",Operational_RawData!$A:$A,0)+ROWS($2:4)-1))</f>
        <v>144416.82</v>
      </c>
      <c r="C4">
        <f>IF(ROWS($2:4)&gt;COUNTIF(Operational_RawData!$A:$A,"5_Operational"),"",INDEX(Operational_RawData!C:C,MATCH("5_Operational",Operational_RawData!$A:$A,0)+ROWS($2:4)-1))</f>
        <v>1.7</v>
      </c>
      <c r="D4">
        <f>IF(ROWS($2:4)&gt;COUNTIF(Operational_RawData!$A:$A,"5_Operational"),"",INDEX(Operational_RawData!D:D,MATCH("5_Operational",Operational_RawData!$A:$A,0)+ROWS($2:4)-1))</f>
        <v>1307.4970000000001</v>
      </c>
      <c r="E4">
        <f>IF(ROWS($2:4)&gt;COUNTIF(Operational_RawData!$A:$A,"5_Operational"),"",INDEX(Operational_RawData!E:E,MATCH("5_Operational",Operational_RawData!$A:$A,0)+ROWS($2:4)-1))</f>
        <v>-0.6</v>
      </c>
      <c r="F4">
        <f>IF(ROWS($2:4)&gt;COUNTIF(Operational_RawData!$A:$A,"5_Operational"),"",INDEX(Operational_RawData!F:F,MATCH("5_Operational",Operational_RawData!$A:$A,0)+ROWS($2:4)-1))</f>
        <v>267.83999999999997</v>
      </c>
      <c r="G4">
        <f>IF(ROWS($2:4)&gt;COUNTIF(Operational_RawData!$A:$A,"5_Operational"),"",INDEX(Operational_RawData!G:G,MATCH("5_Operational",Operational_RawData!$A:$A,0)+ROWS($2:4)-1))</f>
        <v>267.83999999999997</v>
      </c>
      <c r="H4">
        <f>IF(ROWS($2:4)&gt;COUNTIF(Operational_RawData!$A:$A,"5_Operational"),"",INDEX(Operational_RawData!H:H,MATCH("5_Operational",Operational_RawData!$A:$A,0)+ROWS($2:4)-1))</f>
        <v>267.83999999999997</v>
      </c>
      <c r="I4">
        <f>IF(ROWS($2:4)&gt;COUNTIF(Operational_RawData!$A:$A,"5_Operational"),"",INDEX(Operational_RawData!I:I,MATCH("5_Operational",Operational_RawData!$A:$A,0)+ROWS($2:4)-1))</f>
        <v>267.83999999999997</v>
      </c>
      <c r="J4">
        <f>IF(ROWS($2:4)&gt;COUNTIF(Operational_RawData!$A:$A,"5_Operational"),"",INDEX(Operational_RawData!J:J,MATCH("5_Operational",Operational_RawData!$A:$A,0)+ROWS($2:4)-1))</f>
        <v>351.28</v>
      </c>
      <c r="K4">
        <f>IF(ROWS($2:4)&gt;COUNTIF(Operational_RawData!$A:$A,"5_Operational"),"",INDEX(Operational_RawData!K:K,MATCH("5_Operational",Operational_RawData!$A:$A,0)+ROWS($2:4)-1))</f>
        <v>351.28</v>
      </c>
      <c r="L4">
        <f>IF(ROWS($2:4)&gt;COUNTIF(Operational_RawData!$A:$A,"5_Operational"),"",INDEX(Operational_RawData!L:L,MATCH("5_Operational",Operational_RawData!$A:$A,0)+ROWS($2:4)-1))</f>
        <v>351.28</v>
      </c>
      <c r="M4">
        <f>IF(ROWS($2:4)&gt;COUNTIF(Operational_RawData!$A:$A,"5_Operational"),"",INDEX(Operational_RawData!M:M,MATCH("5_Operational",Operational_RawData!$A:$A,0)+ROWS($2:4)-1))</f>
        <v>351.28</v>
      </c>
      <c r="N4">
        <f>IF(ROWS($2:4)&gt;COUNTIF(Operational_RawData!$A:$A,"5_Operational"),"",INDEX(Operational_RawData!N:N,MATCH("5_Operational",Operational_RawData!$A:$A,0)+ROWS($2:4)-1))</f>
        <v>7.0000000000000007E-2</v>
      </c>
      <c r="O4">
        <f>IF(ROWS($2:4)&gt;COUNTIF(Operational_RawData!$A:$A,"5_Operational"),"",INDEX(Operational_RawData!O:O,MATCH("5_Operational",Operational_RawData!$A:$A,0)+ROWS($2:4)-1))</f>
        <v>0.15</v>
      </c>
      <c r="P4">
        <f>IF(ROWS($2:4)&gt;COUNTIF(Operational_RawData!$A:$A,"5_Operational"),"",INDEX(Operational_RawData!P:P,MATCH("5_Operational",Operational_RawData!$A:$A,0)+ROWS($2:4)-1))</f>
        <v>7.0000000000000007E-2</v>
      </c>
      <c r="Q4">
        <f>IF(ROWS($2:4)&gt;COUNTIF(Operational_RawData!$A:$A,"5_Operational"),"",INDEX(Operational_RawData!Q:Q,MATCH("5_Operational",Operational_RawData!$A:$A,0)+ROWS($2:4)-1))</f>
        <v>0.1</v>
      </c>
      <c r="R4" t="str">
        <f>IF(ROWS($2:4)&gt;COUNTIF(Operational_RawData!$A:$A,"5_Operational"),"",INDEX(Operational_RawData!R:R,MATCH("5_Operational",Operational_RawData!$A:$A,0)+ROWS($2:4)-1))</f>
        <v>Pass</v>
      </c>
      <c r="S4">
        <f>IF(ROWS($2:4)&gt;COUNTIF(Operational_RawData!$A:$A,"5_Operational"),"",INDEX(Operational_RawData!S:S,MATCH("5_Operational",Operational_RawData!$A:$A,0)+ROWS($2:4)-1))</f>
        <v>0</v>
      </c>
      <c r="T4">
        <f>IF(ROWS($2:4)&gt;COUNTIF(Operational_RawData!$A:$A,"5_Operational"),"",INDEX(Operational_RawData!T:T,MATCH("5_Operational",Operational_RawData!$A:$A,0)+ROWS($2:4)-1))</f>
        <v>0</v>
      </c>
    </row>
    <row r="5" spans="1:20">
      <c r="A5" t="str">
        <f>IF(ROWS($2:5)&gt;COUNTIF(Operational_RawData!$A:$A,"5_Operational"),"",INDEX(Operational_RawData!A:A,MATCH("5_Operational",Operational_RawData!$A:$A,0)+ROWS($2:5)-1))</f>
        <v>5_Operational</v>
      </c>
      <c r="B5">
        <f>IF(ROWS($2:5)&gt;COUNTIF(Operational_RawData!$A:$A,"5_Operational"),"",INDEX(Operational_RawData!B:B,MATCH("5_Operational",Operational_RawData!$A:$A,0)+ROWS($2:5)-1))</f>
        <v>144421.82999999999</v>
      </c>
      <c r="C5">
        <f>IF(ROWS($2:5)&gt;COUNTIF(Operational_RawData!$A:$A,"5_Operational"),"",INDEX(Operational_RawData!C:C,MATCH("5_Operational",Operational_RawData!$A:$A,0)+ROWS($2:5)-1))</f>
        <v>2.4300000000000002</v>
      </c>
      <c r="D5">
        <f>IF(ROWS($2:5)&gt;COUNTIF(Operational_RawData!$A:$A,"5_Operational"),"",INDEX(Operational_RawData!D:D,MATCH("5_Operational",Operational_RawData!$A:$A,0)+ROWS($2:5)-1))</f>
        <v>1307.557</v>
      </c>
      <c r="E5">
        <f>IF(ROWS($2:5)&gt;COUNTIF(Operational_RawData!$A:$A,"5_Operational"),"",INDEX(Operational_RawData!E:E,MATCH("5_Operational",Operational_RawData!$A:$A,0)+ROWS($2:5)-1))</f>
        <v>-0.54</v>
      </c>
      <c r="F5">
        <f>IF(ROWS($2:5)&gt;COUNTIF(Operational_RawData!$A:$A,"5_Operational"),"",INDEX(Operational_RawData!F:F,MATCH("5_Operational",Operational_RawData!$A:$A,0)+ROWS($2:5)-1))</f>
        <v>265.8</v>
      </c>
      <c r="G5">
        <f>IF(ROWS($2:5)&gt;COUNTIF(Operational_RawData!$A:$A,"5_Operational"),"",INDEX(Operational_RawData!G:G,MATCH("5_Operational",Operational_RawData!$A:$A,0)+ROWS($2:5)-1))</f>
        <v>265.8</v>
      </c>
      <c r="H5">
        <f>IF(ROWS($2:5)&gt;COUNTIF(Operational_RawData!$A:$A,"5_Operational"),"",INDEX(Operational_RawData!H:H,MATCH("5_Operational",Operational_RawData!$A:$A,0)+ROWS($2:5)-1))</f>
        <v>265.8</v>
      </c>
      <c r="I5">
        <f>IF(ROWS($2:5)&gt;COUNTIF(Operational_RawData!$A:$A,"5_Operational"),"",INDEX(Operational_RawData!I:I,MATCH("5_Operational",Operational_RawData!$A:$A,0)+ROWS($2:5)-1))</f>
        <v>265.8</v>
      </c>
      <c r="J5">
        <f>IF(ROWS($2:5)&gt;COUNTIF(Operational_RawData!$A:$A,"5_Operational"),"",INDEX(Operational_RawData!J:J,MATCH("5_Operational",Operational_RawData!$A:$A,0)+ROWS($2:5)-1))</f>
        <v>350.48</v>
      </c>
      <c r="K5">
        <f>IF(ROWS($2:5)&gt;COUNTIF(Operational_RawData!$A:$A,"5_Operational"),"",INDEX(Operational_RawData!K:K,MATCH("5_Operational",Operational_RawData!$A:$A,0)+ROWS($2:5)-1))</f>
        <v>350.48</v>
      </c>
      <c r="L5">
        <f>IF(ROWS($2:5)&gt;COUNTIF(Operational_RawData!$A:$A,"5_Operational"),"",INDEX(Operational_RawData!L:L,MATCH("5_Operational",Operational_RawData!$A:$A,0)+ROWS($2:5)-1))</f>
        <v>350.48</v>
      </c>
      <c r="M5">
        <f>IF(ROWS($2:5)&gt;COUNTIF(Operational_RawData!$A:$A,"5_Operational"),"",INDEX(Operational_RawData!M:M,MATCH("5_Operational",Operational_RawData!$A:$A,0)+ROWS($2:5)-1))</f>
        <v>350.48</v>
      </c>
      <c r="N5">
        <f>IF(ROWS($2:5)&gt;COUNTIF(Operational_RawData!$A:$A,"5_Operational"),"",INDEX(Operational_RawData!N:N,MATCH("5_Operational",Operational_RawData!$A:$A,0)+ROWS($2:5)-1))</f>
        <v>0.08</v>
      </c>
      <c r="O5">
        <f>IF(ROWS($2:5)&gt;COUNTIF(Operational_RawData!$A:$A,"5_Operational"),"",INDEX(Operational_RawData!O:O,MATCH("5_Operational",Operational_RawData!$A:$A,0)+ROWS($2:5)-1))</f>
        <v>0.15</v>
      </c>
      <c r="P5">
        <f>IF(ROWS($2:5)&gt;COUNTIF(Operational_RawData!$A:$A,"5_Operational"),"",INDEX(Operational_RawData!P:P,MATCH("5_Operational",Operational_RawData!$A:$A,0)+ROWS($2:5)-1))</f>
        <v>7.0000000000000007E-2</v>
      </c>
      <c r="Q5">
        <f>IF(ROWS($2:5)&gt;COUNTIF(Operational_RawData!$A:$A,"5_Operational"),"",INDEX(Operational_RawData!Q:Q,MATCH("5_Operational",Operational_RawData!$A:$A,0)+ROWS($2:5)-1))</f>
        <v>0.1</v>
      </c>
      <c r="R5" t="str">
        <f>IF(ROWS($2:5)&gt;COUNTIF(Operational_RawData!$A:$A,"5_Operational"),"",INDEX(Operational_RawData!R:R,MATCH("5_Operational",Operational_RawData!$A:$A,0)+ROWS($2:5)-1))</f>
        <v>Pass</v>
      </c>
      <c r="S5">
        <f>IF(ROWS($2:5)&gt;COUNTIF(Operational_RawData!$A:$A,"5_Operational"),"",INDEX(Operational_RawData!S:S,MATCH("5_Operational",Operational_RawData!$A:$A,0)+ROWS($2:5)-1))</f>
        <v>0</v>
      </c>
      <c r="T5">
        <f>IF(ROWS($2:5)&gt;COUNTIF(Operational_RawData!$A:$A,"5_Operational"),"",INDEX(Operational_RawData!T:T,MATCH("5_Operational",Operational_RawData!$A:$A,0)+ROWS($2:5)-1))</f>
        <v>0</v>
      </c>
    </row>
    <row r="6" spans="1:20">
      <c r="A6" t="str">
        <f>IF(ROWS($2:6)&gt;COUNTIF(Operational_RawData!$A:$A,"5_Operational"),"",INDEX(Operational_RawData!A:A,MATCH("5_Operational",Operational_RawData!$A:$A,0)+ROWS($2:6)-1))</f>
        <v>5_Operational</v>
      </c>
      <c r="B6">
        <f>IF(ROWS($2:6)&gt;COUNTIF(Operational_RawData!$A:$A,"5_Operational"),"",INDEX(Operational_RawData!B:B,MATCH("5_Operational",Operational_RawData!$A:$A,0)+ROWS($2:6)-1))</f>
        <v>144426.82999999999</v>
      </c>
      <c r="C6">
        <f>IF(ROWS($2:6)&gt;COUNTIF(Operational_RawData!$A:$A,"5_Operational"),"",INDEX(Operational_RawData!C:C,MATCH("5_Operational",Operational_RawData!$A:$A,0)+ROWS($2:6)-1))</f>
        <v>3.16</v>
      </c>
      <c r="D6">
        <f>IF(ROWS($2:6)&gt;COUNTIF(Operational_RawData!$A:$A,"5_Operational"),"",INDEX(Operational_RawData!D:D,MATCH("5_Operational",Operational_RawData!$A:$A,0)+ROWS($2:6)-1))</f>
        <v>1307.607</v>
      </c>
      <c r="E6">
        <f>IF(ROWS($2:6)&gt;COUNTIF(Operational_RawData!$A:$A,"5_Operational"),"",INDEX(Operational_RawData!E:E,MATCH("5_Operational",Operational_RawData!$A:$A,0)+ROWS($2:6)-1))</f>
        <v>-0.54</v>
      </c>
      <c r="F6">
        <f>IF(ROWS($2:6)&gt;COUNTIF(Operational_RawData!$A:$A,"5_Operational"),"",INDEX(Operational_RawData!F:F,MATCH("5_Operational",Operational_RawData!$A:$A,0)+ROWS($2:6)-1))</f>
        <v>264</v>
      </c>
      <c r="G6">
        <f>IF(ROWS($2:6)&gt;COUNTIF(Operational_RawData!$A:$A,"5_Operational"),"",INDEX(Operational_RawData!G:G,MATCH("5_Operational",Operational_RawData!$A:$A,0)+ROWS($2:6)-1))</f>
        <v>264</v>
      </c>
      <c r="H6">
        <f>IF(ROWS($2:6)&gt;COUNTIF(Operational_RawData!$A:$A,"5_Operational"),"",INDEX(Operational_RawData!H:H,MATCH("5_Operational",Operational_RawData!$A:$A,0)+ROWS($2:6)-1))</f>
        <v>264</v>
      </c>
      <c r="I6">
        <f>IF(ROWS($2:6)&gt;COUNTIF(Operational_RawData!$A:$A,"5_Operational"),"",INDEX(Operational_RawData!I:I,MATCH("5_Operational",Operational_RawData!$A:$A,0)+ROWS($2:6)-1))</f>
        <v>264</v>
      </c>
      <c r="J6">
        <f>IF(ROWS($2:6)&gt;COUNTIF(Operational_RawData!$A:$A,"5_Operational"),"",INDEX(Operational_RawData!J:J,MATCH("5_Operational",Operational_RawData!$A:$A,0)+ROWS($2:6)-1))</f>
        <v>349.64</v>
      </c>
      <c r="K6">
        <f>IF(ROWS($2:6)&gt;COUNTIF(Operational_RawData!$A:$A,"5_Operational"),"",INDEX(Operational_RawData!K:K,MATCH("5_Operational",Operational_RawData!$A:$A,0)+ROWS($2:6)-1))</f>
        <v>349.64</v>
      </c>
      <c r="L6">
        <f>IF(ROWS($2:6)&gt;COUNTIF(Operational_RawData!$A:$A,"5_Operational"),"",INDEX(Operational_RawData!L:L,MATCH("5_Operational",Operational_RawData!$A:$A,0)+ROWS($2:6)-1))</f>
        <v>349.64</v>
      </c>
      <c r="M6">
        <f>IF(ROWS($2:6)&gt;COUNTIF(Operational_RawData!$A:$A,"5_Operational"),"",INDEX(Operational_RawData!M:M,MATCH("5_Operational",Operational_RawData!$A:$A,0)+ROWS($2:6)-1))</f>
        <v>349.64</v>
      </c>
      <c r="N6">
        <f>IF(ROWS($2:6)&gt;COUNTIF(Operational_RawData!$A:$A,"5_Operational"),"",INDEX(Operational_RawData!N:N,MATCH("5_Operational",Operational_RawData!$A:$A,0)+ROWS($2:6)-1))</f>
        <v>7.0000000000000007E-2</v>
      </c>
      <c r="O6">
        <f>IF(ROWS($2:6)&gt;COUNTIF(Operational_RawData!$A:$A,"5_Operational"),"",INDEX(Operational_RawData!O:O,MATCH("5_Operational",Operational_RawData!$A:$A,0)+ROWS($2:6)-1))</f>
        <v>0.15</v>
      </c>
      <c r="P6">
        <f>IF(ROWS($2:6)&gt;COUNTIF(Operational_RawData!$A:$A,"5_Operational"),"",INDEX(Operational_RawData!P:P,MATCH("5_Operational",Operational_RawData!$A:$A,0)+ROWS($2:6)-1))</f>
        <v>7.0000000000000007E-2</v>
      </c>
      <c r="Q6">
        <f>IF(ROWS($2:6)&gt;COUNTIF(Operational_RawData!$A:$A,"5_Operational"),"",INDEX(Operational_RawData!Q:Q,MATCH("5_Operational",Operational_RawData!$A:$A,0)+ROWS($2:6)-1))</f>
        <v>0.1</v>
      </c>
      <c r="R6" t="str">
        <f>IF(ROWS($2:6)&gt;COUNTIF(Operational_RawData!$A:$A,"5_Operational"),"",INDEX(Operational_RawData!R:R,MATCH("5_Operational",Operational_RawData!$A:$A,0)+ROWS($2:6)-1))</f>
        <v>Pass</v>
      </c>
      <c r="S6">
        <f>IF(ROWS($2:6)&gt;COUNTIF(Operational_RawData!$A:$A,"5_Operational"),"",INDEX(Operational_RawData!S:S,MATCH("5_Operational",Operational_RawData!$A:$A,0)+ROWS($2:6)-1))</f>
        <v>0</v>
      </c>
      <c r="T6">
        <f>IF(ROWS($2:6)&gt;COUNTIF(Operational_RawData!$A:$A,"5_Operational"),"",INDEX(Operational_RawData!T:T,MATCH("5_Operational",Operational_RawData!$A:$A,0)+ROWS($2:6)-1))</f>
        <v>0</v>
      </c>
    </row>
    <row r="7" spans="1:20">
      <c r="A7" t="str">
        <f>IF(ROWS($2:7)&gt;COUNTIF(Operational_RawData!$A:$A,"5_Operational"),"",INDEX(Operational_RawData!A:A,MATCH("5_Operational",Operational_RawData!$A:$A,0)+ROWS($2:7)-1))</f>
        <v>5_Operational</v>
      </c>
      <c r="B7">
        <f>IF(ROWS($2:7)&gt;COUNTIF(Operational_RawData!$A:$A,"5_Operational"),"",INDEX(Operational_RawData!B:B,MATCH("5_Operational",Operational_RawData!$A:$A,0)+ROWS($2:7)-1))</f>
        <v>144431.83100000001</v>
      </c>
      <c r="C7">
        <f>IF(ROWS($2:7)&gt;COUNTIF(Operational_RawData!$A:$A,"5_Operational"),"",INDEX(Operational_RawData!C:C,MATCH("5_Operational",Operational_RawData!$A:$A,0)+ROWS($2:7)-1))</f>
        <v>3.91</v>
      </c>
      <c r="D7">
        <f>IF(ROWS($2:7)&gt;COUNTIF(Operational_RawData!$A:$A,"5_Operational"),"",INDEX(Operational_RawData!D:D,MATCH("5_Operational",Operational_RawData!$A:$A,0)+ROWS($2:7)-1))</f>
        <v>1307.663</v>
      </c>
      <c r="E7">
        <f>IF(ROWS($2:7)&gt;COUNTIF(Operational_RawData!$A:$A,"5_Operational"),"",INDEX(Operational_RawData!E:E,MATCH("5_Operational",Operational_RawData!$A:$A,0)+ROWS($2:7)-1))</f>
        <v>-0.46</v>
      </c>
      <c r="F7">
        <f>IF(ROWS($2:7)&gt;COUNTIF(Operational_RawData!$A:$A,"5_Operational"),"",INDEX(Operational_RawData!F:F,MATCH("5_Operational",Operational_RawData!$A:$A,0)+ROWS($2:7)-1))</f>
        <v>261.8</v>
      </c>
      <c r="G7">
        <f>IF(ROWS($2:7)&gt;COUNTIF(Operational_RawData!$A:$A,"5_Operational"),"",INDEX(Operational_RawData!G:G,MATCH("5_Operational",Operational_RawData!$A:$A,0)+ROWS($2:7)-1))</f>
        <v>261.8</v>
      </c>
      <c r="H7">
        <f>IF(ROWS($2:7)&gt;COUNTIF(Operational_RawData!$A:$A,"5_Operational"),"",INDEX(Operational_RawData!H:H,MATCH("5_Operational",Operational_RawData!$A:$A,0)+ROWS($2:7)-1))</f>
        <v>261.8</v>
      </c>
      <c r="I7">
        <f>IF(ROWS($2:7)&gt;COUNTIF(Operational_RawData!$A:$A,"5_Operational"),"",INDEX(Operational_RawData!I:I,MATCH("5_Operational",Operational_RawData!$A:$A,0)+ROWS($2:7)-1))</f>
        <v>261.8</v>
      </c>
      <c r="J7">
        <f>IF(ROWS($2:7)&gt;COUNTIF(Operational_RawData!$A:$A,"5_Operational"),"",INDEX(Operational_RawData!J:J,MATCH("5_Operational",Operational_RawData!$A:$A,0)+ROWS($2:7)-1))</f>
        <v>348.64</v>
      </c>
      <c r="K7">
        <f>IF(ROWS($2:7)&gt;COUNTIF(Operational_RawData!$A:$A,"5_Operational"),"",INDEX(Operational_RawData!K:K,MATCH("5_Operational",Operational_RawData!$A:$A,0)+ROWS($2:7)-1))</f>
        <v>348.64</v>
      </c>
      <c r="L7">
        <f>IF(ROWS($2:7)&gt;COUNTIF(Operational_RawData!$A:$A,"5_Operational"),"",INDEX(Operational_RawData!L:L,MATCH("5_Operational",Operational_RawData!$A:$A,0)+ROWS($2:7)-1))</f>
        <v>348.64</v>
      </c>
      <c r="M7">
        <f>IF(ROWS($2:7)&gt;COUNTIF(Operational_RawData!$A:$A,"5_Operational"),"",INDEX(Operational_RawData!M:M,MATCH("5_Operational",Operational_RawData!$A:$A,0)+ROWS($2:7)-1))</f>
        <v>348.64</v>
      </c>
      <c r="N7">
        <f>IF(ROWS($2:7)&gt;COUNTIF(Operational_RawData!$A:$A,"5_Operational"),"",INDEX(Operational_RawData!N:N,MATCH("5_Operational",Operational_RawData!$A:$A,0)+ROWS($2:7)-1))</f>
        <v>7.0000000000000007E-2</v>
      </c>
      <c r="O7">
        <f>IF(ROWS($2:7)&gt;COUNTIF(Operational_RawData!$A:$A,"5_Operational"),"",INDEX(Operational_RawData!O:O,MATCH("5_Operational",Operational_RawData!$A:$A,0)+ROWS($2:7)-1))</f>
        <v>0.15</v>
      </c>
      <c r="P7">
        <f>IF(ROWS($2:7)&gt;COUNTIF(Operational_RawData!$A:$A,"5_Operational"),"",INDEX(Operational_RawData!P:P,MATCH("5_Operational",Operational_RawData!$A:$A,0)+ROWS($2:7)-1))</f>
        <v>7.0000000000000007E-2</v>
      </c>
      <c r="Q7">
        <f>IF(ROWS($2:7)&gt;COUNTIF(Operational_RawData!$A:$A,"5_Operational"),"",INDEX(Operational_RawData!Q:Q,MATCH("5_Operational",Operational_RawData!$A:$A,0)+ROWS($2:7)-1))</f>
        <v>0.1</v>
      </c>
      <c r="R7" t="str">
        <f>IF(ROWS($2:7)&gt;COUNTIF(Operational_RawData!$A:$A,"5_Operational"),"",INDEX(Operational_RawData!R:R,MATCH("5_Operational",Operational_RawData!$A:$A,0)+ROWS($2:7)-1))</f>
        <v>Pass</v>
      </c>
      <c r="S7">
        <f>IF(ROWS($2:7)&gt;COUNTIF(Operational_RawData!$A:$A,"5_Operational"),"",INDEX(Operational_RawData!S:S,MATCH("5_Operational",Operational_RawData!$A:$A,0)+ROWS($2:7)-1))</f>
        <v>0</v>
      </c>
      <c r="T7">
        <f>IF(ROWS($2:7)&gt;COUNTIF(Operational_RawData!$A:$A,"5_Operational"),"",INDEX(Operational_RawData!T:T,MATCH("5_Operational",Operational_RawData!$A:$A,0)+ROWS($2:7)-1))</f>
        <v>0</v>
      </c>
    </row>
    <row r="8" spans="1:20">
      <c r="A8" t="str">
        <f>IF(ROWS($2:8)&gt;COUNTIF(Operational_RawData!$A:$A,"5_Operational"),"",INDEX(Operational_RawData!A:A,MATCH("5_Operational",Operational_RawData!$A:$A,0)+ROWS($2:8)-1))</f>
        <v>5_Operational</v>
      </c>
      <c r="B8">
        <f>IF(ROWS($2:8)&gt;COUNTIF(Operational_RawData!$A:$A,"5_Operational"),"",INDEX(Operational_RawData!B:B,MATCH("5_Operational",Operational_RawData!$A:$A,0)+ROWS($2:8)-1))</f>
        <v>144436.84</v>
      </c>
      <c r="C8">
        <f>IF(ROWS($2:8)&gt;COUNTIF(Operational_RawData!$A:$A,"5_Operational"),"",INDEX(Operational_RawData!C:C,MATCH("5_Operational",Operational_RawData!$A:$A,0)+ROWS($2:8)-1))</f>
        <v>4.6399999999999997</v>
      </c>
      <c r="D8">
        <f>IF(ROWS($2:8)&gt;COUNTIF(Operational_RawData!$A:$A,"5_Operational"),"",INDEX(Operational_RawData!D:D,MATCH("5_Operational",Operational_RawData!$A:$A,0)+ROWS($2:8)-1))</f>
        <v>1307.7190000000001</v>
      </c>
      <c r="E8">
        <f>IF(ROWS($2:8)&gt;COUNTIF(Operational_RawData!$A:$A,"5_Operational"),"",INDEX(Operational_RawData!E:E,MATCH("5_Operational",Operational_RawData!$A:$A,0)+ROWS($2:8)-1))</f>
        <v>-0.52</v>
      </c>
      <c r="F8">
        <f>IF(ROWS($2:8)&gt;COUNTIF(Operational_RawData!$A:$A,"5_Operational"),"",INDEX(Operational_RawData!F:F,MATCH("5_Operational",Operational_RawData!$A:$A,0)+ROWS($2:8)-1))</f>
        <v>259.72000000000003</v>
      </c>
      <c r="G8">
        <f>IF(ROWS($2:8)&gt;COUNTIF(Operational_RawData!$A:$A,"5_Operational"),"",INDEX(Operational_RawData!G:G,MATCH("5_Operational",Operational_RawData!$A:$A,0)+ROWS($2:8)-1))</f>
        <v>259.72000000000003</v>
      </c>
      <c r="H8">
        <f>IF(ROWS($2:8)&gt;COUNTIF(Operational_RawData!$A:$A,"5_Operational"),"",INDEX(Operational_RawData!H:H,MATCH("5_Operational",Operational_RawData!$A:$A,0)+ROWS($2:8)-1))</f>
        <v>259.72000000000003</v>
      </c>
      <c r="I8">
        <f>IF(ROWS($2:8)&gt;COUNTIF(Operational_RawData!$A:$A,"5_Operational"),"",INDEX(Operational_RawData!I:I,MATCH("5_Operational",Operational_RawData!$A:$A,0)+ROWS($2:8)-1))</f>
        <v>259.72000000000003</v>
      </c>
      <c r="J8">
        <f>IF(ROWS($2:8)&gt;COUNTIF(Operational_RawData!$A:$A,"5_Operational"),"",INDEX(Operational_RawData!J:J,MATCH("5_Operational",Operational_RawData!$A:$A,0)+ROWS($2:8)-1))</f>
        <v>347.64</v>
      </c>
      <c r="K8">
        <f>IF(ROWS($2:8)&gt;COUNTIF(Operational_RawData!$A:$A,"5_Operational"),"",INDEX(Operational_RawData!K:K,MATCH("5_Operational",Operational_RawData!$A:$A,0)+ROWS($2:8)-1))</f>
        <v>347.64</v>
      </c>
      <c r="L8">
        <f>IF(ROWS($2:8)&gt;COUNTIF(Operational_RawData!$A:$A,"5_Operational"),"",INDEX(Operational_RawData!L:L,MATCH("5_Operational",Operational_RawData!$A:$A,0)+ROWS($2:8)-1))</f>
        <v>347.64</v>
      </c>
      <c r="M8">
        <f>IF(ROWS($2:8)&gt;COUNTIF(Operational_RawData!$A:$A,"5_Operational"),"",INDEX(Operational_RawData!M:M,MATCH("5_Operational",Operational_RawData!$A:$A,0)+ROWS($2:8)-1))</f>
        <v>347.64</v>
      </c>
      <c r="N8">
        <f>IF(ROWS($2:8)&gt;COUNTIF(Operational_RawData!$A:$A,"5_Operational"),"",INDEX(Operational_RawData!N:N,MATCH("5_Operational",Operational_RawData!$A:$A,0)+ROWS($2:8)-1))</f>
        <v>0.08</v>
      </c>
      <c r="O8">
        <f>IF(ROWS($2:8)&gt;COUNTIF(Operational_RawData!$A:$A,"5_Operational"),"",INDEX(Operational_RawData!O:O,MATCH("5_Operational",Operational_RawData!$A:$A,0)+ROWS($2:8)-1))</f>
        <v>0.15</v>
      </c>
      <c r="P8">
        <f>IF(ROWS($2:8)&gt;COUNTIF(Operational_RawData!$A:$A,"5_Operational"),"",INDEX(Operational_RawData!P:P,MATCH("5_Operational",Operational_RawData!$A:$A,0)+ROWS($2:8)-1))</f>
        <v>7.0000000000000007E-2</v>
      </c>
      <c r="Q8">
        <f>IF(ROWS($2:8)&gt;COUNTIF(Operational_RawData!$A:$A,"5_Operational"),"",INDEX(Operational_RawData!Q:Q,MATCH("5_Operational",Operational_RawData!$A:$A,0)+ROWS($2:8)-1))</f>
        <v>0.1</v>
      </c>
      <c r="R8" t="str">
        <f>IF(ROWS($2:8)&gt;COUNTIF(Operational_RawData!$A:$A,"5_Operational"),"",INDEX(Operational_RawData!R:R,MATCH("5_Operational",Operational_RawData!$A:$A,0)+ROWS($2:8)-1))</f>
        <v>Pass</v>
      </c>
      <c r="S8">
        <f>IF(ROWS($2:8)&gt;COUNTIF(Operational_RawData!$A:$A,"5_Operational"),"",INDEX(Operational_RawData!S:S,MATCH("5_Operational",Operational_RawData!$A:$A,0)+ROWS($2:8)-1))</f>
        <v>0</v>
      </c>
      <c r="T8">
        <f>IF(ROWS($2:8)&gt;COUNTIF(Operational_RawData!$A:$A,"5_Operational"),"",INDEX(Operational_RawData!T:T,MATCH("5_Operational",Operational_RawData!$A:$A,0)+ROWS($2:8)-1))</f>
        <v>0</v>
      </c>
    </row>
    <row r="9" spans="1:20">
      <c r="A9" t="str">
        <f>IF(ROWS($2:9)&gt;COUNTIF(Operational_RawData!$A:$A,"5_Operational"),"",INDEX(Operational_RawData!A:A,MATCH("5_Operational",Operational_RawData!$A:$A,0)+ROWS($2:9)-1))</f>
        <v>5_Operational</v>
      </c>
      <c r="B9">
        <f>IF(ROWS($2:9)&gt;COUNTIF(Operational_RawData!$A:$A,"5_Operational"),"",INDEX(Operational_RawData!B:B,MATCH("5_Operational",Operational_RawData!$A:$A,0)+ROWS($2:9)-1))</f>
        <v>144441.82999999999</v>
      </c>
      <c r="C9">
        <f>IF(ROWS($2:9)&gt;COUNTIF(Operational_RawData!$A:$A,"5_Operational"),"",INDEX(Operational_RawData!C:C,MATCH("5_Operational",Operational_RawData!$A:$A,0)+ROWS($2:9)-1))</f>
        <v>5.39</v>
      </c>
      <c r="D9">
        <f>IF(ROWS($2:9)&gt;COUNTIF(Operational_RawData!$A:$A,"5_Operational"),"",INDEX(Operational_RawData!D:D,MATCH("5_Operational",Operational_RawData!$A:$A,0)+ROWS($2:9)-1))</f>
        <v>1307.7750000000001</v>
      </c>
      <c r="E9">
        <f>IF(ROWS($2:9)&gt;COUNTIF(Operational_RawData!$A:$A,"5_Operational"),"",INDEX(Operational_RawData!E:E,MATCH("5_Operational",Operational_RawData!$A:$A,0)+ROWS($2:9)-1))</f>
        <v>-0.43</v>
      </c>
      <c r="F9">
        <f>IF(ROWS($2:9)&gt;COUNTIF(Operational_RawData!$A:$A,"5_Operational"),"",INDEX(Operational_RawData!F:F,MATCH("5_Operational",Operational_RawData!$A:$A,0)+ROWS($2:9)-1))</f>
        <v>257.64</v>
      </c>
      <c r="G9">
        <f>IF(ROWS($2:9)&gt;COUNTIF(Operational_RawData!$A:$A,"5_Operational"),"",INDEX(Operational_RawData!G:G,MATCH("5_Operational",Operational_RawData!$A:$A,0)+ROWS($2:9)-1))</f>
        <v>257.64</v>
      </c>
      <c r="H9">
        <f>IF(ROWS($2:9)&gt;COUNTIF(Operational_RawData!$A:$A,"5_Operational"),"",INDEX(Operational_RawData!H:H,MATCH("5_Operational",Operational_RawData!$A:$A,0)+ROWS($2:9)-1))</f>
        <v>257.64</v>
      </c>
      <c r="I9">
        <f>IF(ROWS($2:9)&gt;COUNTIF(Operational_RawData!$A:$A,"5_Operational"),"",INDEX(Operational_RawData!I:I,MATCH("5_Operational",Operational_RawData!$A:$A,0)+ROWS($2:9)-1))</f>
        <v>257.64</v>
      </c>
      <c r="J9">
        <f>IF(ROWS($2:9)&gt;COUNTIF(Operational_RawData!$A:$A,"5_Operational"),"",INDEX(Operational_RawData!J:J,MATCH("5_Operational",Operational_RawData!$A:$A,0)+ROWS($2:9)-1))</f>
        <v>346.6</v>
      </c>
      <c r="K9">
        <f>IF(ROWS($2:9)&gt;COUNTIF(Operational_RawData!$A:$A,"5_Operational"),"",INDEX(Operational_RawData!K:K,MATCH("5_Operational",Operational_RawData!$A:$A,0)+ROWS($2:9)-1))</f>
        <v>346.6</v>
      </c>
      <c r="L9">
        <f>IF(ROWS($2:9)&gt;COUNTIF(Operational_RawData!$A:$A,"5_Operational"),"",INDEX(Operational_RawData!L:L,MATCH("5_Operational",Operational_RawData!$A:$A,0)+ROWS($2:9)-1))</f>
        <v>346.6</v>
      </c>
      <c r="M9">
        <f>IF(ROWS($2:9)&gt;COUNTIF(Operational_RawData!$A:$A,"5_Operational"),"",INDEX(Operational_RawData!M:M,MATCH("5_Operational",Operational_RawData!$A:$A,0)+ROWS($2:9)-1))</f>
        <v>346.6</v>
      </c>
      <c r="N9">
        <f>IF(ROWS($2:9)&gt;COUNTIF(Operational_RawData!$A:$A,"5_Operational"),"",INDEX(Operational_RawData!N:N,MATCH("5_Operational",Operational_RawData!$A:$A,0)+ROWS($2:9)-1))</f>
        <v>7.0000000000000007E-2</v>
      </c>
      <c r="O9">
        <f>IF(ROWS($2:9)&gt;COUNTIF(Operational_RawData!$A:$A,"5_Operational"),"",INDEX(Operational_RawData!O:O,MATCH("5_Operational",Operational_RawData!$A:$A,0)+ROWS($2:9)-1))</f>
        <v>0.15</v>
      </c>
      <c r="P9">
        <f>IF(ROWS($2:9)&gt;COUNTIF(Operational_RawData!$A:$A,"5_Operational"),"",INDEX(Operational_RawData!P:P,MATCH("5_Operational",Operational_RawData!$A:$A,0)+ROWS($2:9)-1))</f>
        <v>7.0000000000000007E-2</v>
      </c>
      <c r="Q9">
        <f>IF(ROWS($2:9)&gt;COUNTIF(Operational_RawData!$A:$A,"5_Operational"),"",INDEX(Operational_RawData!Q:Q,MATCH("5_Operational",Operational_RawData!$A:$A,0)+ROWS($2:9)-1))</f>
        <v>0.1</v>
      </c>
      <c r="R9" t="str">
        <f>IF(ROWS($2:9)&gt;COUNTIF(Operational_RawData!$A:$A,"5_Operational"),"",INDEX(Operational_RawData!R:R,MATCH("5_Operational",Operational_RawData!$A:$A,0)+ROWS($2:9)-1))</f>
        <v>Pass</v>
      </c>
      <c r="S9">
        <f>IF(ROWS($2:9)&gt;COUNTIF(Operational_RawData!$A:$A,"5_Operational"),"",INDEX(Operational_RawData!S:S,MATCH("5_Operational",Operational_RawData!$A:$A,0)+ROWS($2:9)-1))</f>
        <v>0</v>
      </c>
      <c r="T9">
        <f>IF(ROWS($2:9)&gt;COUNTIF(Operational_RawData!$A:$A,"5_Operational"),"",INDEX(Operational_RawData!T:T,MATCH("5_Operational",Operational_RawData!$A:$A,0)+ROWS($2:9)-1))</f>
        <v>0</v>
      </c>
    </row>
    <row r="10" spans="1:20">
      <c r="A10" t="str">
        <f>IF(ROWS($2:10)&gt;COUNTIF(Operational_RawData!$A:$A,"5_Operational"),"",INDEX(Operational_RawData!A:A,MATCH("5_Operational",Operational_RawData!$A:$A,0)+ROWS($2:10)-1))</f>
        <v>5_Operational</v>
      </c>
      <c r="B10">
        <f>IF(ROWS($2:10)&gt;COUNTIF(Operational_RawData!$A:$A,"5_Operational"),"",INDEX(Operational_RawData!B:B,MATCH("5_Operational",Operational_RawData!$A:$A,0)+ROWS($2:10)-1))</f>
        <v>144446.83100000001</v>
      </c>
      <c r="C10">
        <f>IF(ROWS($2:10)&gt;COUNTIF(Operational_RawData!$A:$A,"5_Operational"),"",INDEX(Operational_RawData!C:C,MATCH("5_Operational",Operational_RawData!$A:$A,0)+ROWS($2:10)-1))</f>
        <v>6.13</v>
      </c>
      <c r="D10">
        <f>IF(ROWS($2:10)&gt;COUNTIF(Operational_RawData!$A:$A,"5_Operational"),"",INDEX(Operational_RawData!D:D,MATCH("5_Operational",Operational_RawData!$A:$A,0)+ROWS($2:10)-1))</f>
        <v>1307.8320000000001</v>
      </c>
      <c r="E10">
        <f>IF(ROWS($2:10)&gt;COUNTIF(Operational_RawData!$A:$A,"5_Operational"),"",INDEX(Operational_RawData!E:E,MATCH("5_Operational",Operational_RawData!$A:$A,0)+ROWS($2:10)-1))</f>
        <v>-0.34</v>
      </c>
      <c r="F10">
        <f>IF(ROWS($2:10)&gt;COUNTIF(Operational_RawData!$A:$A,"5_Operational"),"",INDEX(Operational_RawData!F:F,MATCH("5_Operational",Operational_RawData!$A:$A,0)+ROWS($2:10)-1))</f>
        <v>255.4</v>
      </c>
      <c r="G10">
        <f>IF(ROWS($2:10)&gt;COUNTIF(Operational_RawData!$A:$A,"5_Operational"),"",INDEX(Operational_RawData!G:G,MATCH("5_Operational",Operational_RawData!$A:$A,0)+ROWS($2:10)-1))</f>
        <v>255.4</v>
      </c>
      <c r="H10">
        <f>IF(ROWS($2:10)&gt;COUNTIF(Operational_RawData!$A:$A,"5_Operational"),"",INDEX(Operational_RawData!H:H,MATCH("5_Operational",Operational_RawData!$A:$A,0)+ROWS($2:10)-1))</f>
        <v>255.4</v>
      </c>
      <c r="I10">
        <f>IF(ROWS($2:10)&gt;COUNTIF(Operational_RawData!$A:$A,"5_Operational"),"",INDEX(Operational_RawData!I:I,MATCH("5_Operational",Operational_RawData!$A:$A,0)+ROWS($2:10)-1))</f>
        <v>255.4</v>
      </c>
      <c r="J10">
        <f>IF(ROWS($2:10)&gt;COUNTIF(Operational_RawData!$A:$A,"5_Operational"),"",INDEX(Operational_RawData!J:J,MATCH("5_Operational",Operational_RawData!$A:$A,0)+ROWS($2:10)-1))</f>
        <v>345.36</v>
      </c>
      <c r="K10">
        <f>IF(ROWS($2:10)&gt;COUNTIF(Operational_RawData!$A:$A,"5_Operational"),"",INDEX(Operational_RawData!K:K,MATCH("5_Operational",Operational_RawData!$A:$A,0)+ROWS($2:10)-1))</f>
        <v>345.36</v>
      </c>
      <c r="L10">
        <f>IF(ROWS($2:10)&gt;COUNTIF(Operational_RawData!$A:$A,"5_Operational"),"",INDEX(Operational_RawData!L:L,MATCH("5_Operational",Operational_RawData!$A:$A,0)+ROWS($2:10)-1))</f>
        <v>345.36</v>
      </c>
      <c r="M10">
        <f>IF(ROWS($2:10)&gt;COUNTIF(Operational_RawData!$A:$A,"5_Operational"),"",INDEX(Operational_RawData!M:M,MATCH("5_Operational",Operational_RawData!$A:$A,0)+ROWS($2:10)-1))</f>
        <v>345.36</v>
      </c>
      <c r="N10">
        <f>IF(ROWS($2:10)&gt;COUNTIF(Operational_RawData!$A:$A,"5_Operational"),"",INDEX(Operational_RawData!N:N,MATCH("5_Operational",Operational_RawData!$A:$A,0)+ROWS($2:10)-1))</f>
        <v>0.08</v>
      </c>
      <c r="O10">
        <f>IF(ROWS($2:10)&gt;COUNTIF(Operational_RawData!$A:$A,"5_Operational"),"",INDEX(Operational_RawData!O:O,MATCH("5_Operational",Operational_RawData!$A:$A,0)+ROWS($2:10)-1))</f>
        <v>0.15</v>
      </c>
      <c r="P10">
        <f>IF(ROWS($2:10)&gt;COUNTIF(Operational_RawData!$A:$A,"5_Operational"),"",INDEX(Operational_RawData!P:P,MATCH("5_Operational",Operational_RawData!$A:$A,0)+ROWS($2:10)-1))</f>
        <v>7.0000000000000007E-2</v>
      </c>
      <c r="Q10">
        <f>IF(ROWS($2:10)&gt;COUNTIF(Operational_RawData!$A:$A,"5_Operational"),"",INDEX(Operational_RawData!Q:Q,MATCH("5_Operational",Operational_RawData!$A:$A,0)+ROWS($2:10)-1))</f>
        <v>0.1</v>
      </c>
      <c r="R10" t="str">
        <f>IF(ROWS($2:10)&gt;COUNTIF(Operational_RawData!$A:$A,"5_Operational"),"",INDEX(Operational_RawData!R:R,MATCH("5_Operational",Operational_RawData!$A:$A,0)+ROWS($2:10)-1))</f>
        <v>Pass</v>
      </c>
      <c r="S10">
        <f>IF(ROWS($2:10)&gt;COUNTIF(Operational_RawData!$A:$A,"5_Operational"),"",INDEX(Operational_RawData!S:S,MATCH("5_Operational",Operational_RawData!$A:$A,0)+ROWS($2:10)-1))</f>
        <v>0</v>
      </c>
      <c r="T10">
        <f>IF(ROWS($2:10)&gt;COUNTIF(Operational_RawData!$A:$A,"5_Operational"),"",INDEX(Operational_RawData!T:T,MATCH("5_Operational",Operational_RawData!$A:$A,0)+ROWS($2:10)-1))</f>
        <v>0</v>
      </c>
    </row>
    <row r="11" spans="1:20">
      <c r="A11" t="str">
        <f>IF(ROWS($2:11)&gt;COUNTIF(Operational_RawData!$A:$A,"5_Operational"),"",INDEX(Operational_RawData!A:A,MATCH("5_Operational",Operational_RawData!$A:$A,0)+ROWS($2:11)-1))</f>
        <v>5_Operational</v>
      </c>
      <c r="B11">
        <f>IF(ROWS($2:11)&gt;COUNTIF(Operational_RawData!$A:$A,"5_Operational"),"",INDEX(Operational_RawData!B:B,MATCH("5_Operational",Operational_RawData!$A:$A,0)+ROWS($2:11)-1))</f>
        <v>144451.842</v>
      </c>
      <c r="C11">
        <f>IF(ROWS($2:11)&gt;COUNTIF(Operational_RawData!$A:$A,"5_Operational"),"",INDEX(Operational_RawData!C:C,MATCH("5_Operational",Operational_RawData!$A:$A,0)+ROWS($2:11)-1))</f>
        <v>6.87</v>
      </c>
      <c r="D11">
        <f>IF(ROWS($2:11)&gt;COUNTIF(Operational_RawData!$A:$A,"5_Operational"),"",INDEX(Operational_RawData!D:D,MATCH("5_Operational",Operational_RawData!$A:$A,0)+ROWS($2:11)-1))</f>
        <v>1307.8910000000001</v>
      </c>
      <c r="E11">
        <f>IF(ROWS($2:11)&gt;COUNTIF(Operational_RawData!$A:$A,"5_Operational"),"",INDEX(Operational_RawData!E:E,MATCH("5_Operational",Operational_RawData!$A:$A,0)+ROWS($2:11)-1))</f>
        <v>-0.27</v>
      </c>
      <c r="F11">
        <f>IF(ROWS($2:11)&gt;COUNTIF(Operational_RawData!$A:$A,"5_Operational"),"",INDEX(Operational_RawData!F:F,MATCH("5_Operational",Operational_RawData!$A:$A,0)+ROWS($2:11)-1))</f>
        <v>253.48</v>
      </c>
      <c r="G11">
        <f>IF(ROWS($2:11)&gt;COUNTIF(Operational_RawData!$A:$A,"5_Operational"),"",INDEX(Operational_RawData!G:G,MATCH("5_Operational",Operational_RawData!$A:$A,0)+ROWS($2:11)-1))</f>
        <v>253.48</v>
      </c>
      <c r="H11">
        <f>IF(ROWS($2:11)&gt;COUNTIF(Operational_RawData!$A:$A,"5_Operational"),"",INDEX(Operational_RawData!H:H,MATCH("5_Operational",Operational_RawData!$A:$A,0)+ROWS($2:11)-1))</f>
        <v>253.48</v>
      </c>
      <c r="I11">
        <f>IF(ROWS($2:11)&gt;COUNTIF(Operational_RawData!$A:$A,"5_Operational"),"",INDEX(Operational_RawData!I:I,MATCH("5_Operational",Operational_RawData!$A:$A,0)+ROWS($2:11)-1))</f>
        <v>253.48</v>
      </c>
      <c r="J11">
        <f>IF(ROWS($2:11)&gt;COUNTIF(Operational_RawData!$A:$A,"5_Operational"),"",INDEX(Operational_RawData!J:J,MATCH("5_Operational",Operational_RawData!$A:$A,0)+ROWS($2:11)-1))</f>
        <v>344.08</v>
      </c>
      <c r="K11">
        <f>IF(ROWS($2:11)&gt;COUNTIF(Operational_RawData!$A:$A,"5_Operational"),"",INDEX(Operational_RawData!K:K,MATCH("5_Operational",Operational_RawData!$A:$A,0)+ROWS($2:11)-1))</f>
        <v>344.08</v>
      </c>
      <c r="L11">
        <f>IF(ROWS($2:11)&gt;COUNTIF(Operational_RawData!$A:$A,"5_Operational"),"",INDEX(Operational_RawData!L:L,MATCH("5_Operational",Operational_RawData!$A:$A,0)+ROWS($2:11)-1))</f>
        <v>344.08</v>
      </c>
      <c r="M11">
        <f>IF(ROWS($2:11)&gt;COUNTIF(Operational_RawData!$A:$A,"5_Operational"),"",INDEX(Operational_RawData!M:M,MATCH("5_Operational",Operational_RawData!$A:$A,0)+ROWS($2:11)-1))</f>
        <v>344.08</v>
      </c>
      <c r="N11">
        <f>IF(ROWS($2:11)&gt;COUNTIF(Operational_RawData!$A:$A,"5_Operational"),"",INDEX(Operational_RawData!N:N,MATCH("5_Operational",Operational_RawData!$A:$A,0)+ROWS($2:11)-1))</f>
        <v>0.08</v>
      </c>
      <c r="O11">
        <f>IF(ROWS($2:11)&gt;COUNTIF(Operational_RawData!$A:$A,"5_Operational"),"",INDEX(Operational_RawData!O:O,MATCH("5_Operational",Operational_RawData!$A:$A,0)+ROWS($2:11)-1))</f>
        <v>0.15</v>
      </c>
      <c r="P11">
        <f>IF(ROWS($2:11)&gt;COUNTIF(Operational_RawData!$A:$A,"5_Operational"),"",INDEX(Operational_RawData!P:P,MATCH("5_Operational",Operational_RawData!$A:$A,0)+ROWS($2:11)-1))</f>
        <v>7.0000000000000007E-2</v>
      </c>
      <c r="Q11">
        <f>IF(ROWS($2:11)&gt;COUNTIF(Operational_RawData!$A:$A,"5_Operational"),"",INDEX(Operational_RawData!Q:Q,MATCH("5_Operational",Operational_RawData!$A:$A,0)+ROWS($2:11)-1))</f>
        <v>0.1</v>
      </c>
      <c r="R11" t="str">
        <f>IF(ROWS($2:11)&gt;COUNTIF(Operational_RawData!$A:$A,"5_Operational"),"",INDEX(Operational_RawData!R:R,MATCH("5_Operational",Operational_RawData!$A:$A,0)+ROWS($2:11)-1))</f>
        <v>Pass</v>
      </c>
      <c r="S11">
        <f>IF(ROWS($2:11)&gt;COUNTIF(Operational_RawData!$A:$A,"5_Operational"),"",INDEX(Operational_RawData!S:S,MATCH("5_Operational",Operational_RawData!$A:$A,0)+ROWS($2:11)-1))</f>
        <v>0</v>
      </c>
      <c r="T11">
        <f>IF(ROWS($2:11)&gt;COUNTIF(Operational_RawData!$A:$A,"5_Operational"),"",INDEX(Operational_RawData!T:T,MATCH("5_Operational",Operational_RawData!$A:$A,0)+ROWS($2:11)-1))</f>
        <v>0</v>
      </c>
    </row>
    <row r="12" spans="1:20">
      <c r="A12" t="str">
        <f>IF(ROWS($2:12)&gt;COUNTIF(Operational_RawData!$A:$A,"5_Operational"),"",INDEX(Operational_RawData!A:A,MATCH("5_Operational",Operational_RawData!$A:$A,0)+ROWS($2:12)-1))</f>
        <v>5_Operational</v>
      </c>
      <c r="B12">
        <f>IF(ROWS($2:12)&gt;COUNTIF(Operational_RawData!$A:$A,"5_Operational"),"",INDEX(Operational_RawData!B:B,MATCH("5_Operational",Operational_RawData!$A:$A,0)+ROWS($2:12)-1))</f>
        <v>144456.84099999999</v>
      </c>
      <c r="C12">
        <f>IF(ROWS($2:12)&gt;COUNTIF(Operational_RawData!$A:$A,"5_Operational"),"",INDEX(Operational_RawData!C:C,MATCH("5_Operational",Operational_RawData!$A:$A,0)+ROWS($2:12)-1))</f>
        <v>7.63</v>
      </c>
      <c r="D12">
        <f>IF(ROWS($2:12)&gt;COUNTIF(Operational_RawData!$A:$A,"5_Operational"),"",INDEX(Operational_RawData!D:D,MATCH("5_Operational",Operational_RawData!$A:$A,0)+ROWS($2:12)-1))</f>
        <v>1307.954</v>
      </c>
      <c r="E12">
        <f>IF(ROWS($2:12)&gt;COUNTIF(Operational_RawData!$A:$A,"5_Operational"),"",INDEX(Operational_RawData!E:E,MATCH("5_Operational",Operational_RawData!$A:$A,0)+ROWS($2:12)-1))</f>
        <v>-0.31</v>
      </c>
      <c r="F12">
        <f>IF(ROWS($2:12)&gt;COUNTIF(Operational_RawData!$A:$A,"5_Operational"),"",INDEX(Operational_RawData!F:F,MATCH("5_Operational",Operational_RawData!$A:$A,0)+ROWS($2:12)-1))</f>
        <v>251.36</v>
      </c>
      <c r="G12">
        <f>IF(ROWS($2:12)&gt;COUNTIF(Operational_RawData!$A:$A,"5_Operational"),"",INDEX(Operational_RawData!G:G,MATCH("5_Operational",Operational_RawData!$A:$A,0)+ROWS($2:12)-1))</f>
        <v>251.36</v>
      </c>
      <c r="H12">
        <f>IF(ROWS($2:12)&gt;COUNTIF(Operational_RawData!$A:$A,"5_Operational"),"",INDEX(Operational_RawData!H:H,MATCH("5_Operational",Operational_RawData!$A:$A,0)+ROWS($2:12)-1))</f>
        <v>251.36</v>
      </c>
      <c r="I12">
        <f>IF(ROWS($2:12)&gt;COUNTIF(Operational_RawData!$A:$A,"5_Operational"),"",INDEX(Operational_RawData!I:I,MATCH("5_Operational",Operational_RawData!$A:$A,0)+ROWS($2:12)-1))</f>
        <v>251.36</v>
      </c>
      <c r="J12">
        <f>IF(ROWS($2:12)&gt;COUNTIF(Operational_RawData!$A:$A,"5_Operational"),"",INDEX(Operational_RawData!J:J,MATCH("5_Operational",Operational_RawData!$A:$A,0)+ROWS($2:12)-1))</f>
        <v>342.72</v>
      </c>
      <c r="K12">
        <f>IF(ROWS($2:12)&gt;COUNTIF(Operational_RawData!$A:$A,"5_Operational"),"",INDEX(Operational_RawData!K:K,MATCH("5_Operational",Operational_RawData!$A:$A,0)+ROWS($2:12)-1))</f>
        <v>342.72</v>
      </c>
      <c r="L12">
        <f>IF(ROWS($2:12)&gt;COUNTIF(Operational_RawData!$A:$A,"5_Operational"),"",INDEX(Operational_RawData!L:L,MATCH("5_Operational",Operational_RawData!$A:$A,0)+ROWS($2:12)-1))</f>
        <v>342.72</v>
      </c>
      <c r="M12">
        <f>IF(ROWS($2:12)&gt;COUNTIF(Operational_RawData!$A:$A,"5_Operational"),"",INDEX(Operational_RawData!M:M,MATCH("5_Operational",Operational_RawData!$A:$A,0)+ROWS($2:12)-1))</f>
        <v>342.72</v>
      </c>
      <c r="N12">
        <f>IF(ROWS($2:12)&gt;COUNTIF(Operational_RawData!$A:$A,"5_Operational"),"",INDEX(Operational_RawData!N:N,MATCH("5_Operational",Operational_RawData!$A:$A,0)+ROWS($2:12)-1))</f>
        <v>0.08</v>
      </c>
      <c r="O12">
        <f>IF(ROWS($2:12)&gt;COUNTIF(Operational_RawData!$A:$A,"5_Operational"),"",INDEX(Operational_RawData!O:O,MATCH("5_Operational",Operational_RawData!$A:$A,0)+ROWS($2:12)-1))</f>
        <v>0.15</v>
      </c>
      <c r="P12">
        <f>IF(ROWS($2:12)&gt;COUNTIF(Operational_RawData!$A:$A,"5_Operational"),"",INDEX(Operational_RawData!P:P,MATCH("5_Operational",Operational_RawData!$A:$A,0)+ROWS($2:12)-1))</f>
        <v>7.0000000000000007E-2</v>
      </c>
      <c r="Q12">
        <f>IF(ROWS($2:12)&gt;COUNTIF(Operational_RawData!$A:$A,"5_Operational"),"",INDEX(Operational_RawData!Q:Q,MATCH("5_Operational",Operational_RawData!$A:$A,0)+ROWS($2:12)-1))</f>
        <v>0.1</v>
      </c>
      <c r="R12" t="str">
        <f>IF(ROWS($2:12)&gt;COUNTIF(Operational_RawData!$A:$A,"5_Operational"),"",INDEX(Operational_RawData!R:R,MATCH("5_Operational",Operational_RawData!$A:$A,0)+ROWS($2:12)-1))</f>
        <v>Pass</v>
      </c>
      <c r="S12">
        <f>IF(ROWS($2:12)&gt;COUNTIF(Operational_RawData!$A:$A,"5_Operational"),"",INDEX(Operational_RawData!S:S,MATCH("5_Operational",Operational_RawData!$A:$A,0)+ROWS($2:12)-1))</f>
        <v>0</v>
      </c>
      <c r="T12">
        <f>IF(ROWS($2:12)&gt;COUNTIF(Operational_RawData!$A:$A,"5_Operational"),"",INDEX(Operational_RawData!T:T,MATCH("5_Operational",Operational_RawData!$A:$A,0)+ROWS($2:12)-1))</f>
        <v>0</v>
      </c>
    </row>
    <row r="13" spans="1:20">
      <c r="A13" t="str">
        <f>IF(ROWS($2:13)&gt;COUNTIF(Operational_RawData!$A:$A,"5_Operational"),"",INDEX(Operational_RawData!A:A,MATCH("5_Operational",Operational_RawData!$A:$A,0)+ROWS($2:13)-1))</f>
        <v>5_Operational</v>
      </c>
      <c r="B13">
        <f>IF(ROWS($2:13)&gt;COUNTIF(Operational_RawData!$A:$A,"5_Operational"),"",INDEX(Operational_RawData!B:B,MATCH("5_Operational",Operational_RawData!$A:$A,0)+ROWS($2:13)-1))</f>
        <v>144501.83900000001</v>
      </c>
      <c r="C13">
        <f>IF(ROWS($2:13)&gt;COUNTIF(Operational_RawData!$A:$A,"5_Operational"),"",INDEX(Operational_RawData!C:C,MATCH("5_Operational",Operational_RawData!$A:$A,0)+ROWS($2:13)-1))</f>
        <v>8.36</v>
      </c>
      <c r="D13">
        <f>IF(ROWS($2:13)&gt;COUNTIF(Operational_RawData!$A:$A,"5_Operational"),"",INDEX(Operational_RawData!D:D,MATCH("5_Operational",Operational_RawData!$A:$A,0)+ROWS($2:13)-1))</f>
        <v>1308.0129999999999</v>
      </c>
      <c r="E13">
        <f>IF(ROWS($2:13)&gt;COUNTIF(Operational_RawData!$A:$A,"5_Operational"),"",INDEX(Operational_RawData!E:E,MATCH("5_Operational",Operational_RawData!$A:$A,0)+ROWS($2:13)-1))</f>
        <v>-0.33</v>
      </c>
      <c r="F13">
        <f>IF(ROWS($2:13)&gt;COUNTIF(Operational_RawData!$A:$A,"5_Operational"),"",INDEX(Operational_RawData!F:F,MATCH("5_Operational",Operational_RawData!$A:$A,0)+ROWS($2:13)-1))</f>
        <v>249.72</v>
      </c>
      <c r="G13">
        <f>IF(ROWS($2:13)&gt;COUNTIF(Operational_RawData!$A:$A,"5_Operational"),"",INDEX(Operational_RawData!G:G,MATCH("5_Operational",Operational_RawData!$A:$A,0)+ROWS($2:13)-1))</f>
        <v>249.72</v>
      </c>
      <c r="H13">
        <f>IF(ROWS($2:13)&gt;COUNTIF(Operational_RawData!$A:$A,"5_Operational"),"",INDEX(Operational_RawData!H:H,MATCH("5_Operational",Operational_RawData!$A:$A,0)+ROWS($2:13)-1))</f>
        <v>249.72</v>
      </c>
      <c r="I13">
        <f>IF(ROWS($2:13)&gt;COUNTIF(Operational_RawData!$A:$A,"5_Operational"),"",INDEX(Operational_RawData!I:I,MATCH("5_Operational",Operational_RawData!$A:$A,0)+ROWS($2:13)-1))</f>
        <v>249.72</v>
      </c>
      <c r="J13">
        <f>IF(ROWS($2:13)&gt;COUNTIF(Operational_RawData!$A:$A,"5_Operational"),"",INDEX(Operational_RawData!J:J,MATCH("5_Operational",Operational_RawData!$A:$A,0)+ROWS($2:13)-1))</f>
        <v>341.36</v>
      </c>
      <c r="K13">
        <f>IF(ROWS($2:13)&gt;COUNTIF(Operational_RawData!$A:$A,"5_Operational"),"",INDEX(Operational_RawData!K:K,MATCH("5_Operational",Operational_RawData!$A:$A,0)+ROWS($2:13)-1))</f>
        <v>341.36</v>
      </c>
      <c r="L13">
        <f>IF(ROWS($2:13)&gt;COUNTIF(Operational_RawData!$A:$A,"5_Operational"),"",INDEX(Operational_RawData!L:L,MATCH("5_Operational",Operational_RawData!$A:$A,0)+ROWS($2:13)-1))</f>
        <v>341.36</v>
      </c>
      <c r="M13">
        <f>IF(ROWS($2:13)&gt;COUNTIF(Operational_RawData!$A:$A,"5_Operational"),"",INDEX(Operational_RawData!M:M,MATCH("5_Operational",Operational_RawData!$A:$A,0)+ROWS($2:13)-1))</f>
        <v>341.36</v>
      </c>
      <c r="N13">
        <f>IF(ROWS($2:13)&gt;COUNTIF(Operational_RawData!$A:$A,"5_Operational"),"",INDEX(Operational_RawData!N:N,MATCH("5_Operational",Operational_RawData!$A:$A,0)+ROWS($2:13)-1))</f>
        <v>0.08</v>
      </c>
      <c r="O13">
        <f>IF(ROWS($2:13)&gt;COUNTIF(Operational_RawData!$A:$A,"5_Operational"),"",INDEX(Operational_RawData!O:O,MATCH("5_Operational",Operational_RawData!$A:$A,0)+ROWS($2:13)-1))</f>
        <v>0.15</v>
      </c>
      <c r="P13">
        <f>IF(ROWS($2:13)&gt;COUNTIF(Operational_RawData!$A:$A,"5_Operational"),"",INDEX(Operational_RawData!P:P,MATCH("5_Operational",Operational_RawData!$A:$A,0)+ROWS($2:13)-1))</f>
        <v>7.0000000000000007E-2</v>
      </c>
      <c r="Q13">
        <f>IF(ROWS($2:13)&gt;COUNTIF(Operational_RawData!$A:$A,"5_Operational"),"",INDEX(Operational_RawData!Q:Q,MATCH("5_Operational",Operational_RawData!$A:$A,0)+ROWS($2:13)-1))</f>
        <v>0.1</v>
      </c>
      <c r="R13" t="str">
        <f>IF(ROWS($2:13)&gt;COUNTIF(Operational_RawData!$A:$A,"5_Operational"),"",INDEX(Operational_RawData!R:R,MATCH("5_Operational",Operational_RawData!$A:$A,0)+ROWS($2:13)-1))</f>
        <v>Pass</v>
      </c>
      <c r="S13">
        <f>IF(ROWS($2:13)&gt;COUNTIF(Operational_RawData!$A:$A,"5_Operational"),"",INDEX(Operational_RawData!S:S,MATCH("5_Operational",Operational_RawData!$A:$A,0)+ROWS($2:13)-1))</f>
        <v>0</v>
      </c>
      <c r="T13">
        <f>IF(ROWS($2:13)&gt;COUNTIF(Operational_RawData!$A:$A,"5_Operational"),"",INDEX(Operational_RawData!T:T,MATCH("5_Operational",Operational_RawData!$A:$A,0)+ROWS($2:13)-1))</f>
        <v>0</v>
      </c>
    </row>
    <row r="14" spans="1:20">
      <c r="A14" t="str">
        <f>IF(ROWS($2:14)&gt;COUNTIF(Operational_RawData!$A:$A,"5_Operational"),"",INDEX(Operational_RawData!A:A,MATCH("5_Operational",Operational_RawData!$A:$A,0)+ROWS($2:14)-1))</f>
        <v>5_Operational</v>
      </c>
      <c r="B14">
        <f>IF(ROWS($2:14)&gt;COUNTIF(Operational_RawData!$A:$A,"5_Operational"),"",INDEX(Operational_RawData!B:B,MATCH("5_Operational",Operational_RawData!$A:$A,0)+ROWS($2:14)-1))</f>
        <v>144506.84599999999</v>
      </c>
      <c r="C14">
        <f>IF(ROWS($2:14)&gt;COUNTIF(Operational_RawData!$A:$A,"5_Operational"),"",INDEX(Operational_RawData!C:C,MATCH("5_Operational",Operational_RawData!$A:$A,0)+ROWS($2:14)-1))</f>
        <v>9.1199999999999992</v>
      </c>
      <c r="D14">
        <f>IF(ROWS($2:14)&gt;COUNTIF(Operational_RawData!$A:$A,"5_Operational"),"",INDEX(Operational_RawData!D:D,MATCH("5_Operational",Operational_RawData!$A:$A,0)+ROWS($2:14)-1))</f>
        <v>1308.0640000000001</v>
      </c>
      <c r="E14">
        <f>IF(ROWS($2:14)&gt;COUNTIF(Operational_RawData!$A:$A,"5_Operational"),"",INDEX(Operational_RawData!E:E,MATCH("5_Operational",Operational_RawData!$A:$A,0)+ROWS($2:14)-1))</f>
        <v>-0.28000000000000003</v>
      </c>
      <c r="F14">
        <f>IF(ROWS($2:14)&gt;COUNTIF(Operational_RawData!$A:$A,"5_Operational"),"",INDEX(Operational_RawData!F:F,MATCH("5_Operational",Operational_RawData!$A:$A,0)+ROWS($2:14)-1))</f>
        <v>247.68</v>
      </c>
      <c r="G14">
        <f>IF(ROWS($2:14)&gt;COUNTIF(Operational_RawData!$A:$A,"5_Operational"),"",INDEX(Operational_RawData!G:G,MATCH("5_Operational",Operational_RawData!$A:$A,0)+ROWS($2:14)-1))</f>
        <v>247.68</v>
      </c>
      <c r="H14">
        <f>IF(ROWS($2:14)&gt;COUNTIF(Operational_RawData!$A:$A,"5_Operational"),"",INDEX(Operational_RawData!H:H,MATCH("5_Operational",Operational_RawData!$A:$A,0)+ROWS($2:14)-1))</f>
        <v>247.68</v>
      </c>
      <c r="I14">
        <f>IF(ROWS($2:14)&gt;COUNTIF(Operational_RawData!$A:$A,"5_Operational"),"",INDEX(Operational_RawData!I:I,MATCH("5_Operational",Operational_RawData!$A:$A,0)+ROWS($2:14)-1))</f>
        <v>247.68</v>
      </c>
      <c r="J14">
        <f>IF(ROWS($2:14)&gt;COUNTIF(Operational_RawData!$A:$A,"5_Operational"),"",INDEX(Operational_RawData!J:J,MATCH("5_Operational",Operational_RawData!$A:$A,0)+ROWS($2:14)-1))</f>
        <v>339.88</v>
      </c>
      <c r="K14">
        <f>IF(ROWS($2:14)&gt;COUNTIF(Operational_RawData!$A:$A,"5_Operational"),"",INDEX(Operational_RawData!K:K,MATCH("5_Operational",Operational_RawData!$A:$A,0)+ROWS($2:14)-1))</f>
        <v>339.88</v>
      </c>
      <c r="L14">
        <f>IF(ROWS($2:14)&gt;COUNTIF(Operational_RawData!$A:$A,"5_Operational"),"",INDEX(Operational_RawData!L:L,MATCH("5_Operational",Operational_RawData!$A:$A,0)+ROWS($2:14)-1))</f>
        <v>339.88</v>
      </c>
      <c r="M14">
        <f>IF(ROWS($2:14)&gt;COUNTIF(Operational_RawData!$A:$A,"5_Operational"),"",INDEX(Operational_RawData!M:M,MATCH("5_Operational",Operational_RawData!$A:$A,0)+ROWS($2:14)-1))</f>
        <v>339.88</v>
      </c>
      <c r="N14">
        <f>IF(ROWS($2:14)&gt;COUNTIF(Operational_RawData!$A:$A,"5_Operational"),"",INDEX(Operational_RawData!N:N,MATCH("5_Operational",Operational_RawData!$A:$A,0)+ROWS($2:14)-1))</f>
        <v>7.0000000000000007E-2</v>
      </c>
      <c r="O14">
        <f>IF(ROWS($2:14)&gt;COUNTIF(Operational_RawData!$A:$A,"5_Operational"),"",INDEX(Operational_RawData!O:O,MATCH("5_Operational",Operational_RawData!$A:$A,0)+ROWS($2:14)-1))</f>
        <v>0.15</v>
      </c>
      <c r="P14">
        <f>IF(ROWS($2:14)&gt;COUNTIF(Operational_RawData!$A:$A,"5_Operational"),"",INDEX(Operational_RawData!P:P,MATCH("5_Operational",Operational_RawData!$A:$A,0)+ROWS($2:14)-1))</f>
        <v>7.0000000000000007E-2</v>
      </c>
      <c r="Q14">
        <f>IF(ROWS($2:14)&gt;COUNTIF(Operational_RawData!$A:$A,"5_Operational"),"",INDEX(Operational_RawData!Q:Q,MATCH("5_Operational",Operational_RawData!$A:$A,0)+ROWS($2:14)-1))</f>
        <v>0.1</v>
      </c>
      <c r="R14" t="str">
        <f>IF(ROWS($2:14)&gt;COUNTIF(Operational_RawData!$A:$A,"5_Operational"),"",INDEX(Operational_RawData!R:R,MATCH("5_Operational",Operational_RawData!$A:$A,0)+ROWS($2:14)-1))</f>
        <v>Pass</v>
      </c>
      <c r="S14">
        <f>IF(ROWS($2:14)&gt;COUNTIF(Operational_RawData!$A:$A,"5_Operational"),"",INDEX(Operational_RawData!S:S,MATCH("5_Operational",Operational_RawData!$A:$A,0)+ROWS($2:14)-1))</f>
        <v>0</v>
      </c>
      <c r="T14">
        <f>IF(ROWS($2:14)&gt;COUNTIF(Operational_RawData!$A:$A,"5_Operational"),"",INDEX(Operational_RawData!T:T,MATCH("5_Operational",Operational_RawData!$A:$A,0)+ROWS($2:14)-1))</f>
        <v>0</v>
      </c>
    </row>
    <row r="15" spans="1:20">
      <c r="A15" t="str">
        <f>IF(ROWS($2:15)&gt;COUNTIF(Operational_RawData!$A:$A,"5_Operational"),"",INDEX(Operational_RawData!A:A,MATCH("5_Operational",Operational_RawData!$A:$A,0)+ROWS($2:15)-1))</f>
        <v>5_Operational</v>
      </c>
      <c r="B15">
        <f>IF(ROWS($2:15)&gt;COUNTIF(Operational_RawData!$A:$A,"5_Operational"),"",INDEX(Operational_RawData!B:B,MATCH("5_Operational",Operational_RawData!$A:$A,0)+ROWS($2:15)-1))</f>
        <v>144511.84</v>
      </c>
      <c r="C15">
        <f>IF(ROWS($2:15)&gt;COUNTIF(Operational_RawData!$A:$A,"5_Operational"),"",INDEX(Operational_RawData!C:C,MATCH("5_Operational",Operational_RawData!$A:$A,0)+ROWS($2:15)-1))</f>
        <v>9.85</v>
      </c>
      <c r="D15">
        <f>IF(ROWS($2:15)&gt;COUNTIF(Operational_RawData!$A:$A,"5_Operational"),"",INDEX(Operational_RawData!D:D,MATCH("5_Operational",Operational_RawData!$A:$A,0)+ROWS($2:15)-1))</f>
        <v>1308.1220000000001</v>
      </c>
      <c r="E15">
        <f>IF(ROWS($2:15)&gt;COUNTIF(Operational_RawData!$A:$A,"5_Operational"),"",INDEX(Operational_RawData!E:E,MATCH("5_Operational",Operational_RawData!$A:$A,0)+ROWS($2:15)-1))</f>
        <v>-0.21</v>
      </c>
      <c r="F15">
        <f>IF(ROWS($2:15)&gt;COUNTIF(Operational_RawData!$A:$A,"5_Operational"),"",INDEX(Operational_RawData!F:F,MATCH("5_Operational",Operational_RawData!$A:$A,0)+ROWS($2:15)-1))</f>
        <v>246.04</v>
      </c>
      <c r="G15">
        <f>IF(ROWS($2:15)&gt;COUNTIF(Operational_RawData!$A:$A,"5_Operational"),"",INDEX(Operational_RawData!G:G,MATCH("5_Operational",Operational_RawData!$A:$A,0)+ROWS($2:15)-1))</f>
        <v>246.04</v>
      </c>
      <c r="H15">
        <f>IF(ROWS($2:15)&gt;COUNTIF(Operational_RawData!$A:$A,"5_Operational"),"",INDEX(Operational_RawData!H:H,MATCH("5_Operational",Operational_RawData!$A:$A,0)+ROWS($2:15)-1))</f>
        <v>246.04</v>
      </c>
      <c r="I15">
        <f>IF(ROWS($2:15)&gt;COUNTIF(Operational_RawData!$A:$A,"5_Operational"),"",INDEX(Operational_RawData!I:I,MATCH("5_Operational",Operational_RawData!$A:$A,0)+ROWS($2:15)-1))</f>
        <v>246.04</v>
      </c>
      <c r="J15">
        <f>IF(ROWS($2:15)&gt;COUNTIF(Operational_RawData!$A:$A,"5_Operational"),"",INDEX(Operational_RawData!J:J,MATCH("5_Operational",Operational_RawData!$A:$A,0)+ROWS($2:15)-1))</f>
        <v>338.36</v>
      </c>
      <c r="K15">
        <f>IF(ROWS($2:15)&gt;COUNTIF(Operational_RawData!$A:$A,"5_Operational"),"",INDEX(Operational_RawData!K:K,MATCH("5_Operational",Operational_RawData!$A:$A,0)+ROWS($2:15)-1))</f>
        <v>338.36</v>
      </c>
      <c r="L15">
        <f>IF(ROWS($2:15)&gt;COUNTIF(Operational_RawData!$A:$A,"5_Operational"),"",INDEX(Operational_RawData!L:L,MATCH("5_Operational",Operational_RawData!$A:$A,0)+ROWS($2:15)-1))</f>
        <v>338.36</v>
      </c>
      <c r="M15">
        <f>IF(ROWS($2:15)&gt;COUNTIF(Operational_RawData!$A:$A,"5_Operational"),"",INDEX(Operational_RawData!M:M,MATCH("5_Operational",Operational_RawData!$A:$A,0)+ROWS($2:15)-1))</f>
        <v>338.36</v>
      </c>
      <c r="N15">
        <f>IF(ROWS($2:15)&gt;COUNTIF(Operational_RawData!$A:$A,"5_Operational"),"",INDEX(Operational_RawData!N:N,MATCH("5_Operational",Operational_RawData!$A:$A,0)+ROWS($2:15)-1))</f>
        <v>0.08</v>
      </c>
      <c r="O15">
        <f>IF(ROWS($2:15)&gt;COUNTIF(Operational_RawData!$A:$A,"5_Operational"),"",INDEX(Operational_RawData!O:O,MATCH("5_Operational",Operational_RawData!$A:$A,0)+ROWS($2:15)-1))</f>
        <v>0.15</v>
      </c>
      <c r="P15">
        <f>IF(ROWS($2:15)&gt;COUNTIF(Operational_RawData!$A:$A,"5_Operational"),"",INDEX(Operational_RawData!P:P,MATCH("5_Operational",Operational_RawData!$A:$A,0)+ROWS($2:15)-1))</f>
        <v>7.0000000000000007E-2</v>
      </c>
      <c r="Q15">
        <f>IF(ROWS($2:15)&gt;COUNTIF(Operational_RawData!$A:$A,"5_Operational"),"",INDEX(Operational_RawData!Q:Q,MATCH("5_Operational",Operational_RawData!$A:$A,0)+ROWS($2:15)-1))</f>
        <v>0.1</v>
      </c>
      <c r="R15" t="str">
        <f>IF(ROWS($2:15)&gt;COUNTIF(Operational_RawData!$A:$A,"5_Operational"),"",INDEX(Operational_RawData!R:R,MATCH("5_Operational",Operational_RawData!$A:$A,0)+ROWS($2:15)-1))</f>
        <v>Pass</v>
      </c>
      <c r="S15">
        <f>IF(ROWS($2:15)&gt;COUNTIF(Operational_RawData!$A:$A,"5_Operational"),"",INDEX(Operational_RawData!S:S,MATCH("5_Operational",Operational_RawData!$A:$A,0)+ROWS($2:15)-1))</f>
        <v>0</v>
      </c>
      <c r="T15">
        <f>IF(ROWS($2:15)&gt;COUNTIF(Operational_RawData!$A:$A,"5_Operational"),"",INDEX(Operational_RawData!T:T,MATCH("5_Operational",Operational_RawData!$A:$A,0)+ROWS($2:15)-1))</f>
        <v>0</v>
      </c>
    </row>
    <row r="16" spans="1:20">
      <c r="A16" t="str">
        <f>IF(ROWS($2:16)&gt;COUNTIF(Operational_RawData!$A:$A,"5_Operational"),"",INDEX(Operational_RawData!A:A,MATCH("5_Operational",Operational_RawData!$A:$A,0)+ROWS($2:16)-1))</f>
        <v>5_Operational</v>
      </c>
      <c r="B16">
        <f>IF(ROWS($2:16)&gt;COUNTIF(Operational_RawData!$A:$A,"5_Operational"),"",INDEX(Operational_RawData!B:B,MATCH("5_Operational",Operational_RawData!$A:$A,0)+ROWS($2:16)-1))</f>
        <v>144516.84400000001</v>
      </c>
      <c r="C16">
        <f>IF(ROWS($2:16)&gt;COUNTIF(Operational_RawData!$A:$A,"5_Operational"),"",INDEX(Operational_RawData!C:C,MATCH("5_Operational",Operational_RawData!$A:$A,0)+ROWS($2:16)-1))</f>
        <v>10.61</v>
      </c>
      <c r="D16">
        <f>IF(ROWS($2:16)&gt;COUNTIF(Operational_RawData!$A:$A,"5_Operational"),"",INDEX(Operational_RawData!D:D,MATCH("5_Operational",Operational_RawData!$A:$A,0)+ROWS($2:16)-1))</f>
        <v>1308.181</v>
      </c>
      <c r="E16">
        <f>IF(ROWS($2:16)&gt;COUNTIF(Operational_RawData!$A:$A,"5_Operational"),"",INDEX(Operational_RawData!E:E,MATCH("5_Operational",Operational_RawData!$A:$A,0)+ROWS($2:16)-1))</f>
        <v>-0.15</v>
      </c>
      <c r="F16">
        <f>IF(ROWS($2:16)&gt;COUNTIF(Operational_RawData!$A:$A,"5_Operational"),"",INDEX(Operational_RawData!F:F,MATCH("5_Operational",Operational_RawData!$A:$A,0)+ROWS($2:16)-1))</f>
        <v>244.28</v>
      </c>
      <c r="G16">
        <f>IF(ROWS($2:16)&gt;COUNTIF(Operational_RawData!$A:$A,"5_Operational"),"",INDEX(Operational_RawData!G:G,MATCH("5_Operational",Operational_RawData!$A:$A,0)+ROWS($2:16)-1))</f>
        <v>244.28</v>
      </c>
      <c r="H16">
        <f>IF(ROWS($2:16)&gt;COUNTIF(Operational_RawData!$A:$A,"5_Operational"),"",INDEX(Operational_RawData!H:H,MATCH("5_Operational",Operational_RawData!$A:$A,0)+ROWS($2:16)-1))</f>
        <v>244.28</v>
      </c>
      <c r="I16">
        <f>IF(ROWS($2:16)&gt;COUNTIF(Operational_RawData!$A:$A,"5_Operational"),"",INDEX(Operational_RawData!I:I,MATCH("5_Operational",Operational_RawData!$A:$A,0)+ROWS($2:16)-1))</f>
        <v>244.28</v>
      </c>
      <c r="J16">
        <f>IF(ROWS($2:16)&gt;COUNTIF(Operational_RawData!$A:$A,"5_Operational"),"",INDEX(Operational_RawData!J:J,MATCH("5_Operational",Operational_RawData!$A:$A,0)+ROWS($2:16)-1))</f>
        <v>336.8</v>
      </c>
      <c r="K16">
        <f>IF(ROWS($2:16)&gt;COUNTIF(Operational_RawData!$A:$A,"5_Operational"),"",INDEX(Operational_RawData!K:K,MATCH("5_Operational",Operational_RawData!$A:$A,0)+ROWS($2:16)-1))</f>
        <v>336.8</v>
      </c>
      <c r="L16">
        <f>IF(ROWS($2:16)&gt;COUNTIF(Operational_RawData!$A:$A,"5_Operational"),"",INDEX(Operational_RawData!L:L,MATCH("5_Operational",Operational_RawData!$A:$A,0)+ROWS($2:16)-1))</f>
        <v>336.8</v>
      </c>
      <c r="M16">
        <f>IF(ROWS($2:16)&gt;COUNTIF(Operational_RawData!$A:$A,"5_Operational"),"",INDEX(Operational_RawData!M:M,MATCH("5_Operational",Operational_RawData!$A:$A,0)+ROWS($2:16)-1))</f>
        <v>336.8</v>
      </c>
      <c r="N16">
        <f>IF(ROWS($2:16)&gt;COUNTIF(Operational_RawData!$A:$A,"5_Operational"),"",INDEX(Operational_RawData!N:N,MATCH("5_Operational",Operational_RawData!$A:$A,0)+ROWS($2:16)-1))</f>
        <v>0.08</v>
      </c>
      <c r="O16">
        <f>IF(ROWS($2:16)&gt;COUNTIF(Operational_RawData!$A:$A,"5_Operational"),"",INDEX(Operational_RawData!O:O,MATCH("5_Operational",Operational_RawData!$A:$A,0)+ROWS($2:16)-1))</f>
        <v>0.15</v>
      </c>
      <c r="P16">
        <f>IF(ROWS($2:16)&gt;COUNTIF(Operational_RawData!$A:$A,"5_Operational"),"",INDEX(Operational_RawData!P:P,MATCH("5_Operational",Operational_RawData!$A:$A,0)+ROWS($2:16)-1))</f>
        <v>7.0000000000000007E-2</v>
      </c>
      <c r="Q16">
        <f>IF(ROWS($2:16)&gt;COUNTIF(Operational_RawData!$A:$A,"5_Operational"),"",INDEX(Operational_RawData!Q:Q,MATCH("5_Operational",Operational_RawData!$A:$A,0)+ROWS($2:16)-1))</f>
        <v>0.1</v>
      </c>
      <c r="R16" t="str">
        <f>IF(ROWS($2:16)&gt;COUNTIF(Operational_RawData!$A:$A,"5_Operational"),"",INDEX(Operational_RawData!R:R,MATCH("5_Operational",Operational_RawData!$A:$A,0)+ROWS($2:16)-1))</f>
        <v>Pass</v>
      </c>
      <c r="S16">
        <f>IF(ROWS($2:16)&gt;COUNTIF(Operational_RawData!$A:$A,"5_Operational"),"",INDEX(Operational_RawData!S:S,MATCH("5_Operational",Operational_RawData!$A:$A,0)+ROWS($2:16)-1))</f>
        <v>0</v>
      </c>
      <c r="T16">
        <f>IF(ROWS($2:16)&gt;COUNTIF(Operational_RawData!$A:$A,"5_Operational"),"",INDEX(Operational_RawData!T:T,MATCH("5_Operational",Operational_RawData!$A:$A,0)+ROWS($2:16)-1))</f>
        <v>0</v>
      </c>
    </row>
    <row r="17" spans="1:20">
      <c r="A17" t="str">
        <f>IF(ROWS($2:17)&gt;COUNTIF(Operational_RawData!$A:$A,"5_Operational"),"",INDEX(Operational_RawData!A:A,MATCH("5_Operational",Operational_RawData!$A:$A,0)+ROWS($2:17)-1))</f>
        <v>5_Operational</v>
      </c>
      <c r="B17">
        <f>IF(ROWS($2:17)&gt;COUNTIF(Operational_RawData!$A:$A,"5_Operational"),"",INDEX(Operational_RawData!B:B,MATCH("5_Operational",Operational_RawData!$A:$A,0)+ROWS($2:17)-1))</f>
        <v>144521.84099999999</v>
      </c>
      <c r="C17">
        <f>IF(ROWS($2:17)&gt;COUNTIF(Operational_RawData!$A:$A,"5_Operational"),"",INDEX(Operational_RawData!C:C,MATCH("5_Operational",Operational_RawData!$A:$A,0)+ROWS($2:17)-1))</f>
        <v>11.33</v>
      </c>
      <c r="D17">
        <f>IF(ROWS($2:17)&gt;COUNTIF(Operational_RawData!$A:$A,"5_Operational"),"",INDEX(Operational_RawData!D:D,MATCH("5_Operational",Operational_RawData!$A:$A,0)+ROWS($2:17)-1))</f>
        <v>1308.239</v>
      </c>
      <c r="E17">
        <f>IF(ROWS($2:17)&gt;COUNTIF(Operational_RawData!$A:$A,"5_Operational"),"",INDEX(Operational_RawData!E:E,MATCH("5_Operational",Operational_RawData!$A:$A,0)+ROWS($2:17)-1))</f>
        <v>-0.12</v>
      </c>
      <c r="F17">
        <f>IF(ROWS($2:17)&gt;COUNTIF(Operational_RawData!$A:$A,"5_Operational"),"",INDEX(Operational_RawData!F:F,MATCH("5_Operational",Operational_RawData!$A:$A,0)+ROWS($2:17)-1))</f>
        <v>242.4</v>
      </c>
      <c r="G17">
        <f>IF(ROWS($2:17)&gt;COUNTIF(Operational_RawData!$A:$A,"5_Operational"),"",INDEX(Operational_RawData!G:G,MATCH("5_Operational",Operational_RawData!$A:$A,0)+ROWS($2:17)-1))</f>
        <v>242.4</v>
      </c>
      <c r="H17">
        <f>IF(ROWS($2:17)&gt;COUNTIF(Operational_RawData!$A:$A,"5_Operational"),"",INDEX(Operational_RawData!H:H,MATCH("5_Operational",Operational_RawData!$A:$A,0)+ROWS($2:17)-1))</f>
        <v>242.4</v>
      </c>
      <c r="I17">
        <f>IF(ROWS($2:17)&gt;COUNTIF(Operational_RawData!$A:$A,"5_Operational"),"",INDEX(Operational_RawData!I:I,MATCH("5_Operational",Operational_RawData!$A:$A,0)+ROWS($2:17)-1))</f>
        <v>242.4</v>
      </c>
      <c r="J17">
        <f>IF(ROWS($2:17)&gt;COUNTIF(Operational_RawData!$A:$A,"5_Operational"),"",INDEX(Operational_RawData!J:J,MATCH("5_Operational",Operational_RawData!$A:$A,0)+ROWS($2:17)-1))</f>
        <v>335.44</v>
      </c>
      <c r="K17">
        <f>IF(ROWS($2:17)&gt;COUNTIF(Operational_RawData!$A:$A,"5_Operational"),"",INDEX(Operational_RawData!K:K,MATCH("5_Operational",Operational_RawData!$A:$A,0)+ROWS($2:17)-1))</f>
        <v>335.44</v>
      </c>
      <c r="L17">
        <f>IF(ROWS($2:17)&gt;COUNTIF(Operational_RawData!$A:$A,"5_Operational"),"",INDEX(Operational_RawData!L:L,MATCH("5_Operational",Operational_RawData!$A:$A,0)+ROWS($2:17)-1))</f>
        <v>335.44</v>
      </c>
      <c r="M17">
        <f>IF(ROWS($2:17)&gt;COUNTIF(Operational_RawData!$A:$A,"5_Operational"),"",INDEX(Operational_RawData!M:M,MATCH("5_Operational",Operational_RawData!$A:$A,0)+ROWS($2:17)-1))</f>
        <v>335.44</v>
      </c>
      <c r="N17">
        <f>IF(ROWS($2:17)&gt;COUNTIF(Operational_RawData!$A:$A,"5_Operational"),"",INDEX(Operational_RawData!N:N,MATCH("5_Operational",Operational_RawData!$A:$A,0)+ROWS($2:17)-1))</f>
        <v>0.08</v>
      </c>
      <c r="O17">
        <f>IF(ROWS($2:17)&gt;COUNTIF(Operational_RawData!$A:$A,"5_Operational"),"",INDEX(Operational_RawData!O:O,MATCH("5_Operational",Operational_RawData!$A:$A,0)+ROWS($2:17)-1))</f>
        <v>0.15</v>
      </c>
      <c r="P17">
        <f>IF(ROWS($2:17)&gt;COUNTIF(Operational_RawData!$A:$A,"5_Operational"),"",INDEX(Operational_RawData!P:P,MATCH("5_Operational",Operational_RawData!$A:$A,0)+ROWS($2:17)-1))</f>
        <v>7.0000000000000007E-2</v>
      </c>
      <c r="Q17">
        <f>IF(ROWS($2:17)&gt;COUNTIF(Operational_RawData!$A:$A,"5_Operational"),"",INDEX(Operational_RawData!Q:Q,MATCH("5_Operational",Operational_RawData!$A:$A,0)+ROWS($2:17)-1))</f>
        <v>0.1</v>
      </c>
      <c r="R17" t="str">
        <f>IF(ROWS($2:17)&gt;COUNTIF(Operational_RawData!$A:$A,"5_Operational"),"",INDEX(Operational_RawData!R:R,MATCH("5_Operational",Operational_RawData!$A:$A,0)+ROWS($2:17)-1))</f>
        <v>Pass</v>
      </c>
      <c r="S17">
        <f>IF(ROWS($2:17)&gt;COUNTIF(Operational_RawData!$A:$A,"5_Operational"),"",INDEX(Operational_RawData!S:S,MATCH("5_Operational",Operational_RawData!$A:$A,0)+ROWS($2:17)-1))</f>
        <v>0</v>
      </c>
      <c r="T17">
        <f>IF(ROWS($2:17)&gt;COUNTIF(Operational_RawData!$A:$A,"5_Operational"),"",INDEX(Operational_RawData!T:T,MATCH("5_Operational",Operational_RawData!$A:$A,0)+ROWS($2:17)-1))</f>
        <v>0</v>
      </c>
    </row>
    <row r="18" spans="1:20">
      <c r="A18" t="str">
        <f>IF(ROWS($2:18)&gt;COUNTIF(Operational_RawData!$A:$A,"5_Operational"),"",INDEX(Operational_RawData!A:A,MATCH("5_Operational",Operational_RawData!$A:$A,0)+ROWS($2:18)-1))</f>
        <v>5_Operational</v>
      </c>
      <c r="B18">
        <f>IF(ROWS($2:18)&gt;COUNTIF(Operational_RawData!$A:$A,"5_Operational"),"",INDEX(Operational_RawData!B:B,MATCH("5_Operational",Operational_RawData!$A:$A,0)+ROWS($2:18)-1))</f>
        <v>144526.84700000001</v>
      </c>
      <c r="C18">
        <f>IF(ROWS($2:18)&gt;COUNTIF(Operational_RawData!$A:$A,"5_Operational"),"",INDEX(Operational_RawData!C:C,MATCH("5_Operational",Operational_RawData!$A:$A,0)+ROWS($2:18)-1))</f>
        <v>12.06</v>
      </c>
      <c r="D18">
        <f>IF(ROWS($2:18)&gt;COUNTIF(Operational_RawData!$A:$A,"5_Operational"),"",INDEX(Operational_RawData!D:D,MATCH("5_Operational",Operational_RawData!$A:$A,0)+ROWS($2:18)-1))</f>
        <v>1308.298</v>
      </c>
      <c r="E18">
        <f>IF(ROWS($2:18)&gt;COUNTIF(Operational_RawData!$A:$A,"5_Operational"),"",INDEX(Operational_RawData!E:E,MATCH("5_Operational",Operational_RawData!$A:$A,0)+ROWS($2:18)-1))</f>
        <v>-0.1</v>
      </c>
      <c r="F18">
        <f>IF(ROWS($2:18)&gt;COUNTIF(Operational_RawData!$A:$A,"5_Operational"),"",INDEX(Operational_RawData!F:F,MATCH("5_Operational",Operational_RawData!$A:$A,0)+ROWS($2:18)-1))</f>
        <v>240.96</v>
      </c>
      <c r="G18">
        <f>IF(ROWS($2:18)&gt;COUNTIF(Operational_RawData!$A:$A,"5_Operational"),"",INDEX(Operational_RawData!G:G,MATCH("5_Operational",Operational_RawData!$A:$A,0)+ROWS($2:18)-1))</f>
        <v>240.96</v>
      </c>
      <c r="H18">
        <f>IF(ROWS($2:18)&gt;COUNTIF(Operational_RawData!$A:$A,"5_Operational"),"",INDEX(Operational_RawData!H:H,MATCH("5_Operational",Operational_RawData!$A:$A,0)+ROWS($2:18)-1))</f>
        <v>240.96</v>
      </c>
      <c r="I18">
        <f>IF(ROWS($2:18)&gt;COUNTIF(Operational_RawData!$A:$A,"5_Operational"),"",INDEX(Operational_RawData!I:I,MATCH("5_Operational",Operational_RawData!$A:$A,0)+ROWS($2:18)-1))</f>
        <v>240.96</v>
      </c>
      <c r="J18">
        <f>IF(ROWS($2:18)&gt;COUNTIF(Operational_RawData!$A:$A,"5_Operational"),"",INDEX(Operational_RawData!J:J,MATCH("5_Operational",Operational_RawData!$A:$A,0)+ROWS($2:18)-1))</f>
        <v>334.04</v>
      </c>
      <c r="K18">
        <f>IF(ROWS($2:18)&gt;COUNTIF(Operational_RawData!$A:$A,"5_Operational"),"",INDEX(Operational_RawData!K:K,MATCH("5_Operational",Operational_RawData!$A:$A,0)+ROWS($2:18)-1))</f>
        <v>334.04</v>
      </c>
      <c r="L18">
        <f>IF(ROWS($2:18)&gt;COUNTIF(Operational_RawData!$A:$A,"5_Operational"),"",INDEX(Operational_RawData!L:L,MATCH("5_Operational",Operational_RawData!$A:$A,0)+ROWS($2:18)-1))</f>
        <v>334.04</v>
      </c>
      <c r="M18">
        <f>IF(ROWS($2:18)&gt;COUNTIF(Operational_RawData!$A:$A,"5_Operational"),"",INDEX(Operational_RawData!M:M,MATCH("5_Operational",Operational_RawData!$A:$A,0)+ROWS($2:18)-1))</f>
        <v>334.04</v>
      </c>
      <c r="N18">
        <f>IF(ROWS($2:18)&gt;COUNTIF(Operational_RawData!$A:$A,"5_Operational"),"",INDEX(Operational_RawData!N:N,MATCH("5_Operational",Operational_RawData!$A:$A,0)+ROWS($2:18)-1))</f>
        <v>0.08</v>
      </c>
      <c r="O18">
        <f>IF(ROWS($2:18)&gt;COUNTIF(Operational_RawData!$A:$A,"5_Operational"),"",INDEX(Operational_RawData!O:O,MATCH("5_Operational",Operational_RawData!$A:$A,0)+ROWS($2:18)-1))</f>
        <v>0.15</v>
      </c>
      <c r="P18">
        <f>IF(ROWS($2:18)&gt;COUNTIF(Operational_RawData!$A:$A,"5_Operational"),"",INDEX(Operational_RawData!P:P,MATCH("5_Operational",Operational_RawData!$A:$A,0)+ROWS($2:18)-1))</f>
        <v>7.0000000000000007E-2</v>
      </c>
      <c r="Q18">
        <f>IF(ROWS($2:18)&gt;COUNTIF(Operational_RawData!$A:$A,"5_Operational"),"",INDEX(Operational_RawData!Q:Q,MATCH("5_Operational",Operational_RawData!$A:$A,0)+ROWS($2:18)-1))</f>
        <v>0.1</v>
      </c>
      <c r="R18" t="str">
        <f>IF(ROWS($2:18)&gt;COUNTIF(Operational_RawData!$A:$A,"5_Operational"),"",INDEX(Operational_RawData!R:R,MATCH("5_Operational",Operational_RawData!$A:$A,0)+ROWS($2:18)-1))</f>
        <v>Pass</v>
      </c>
      <c r="S18">
        <f>IF(ROWS($2:18)&gt;COUNTIF(Operational_RawData!$A:$A,"5_Operational"),"",INDEX(Operational_RawData!S:S,MATCH("5_Operational",Operational_RawData!$A:$A,0)+ROWS($2:18)-1))</f>
        <v>0</v>
      </c>
      <c r="T18">
        <f>IF(ROWS($2:18)&gt;COUNTIF(Operational_RawData!$A:$A,"5_Operational"),"",INDEX(Operational_RawData!T:T,MATCH("5_Operational",Operational_RawData!$A:$A,0)+ROWS($2:18)-1))</f>
        <v>0</v>
      </c>
    </row>
    <row r="19" spans="1:20">
      <c r="A19" t="str">
        <f>IF(ROWS($2:19)&gt;COUNTIF(Operational_RawData!$A:$A,"5_Operational"),"",INDEX(Operational_RawData!A:A,MATCH("5_Operational",Operational_RawData!$A:$A,0)+ROWS($2:19)-1))</f>
        <v>5_Operational</v>
      </c>
      <c r="B19">
        <f>IF(ROWS($2:19)&gt;COUNTIF(Operational_RawData!$A:$A,"5_Operational"),"",INDEX(Operational_RawData!B:B,MATCH("5_Operational",Operational_RawData!$A:$A,0)+ROWS($2:19)-1))</f>
        <v>144531.85</v>
      </c>
      <c r="C19">
        <f>IF(ROWS($2:19)&gt;COUNTIF(Operational_RawData!$A:$A,"5_Operational"),"",INDEX(Operational_RawData!C:C,MATCH("5_Operational",Operational_RawData!$A:$A,0)+ROWS($2:19)-1))</f>
        <v>12.8</v>
      </c>
      <c r="D19">
        <f>IF(ROWS($2:19)&gt;COUNTIF(Operational_RawData!$A:$A,"5_Operational"),"",INDEX(Operational_RawData!D:D,MATCH("5_Operational",Operational_RawData!$A:$A,0)+ROWS($2:19)-1))</f>
        <v>1308.3579999999999</v>
      </c>
      <c r="E19">
        <f>IF(ROWS($2:19)&gt;COUNTIF(Operational_RawData!$A:$A,"5_Operational"),"",INDEX(Operational_RawData!E:E,MATCH("5_Operational",Operational_RawData!$A:$A,0)+ROWS($2:19)-1))</f>
        <v>-0.05</v>
      </c>
      <c r="F19">
        <f>IF(ROWS($2:19)&gt;COUNTIF(Operational_RawData!$A:$A,"5_Operational"),"",INDEX(Operational_RawData!F:F,MATCH("5_Operational",Operational_RawData!$A:$A,0)+ROWS($2:19)-1))</f>
        <v>239.2</v>
      </c>
      <c r="G19">
        <f>IF(ROWS($2:19)&gt;COUNTIF(Operational_RawData!$A:$A,"5_Operational"),"",INDEX(Operational_RawData!G:G,MATCH("5_Operational",Operational_RawData!$A:$A,0)+ROWS($2:19)-1))</f>
        <v>239.2</v>
      </c>
      <c r="H19">
        <f>IF(ROWS($2:19)&gt;COUNTIF(Operational_RawData!$A:$A,"5_Operational"),"",INDEX(Operational_RawData!H:H,MATCH("5_Operational",Operational_RawData!$A:$A,0)+ROWS($2:19)-1))</f>
        <v>239.2</v>
      </c>
      <c r="I19">
        <f>IF(ROWS($2:19)&gt;COUNTIF(Operational_RawData!$A:$A,"5_Operational"),"",INDEX(Operational_RawData!I:I,MATCH("5_Operational",Operational_RawData!$A:$A,0)+ROWS($2:19)-1))</f>
        <v>239.2</v>
      </c>
      <c r="J19">
        <f>IF(ROWS($2:19)&gt;COUNTIF(Operational_RawData!$A:$A,"5_Operational"),"",INDEX(Operational_RawData!J:J,MATCH("5_Operational",Operational_RawData!$A:$A,0)+ROWS($2:19)-1))</f>
        <v>332.68</v>
      </c>
      <c r="K19">
        <f>IF(ROWS($2:19)&gt;COUNTIF(Operational_RawData!$A:$A,"5_Operational"),"",INDEX(Operational_RawData!K:K,MATCH("5_Operational",Operational_RawData!$A:$A,0)+ROWS($2:19)-1))</f>
        <v>332.68</v>
      </c>
      <c r="L19">
        <f>IF(ROWS($2:19)&gt;COUNTIF(Operational_RawData!$A:$A,"5_Operational"),"",INDEX(Operational_RawData!L:L,MATCH("5_Operational",Operational_RawData!$A:$A,0)+ROWS($2:19)-1))</f>
        <v>332.68</v>
      </c>
      <c r="M19">
        <f>IF(ROWS($2:19)&gt;COUNTIF(Operational_RawData!$A:$A,"5_Operational"),"",INDEX(Operational_RawData!M:M,MATCH("5_Operational",Operational_RawData!$A:$A,0)+ROWS($2:19)-1))</f>
        <v>332.64</v>
      </c>
      <c r="N19">
        <f>IF(ROWS($2:19)&gt;COUNTIF(Operational_RawData!$A:$A,"5_Operational"),"",INDEX(Operational_RawData!N:N,MATCH("5_Operational",Operational_RawData!$A:$A,0)+ROWS($2:19)-1))</f>
        <v>0.08</v>
      </c>
      <c r="O19">
        <f>IF(ROWS($2:19)&gt;COUNTIF(Operational_RawData!$A:$A,"5_Operational"),"",INDEX(Operational_RawData!O:O,MATCH("5_Operational",Operational_RawData!$A:$A,0)+ROWS($2:19)-1))</f>
        <v>0.15</v>
      </c>
      <c r="P19">
        <f>IF(ROWS($2:19)&gt;COUNTIF(Operational_RawData!$A:$A,"5_Operational"),"",INDEX(Operational_RawData!P:P,MATCH("5_Operational",Operational_RawData!$A:$A,0)+ROWS($2:19)-1))</f>
        <v>7.0000000000000007E-2</v>
      </c>
      <c r="Q19">
        <f>IF(ROWS($2:19)&gt;COUNTIF(Operational_RawData!$A:$A,"5_Operational"),"",INDEX(Operational_RawData!Q:Q,MATCH("5_Operational",Operational_RawData!$A:$A,0)+ROWS($2:19)-1))</f>
        <v>0.1</v>
      </c>
      <c r="R19" t="str">
        <f>IF(ROWS($2:19)&gt;COUNTIF(Operational_RawData!$A:$A,"5_Operational"),"",INDEX(Operational_RawData!R:R,MATCH("5_Operational",Operational_RawData!$A:$A,0)+ROWS($2:19)-1))</f>
        <v>Pass</v>
      </c>
      <c r="S19">
        <f>IF(ROWS($2:19)&gt;COUNTIF(Operational_RawData!$A:$A,"5_Operational"),"",INDEX(Operational_RawData!S:S,MATCH("5_Operational",Operational_RawData!$A:$A,0)+ROWS($2:19)-1))</f>
        <v>0</v>
      </c>
      <c r="T19">
        <f>IF(ROWS($2:19)&gt;COUNTIF(Operational_RawData!$A:$A,"5_Operational"),"",INDEX(Operational_RawData!T:T,MATCH("5_Operational",Operational_RawData!$A:$A,0)+ROWS($2:19)-1))</f>
        <v>0</v>
      </c>
    </row>
    <row r="20" spans="1:20">
      <c r="A20" t="str">
        <f>IF(ROWS($2:20)&gt;COUNTIF(Operational_RawData!$A:$A,"5_Operational"),"",INDEX(Operational_RawData!A:A,MATCH("5_Operational",Operational_RawData!$A:$A,0)+ROWS($2:20)-1))</f>
        <v>5_Operational</v>
      </c>
      <c r="B20">
        <f>IF(ROWS($2:20)&gt;COUNTIF(Operational_RawData!$A:$A,"5_Operational"),"",INDEX(Operational_RawData!B:B,MATCH("5_Operational",Operational_RawData!$A:$A,0)+ROWS($2:20)-1))</f>
        <v>144536.84899999999</v>
      </c>
      <c r="C20">
        <f>IF(ROWS($2:20)&gt;COUNTIF(Operational_RawData!$A:$A,"5_Operational"),"",INDEX(Operational_RawData!C:C,MATCH("5_Operational",Operational_RawData!$A:$A,0)+ROWS($2:20)-1))</f>
        <v>13.57</v>
      </c>
      <c r="D20">
        <f>IF(ROWS($2:20)&gt;COUNTIF(Operational_RawData!$A:$A,"5_Operational"),"",INDEX(Operational_RawData!D:D,MATCH("5_Operational",Operational_RawData!$A:$A,0)+ROWS($2:20)-1))</f>
        <v>1308.4169999999999</v>
      </c>
      <c r="E20">
        <f>IF(ROWS($2:20)&gt;COUNTIF(Operational_RawData!$A:$A,"5_Operational"),"",INDEX(Operational_RawData!E:E,MATCH("5_Operational",Operational_RawData!$A:$A,0)+ROWS($2:20)-1))</f>
        <v>-0.04</v>
      </c>
      <c r="F20">
        <f>IF(ROWS($2:20)&gt;COUNTIF(Operational_RawData!$A:$A,"5_Operational"),"",INDEX(Operational_RawData!F:F,MATCH("5_Operational",Operational_RawData!$A:$A,0)+ROWS($2:20)-1))</f>
        <v>237.68</v>
      </c>
      <c r="G20">
        <f>IF(ROWS($2:20)&gt;COUNTIF(Operational_RawData!$A:$A,"5_Operational"),"",INDEX(Operational_RawData!G:G,MATCH("5_Operational",Operational_RawData!$A:$A,0)+ROWS($2:20)-1))</f>
        <v>237.68</v>
      </c>
      <c r="H20">
        <f>IF(ROWS($2:20)&gt;COUNTIF(Operational_RawData!$A:$A,"5_Operational"),"",INDEX(Operational_RawData!H:H,MATCH("5_Operational",Operational_RawData!$A:$A,0)+ROWS($2:20)-1))</f>
        <v>237.68</v>
      </c>
      <c r="I20">
        <f>IF(ROWS($2:20)&gt;COUNTIF(Operational_RawData!$A:$A,"5_Operational"),"",INDEX(Operational_RawData!I:I,MATCH("5_Operational",Operational_RawData!$A:$A,0)+ROWS($2:20)-1))</f>
        <v>237.68</v>
      </c>
      <c r="J20">
        <f>IF(ROWS($2:20)&gt;COUNTIF(Operational_RawData!$A:$A,"5_Operational"),"",INDEX(Operational_RawData!J:J,MATCH("5_Operational",Operational_RawData!$A:$A,0)+ROWS($2:20)-1))</f>
        <v>331.4</v>
      </c>
      <c r="K20">
        <f>IF(ROWS($2:20)&gt;COUNTIF(Operational_RawData!$A:$A,"5_Operational"),"",INDEX(Operational_RawData!K:K,MATCH("5_Operational",Operational_RawData!$A:$A,0)+ROWS($2:20)-1))</f>
        <v>331.4</v>
      </c>
      <c r="L20">
        <f>IF(ROWS($2:20)&gt;COUNTIF(Operational_RawData!$A:$A,"5_Operational"),"",INDEX(Operational_RawData!L:L,MATCH("5_Operational",Operational_RawData!$A:$A,0)+ROWS($2:20)-1))</f>
        <v>331.4</v>
      </c>
      <c r="M20">
        <f>IF(ROWS($2:20)&gt;COUNTIF(Operational_RawData!$A:$A,"5_Operational"),"",INDEX(Operational_RawData!M:M,MATCH("5_Operational",Operational_RawData!$A:$A,0)+ROWS($2:20)-1))</f>
        <v>331.4</v>
      </c>
      <c r="N20">
        <f>IF(ROWS($2:20)&gt;COUNTIF(Operational_RawData!$A:$A,"5_Operational"),"",INDEX(Operational_RawData!N:N,MATCH("5_Operational",Operational_RawData!$A:$A,0)+ROWS($2:20)-1))</f>
        <v>0.08</v>
      </c>
      <c r="O20">
        <f>IF(ROWS($2:20)&gt;COUNTIF(Operational_RawData!$A:$A,"5_Operational"),"",INDEX(Operational_RawData!O:O,MATCH("5_Operational",Operational_RawData!$A:$A,0)+ROWS($2:20)-1))</f>
        <v>0.15</v>
      </c>
      <c r="P20">
        <f>IF(ROWS($2:20)&gt;COUNTIF(Operational_RawData!$A:$A,"5_Operational"),"",INDEX(Operational_RawData!P:P,MATCH("5_Operational",Operational_RawData!$A:$A,0)+ROWS($2:20)-1))</f>
        <v>7.0000000000000007E-2</v>
      </c>
      <c r="Q20">
        <f>IF(ROWS($2:20)&gt;COUNTIF(Operational_RawData!$A:$A,"5_Operational"),"",INDEX(Operational_RawData!Q:Q,MATCH("5_Operational",Operational_RawData!$A:$A,0)+ROWS($2:20)-1))</f>
        <v>0.1</v>
      </c>
      <c r="R20" t="str">
        <f>IF(ROWS($2:20)&gt;COUNTIF(Operational_RawData!$A:$A,"5_Operational"),"",INDEX(Operational_RawData!R:R,MATCH("5_Operational",Operational_RawData!$A:$A,0)+ROWS($2:20)-1))</f>
        <v>Pass</v>
      </c>
      <c r="S20">
        <f>IF(ROWS($2:20)&gt;COUNTIF(Operational_RawData!$A:$A,"5_Operational"),"",INDEX(Operational_RawData!S:S,MATCH("5_Operational",Operational_RawData!$A:$A,0)+ROWS($2:20)-1))</f>
        <v>0</v>
      </c>
      <c r="T20">
        <f>IF(ROWS($2:20)&gt;COUNTIF(Operational_RawData!$A:$A,"5_Operational"),"",INDEX(Operational_RawData!T:T,MATCH("5_Operational",Operational_RawData!$A:$A,0)+ROWS($2:20)-1))</f>
        <v>0</v>
      </c>
    </row>
    <row r="21" spans="1:20">
      <c r="A21" t="str">
        <f>IF(ROWS($2:21)&gt;COUNTIF(Operational_RawData!$A:$A,"5_Operational"),"",INDEX(Operational_RawData!A:A,MATCH("5_Operational",Operational_RawData!$A:$A,0)+ROWS($2:21)-1))</f>
        <v>5_Operational</v>
      </c>
      <c r="B21">
        <f>IF(ROWS($2:21)&gt;COUNTIF(Operational_RawData!$A:$A,"5_Operational"),"",INDEX(Operational_RawData!B:B,MATCH("5_Operational",Operational_RawData!$A:$A,0)+ROWS($2:21)-1))</f>
        <v>144541.848</v>
      </c>
      <c r="C21">
        <f>IF(ROWS($2:21)&gt;COUNTIF(Operational_RawData!$A:$A,"5_Operational"),"",INDEX(Operational_RawData!C:C,MATCH("5_Operational",Operational_RawData!$A:$A,0)+ROWS($2:21)-1))</f>
        <v>14.33</v>
      </c>
      <c r="D21">
        <f>IF(ROWS($2:21)&gt;COUNTIF(Operational_RawData!$A:$A,"5_Operational"),"",INDEX(Operational_RawData!D:D,MATCH("5_Operational",Operational_RawData!$A:$A,0)+ROWS($2:21)-1))</f>
        <v>1308.4770000000001</v>
      </c>
      <c r="E21">
        <f>IF(ROWS($2:21)&gt;COUNTIF(Operational_RawData!$A:$A,"5_Operational"),"",INDEX(Operational_RawData!E:E,MATCH("5_Operational",Operational_RawData!$A:$A,0)+ROWS($2:21)-1))</f>
        <v>-0.03</v>
      </c>
      <c r="F21">
        <f>IF(ROWS($2:21)&gt;COUNTIF(Operational_RawData!$A:$A,"5_Operational"),"",INDEX(Operational_RawData!F:F,MATCH("5_Operational",Operational_RawData!$A:$A,0)+ROWS($2:21)-1))</f>
        <v>236.08</v>
      </c>
      <c r="G21">
        <f>IF(ROWS($2:21)&gt;COUNTIF(Operational_RawData!$A:$A,"5_Operational"),"",INDEX(Operational_RawData!G:G,MATCH("5_Operational",Operational_RawData!$A:$A,0)+ROWS($2:21)-1))</f>
        <v>236.08</v>
      </c>
      <c r="H21">
        <f>IF(ROWS($2:21)&gt;COUNTIF(Operational_RawData!$A:$A,"5_Operational"),"",INDEX(Operational_RawData!H:H,MATCH("5_Operational",Operational_RawData!$A:$A,0)+ROWS($2:21)-1))</f>
        <v>236.08</v>
      </c>
      <c r="I21">
        <f>IF(ROWS($2:21)&gt;COUNTIF(Operational_RawData!$A:$A,"5_Operational"),"",INDEX(Operational_RawData!I:I,MATCH("5_Operational",Operational_RawData!$A:$A,0)+ROWS($2:21)-1))</f>
        <v>236.08</v>
      </c>
      <c r="J21">
        <f>IF(ROWS($2:21)&gt;COUNTIF(Operational_RawData!$A:$A,"5_Operational"),"",INDEX(Operational_RawData!J:J,MATCH("5_Operational",Operational_RawData!$A:$A,0)+ROWS($2:21)-1))</f>
        <v>330.16</v>
      </c>
      <c r="K21">
        <f>IF(ROWS($2:21)&gt;COUNTIF(Operational_RawData!$A:$A,"5_Operational"),"",INDEX(Operational_RawData!K:K,MATCH("5_Operational",Operational_RawData!$A:$A,0)+ROWS($2:21)-1))</f>
        <v>330.16</v>
      </c>
      <c r="L21">
        <f>IF(ROWS($2:21)&gt;COUNTIF(Operational_RawData!$A:$A,"5_Operational"),"",INDEX(Operational_RawData!L:L,MATCH("5_Operational",Operational_RawData!$A:$A,0)+ROWS($2:21)-1))</f>
        <v>330.16</v>
      </c>
      <c r="M21">
        <f>IF(ROWS($2:21)&gt;COUNTIF(Operational_RawData!$A:$A,"5_Operational"),"",INDEX(Operational_RawData!M:M,MATCH("5_Operational",Operational_RawData!$A:$A,0)+ROWS($2:21)-1))</f>
        <v>330.16</v>
      </c>
      <c r="N21">
        <f>IF(ROWS($2:21)&gt;COUNTIF(Operational_RawData!$A:$A,"5_Operational"),"",INDEX(Operational_RawData!N:N,MATCH("5_Operational",Operational_RawData!$A:$A,0)+ROWS($2:21)-1))</f>
        <v>0.08</v>
      </c>
      <c r="O21">
        <f>IF(ROWS($2:21)&gt;COUNTIF(Operational_RawData!$A:$A,"5_Operational"),"",INDEX(Operational_RawData!O:O,MATCH("5_Operational",Operational_RawData!$A:$A,0)+ROWS($2:21)-1))</f>
        <v>0.15</v>
      </c>
      <c r="P21">
        <f>IF(ROWS($2:21)&gt;COUNTIF(Operational_RawData!$A:$A,"5_Operational"),"",INDEX(Operational_RawData!P:P,MATCH("5_Operational",Operational_RawData!$A:$A,0)+ROWS($2:21)-1))</f>
        <v>7.0000000000000007E-2</v>
      </c>
      <c r="Q21">
        <f>IF(ROWS($2:21)&gt;COUNTIF(Operational_RawData!$A:$A,"5_Operational"),"",INDEX(Operational_RawData!Q:Q,MATCH("5_Operational",Operational_RawData!$A:$A,0)+ROWS($2:21)-1))</f>
        <v>0.1</v>
      </c>
      <c r="R21" t="str">
        <f>IF(ROWS($2:21)&gt;COUNTIF(Operational_RawData!$A:$A,"5_Operational"),"",INDEX(Operational_RawData!R:R,MATCH("5_Operational",Operational_RawData!$A:$A,0)+ROWS($2:21)-1))</f>
        <v>Pass</v>
      </c>
      <c r="S21">
        <f>IF(ROWS($2:21)&gt;COUNTIF(Operational_RawData!$A:$A,"5_Operational"),"",INDEX(Operational_RawData!S:S,MATCH("5_Operational",Operational_RawData!$A:$A,0)+ROWS($2:21)-1))</f>
        <v>0</v>
      </c>
      <c r="T21">
        <f>IF(ROWS($2:21)&gt;COUNTIF(Operational_RawData!$A:$A,"5_Operational"),"",INDEX(Operational_RawData!T:T,MATCH("5_Operational",Operational_RawData!$A:$A,0)+ROWS($2:21)-1))</f>
        <v>0</v>
      </c>
    </row>
    <row r="22" spans="1:20">
      <c r="A22" t="str">
        <f>IF(ROWS($2:22)&gt;COUNTIF(Operational_RawData!$A:$A,"5_Operational"),"",INDEX(Operational_RawData!A:A,MATCH("5_Operational",Operational_RawData!$A:$A,0)+ROWS($2:22)-1))</f>
        <v>5_Operational</v>
      </c>
      <c r="B22">
        <f>IF(ROWS($2:22)&gt;COUNTIF(Operational_RawData!$A:$A,"5_Operational"),"",INDEX(Operational_RawData!B:B,MATCH("5_Operational",Operational_RawData!$A:$A,0)+ROWS($2:22)-1))</f>
        <v>144546.856</v>
      </c>
      <c r="C22">
        <f>IF(ROWS($2:22)&gt;COUNTIF(Operational_RawData!$A:$A,"5_Operational"),"",INDEX(Operational_RawData!C:C,MATCH("5_Operational",Operational_RawData!$A:$A,0)+ROWS($2:22)-1))</f>
        <v>15.07</v>
      </c>
      <c r="D22">
        <f>IF(ROWS($2:22)&gt;COUNTIF(Operational_RawData!$A:$A,"5_Operational"),"",INDEX(Operational_RawData!D:D,MATCH("5_Operational",Operational_RawData!$A:$A,0)+ROWS($2:22)-1))</f>
        <v>1308.538</v>
      </c>
      <c r="E22">
        <f>IF(ROWS($2:22)&gt;COUNTIF(Operational_RawData!$A:$A,"5_Operational"),"",INDEX(Operational_RawData!E:E,MATCH("5_Operational",Operational_RawData!$A:$A,0)+ROWS($2:22)-1))</f>
        <v>-7.0000000000000007E-2</v>
      </c>
      <c r="F22">
        <f>IF(ROWS($2:22)&gt;COUNTIF(Operational_RawData!$A:$A,"5_Operational"),"",INDEX(Operational_RawData!F:F,MATCH("5_Operational",Operational_RawData!$A:$A,0)+ROWS($2:22)-1))</f>
        <v>234.68</v>
      </c>
      <c r="G22">
        <f>IF(ROWS($2:22)&gt;COUNTIF(Operational_RawData!$A:$A,"5_Operational"),"",INDEX(Operational_RawData!G:G,MATCH("5_Operational",Operational_RawData!$A:$A,0)+ROWS($2:22)-1))</f>
        <v>234.68</v>
      </c>
      <c r="H22">
        <f>IF(ROWS($2:22)&gt;COUNTIF(Operational_RawData!$A:$A,"5_Operational"),"",INDEX(Operational_RawData!H:H,MATCH("5_Operational",Operational_RawData!$A:$A,0)+ROWS($2:22)-1))</f>
        <v>234.68</v>
      </c>
      <c r="I22">
        <f>IF(ROWS($2:22)&gt;COUNTIF(Operational_RawData!$A:$A,"5_Operational"),"",INDEX(Operational_RawData!I:I,MATCH("5_Operational",Operational_RawData!$A:$A,0)+ROWS($2:22)-1))</f>
        <v>234.68</v>
      </c>
      <c r="J22">
        <f>IF(ROWS($2:22)&gt;COUNTIF(Operational_RawData!$A:$A,"5_Operational"),"",INDEX(Operational_RawData!J:J,MATCH("5_Operational",Operational_RawData!$A:$A,0)+ROWS($2:22)-1))</f>
        <v>328.96</v>
      </c>
      <c r="K22">
        <f>IF(ROWS($2:22)&gt;COUNTIF(Operational_RawData!$A:$A,"5_Operational"),"",INDEX(Operational_RawData!K:K,MATCH("5_Operational",Operational_RawData!$A:$A,0)+ROWS($2:22)-1))</f>
        <v>328.96</v>
      </c>
      <c r="L22">
        <f>IF(ROWS($2:22)&gt;COUNTIF(Operational_RawData!$A:$A,"5_Operational"),"",INDEX(Operational_RawData!L:L,MATCH("5_Operational",Operational_RawData!$A:$A,0)+ROWS($2:22)-1))</f>
        <v>328.96</v>
      </c>
      <c r="M22">
        <f>IF(ROWS($2:22)&gt;COUNTIF(Operational_RawData!$A:$A,"5_Operational"),"",INDEX(Operational_RawData!M:M,MATCH("5_Operational",Operational_RawData!$A:$A,0)+ROWS($2:22)-1))</f>
        <v>328.96</v>
      </c>
      <c r="N22">
        <f>IF(ROWS($2:22)&gt;COUNTIF(Operational_RawData!$A:$A,"5_Operational"),"",INDEX(Operational_RawData!N:N,MATCH("5_Operational",Operational_RawData!$A:$A,0)+ROWS($2:22)-1))</f>
        <v>0.08</v>
      </c>
      <c r="O22">
        <f>IF(ROWS($2:22)&gt;COUNTIF(Operational_RawData!$A:$A,"5_Operational"),"",INDEX(Operational_RawData!O:O,MATCH("5_Operational",Operational_RawData!$A:$A,0)+ROWS($2:22)-1))</f>
        <v>0.15</v>
      </c>
      <c r="P22">
        <f>IF(ROWS($2:22)&gt;COUNTIF(Operational_RawData!$A:$A,"5_Operational"),"",INDEX(Operational_RawData!P:P,MATCH("5_Operational",Operational_RawData!$A:$A,0)+ROWS($2:22)-1))</f>
        <v>7.0000000000000007E-2</v>
      </c>
      <c r="Q22">
        <f>IF(ROWS($2:22)&gt;COUNTIF(Operational_RawData!$A:$A,"5_Operational"),"",INDEX(Operational_RawData!Q:Q,MATCH("5_Operational",Operational_RawData!$A:$A,0)+ROWS($2:22)-1))</f>
        <v>0.1</v>
      </c>
      <c r="R22" t="str">
        <f>IF(ROWS($2:22)&gt;COUNTIF(Operational_RawData!$A:$A,"5_Operational"),"",INDEX(Operational_RawData!R:R,MATCH("5_Operational",Operational_RawData!$A:$A,0)+ROWS($2:22)-1))</f>
        <v>Pass</v>
      </c>
      <c r="S22">
        <f>IF(ROWS($2:22)&gt;COUNTIF(Operational_RawData!$A:$A,"5_Operational"),"",INDEX(Operational_RawData!S:S,MATCH("5_Operational",Operational_RawData!$A:$A,0)+ROWS($2:22)-1))</f>
        <v>0</v>
      </c>
      <c r="T22">
        <f>IF(ROWS($2:22)&gt;COUNTIF(Operational_RawData!$A:$A,"5_Operational"),"",INDEX(Operational_RawData!T:T,MATCH("5_Operational",Operational_RawData!$A:$A,0)+ROWS($2:22)-1))</f>
        <v>0</v>
      </c>
    </row>
    <row r="23" spans="1:20">
      <c r="A23" t="str">
        <f>IF(ROWS($2:23)&gt;COUNTIF(Operational_RawData!$A:$A,"5_Operational"),"",INDEX(Operational_RawData!A:A,MATCH("5_Operational",Operational_RawData!$A:$A,0)+ROWS($2:23)-1))</f>
        <v>5_Operational</v>
      </c>
      <c r="B23">
        <f>IF(ROWS($2:23)&gt;COUNTIF(Operational_RawData!$A:$A,"5_Operational"),"",INDEX(Operational_RawData!B:B,MATCH("5_Operational",Operational_RawData!$A:$A,0)+ROWS($2:23)-1))</f>
        <v>144551.853</v>
      </c>
      <c r="C23">
        <f>IF(ROWS($2:23)&gt;COUNTIF(Operational_RawData!$A:$A,"5_Operational"),"",INDEX(Operational_RawData!C:C,MATCH("5_Operational",Operational_RawData!$A:$A,0)+ROWS($2:23)-1))</f>
        <v>15.84</v>
      </c>
      <c r="D23">
        <f>IF(ROWS($2:23)&gt;COUNTIF(Operational_RawData!$A:$A,"5_Operational"),"",INDEX(Operational_RawData!D:D,MATCH("5_Operational",Operational_RawData!$A:$A,0)+ROWS($2:23)-1))</f>
        <v>1308.5989999999999</v>
      </c>
      <c r="E23">
        <f>IF(ROWS($2:23)&gt;COUNTIF(Operational_RawData!$A:$A,"5_Operational"),"",INDEX(Operational_RawData!E:E,MATCH("5_Operational",Operational_RawData!$A:$A,0)+ROWS($2:23)-1))</f>
        <v>-0.09</v>
      </c>
      <c r="F23">
        <f>IF(ROWS($2:23)&gt;COUNTIF(Operational_RawData!$A:$A,"5_Operational"),"",INDEX(Operational_RawData!F:F,MATCH("5_Operational",Operational_RawData!$A:$A,0)+ROWS($2:23)-1))</f>
        <v>233.32</v>
      </c>
      <c r="G23">
        <f>IF(ROWS($2:23)&gt;COUNTIF(Operational_RawData!$A:$A,"5_Operational"),"",INDEX(Operational_RawData!G:G,MATCH("5_Operational",Operational_RawData!$A:$A,0)+ROWS($2:23)-1))</f>
        <v>233.32</v>
      </c>
      <c r="H23">
        <f>IF(ROWS($2:23)&gt;COUNTIF(Operational_RawData!$A:$A,"5_Operational"),"",INDEX(Operational_RawData!H:H,MATCH("5_Operational",Operational_RawData!$A:$A,0)+ROWS($2:23)-1))</f>
        <v>233.32</v>
      </c>
      <c r="I23">
        <f>IF(ROWS($2:23)&gt;COUNTIF(Operational_RawData!$A:$A,"5_Operational"),"",INDEX(Operational_RawData!I:I,MATCH("5_Operational",Operational_RawData!$A:$A,0)+ROWS($2:23)-1))</f>
        <v>233.32</v>
      </c>
      <c r="J23">
        <f>IF(ROWS($2:23)&gt;COUNTIF(Operational_RawData!$A:$A,"5_Operational"),"",INDEX(Operational_RawData!J:J,MATCH("5_Operational",Operational_RawData!$A:$A,0)+ROWS($2:23)-1))</f>
        <v>327.8</v>
      </c>
      <c r="K23">
        <f>IF(ROWS($2:23)&gt;COUNTIF(Operational_RawData!$A:$A,"5_Operational"),"",INDEX(Operational_RawData!K:K,MATCH("5_Operational",Operational_RawData!$A:$A,0)+ROWS($2:23)-1))</f>
        <v>327.8</v>
      </c>
      <c r="L23">
        <f>IF(ROWS($2:23)&gt;COUNTIF(Operational_RawData!$A:$A,"5_Operational"),"",INDEX(Operational_RawData!L:L,MATCH("5_Operational",Operational_RawData!$A:$A,0)+ROWS($2:23)-1))</f>
        <v>327.8</v>
      </c>
      <c r="M23">
        <f>IF(ROWS($2:23)&gt;COUNTIF(Operational_RawData!$A:$A,"5_Operational"),"",INDEX(Operational_RawData!M:M,MATCH("5_Operational",Operational_RawData!$A:$A,0)+ROWS($2:23)-1))</f>
        <v>327.8</v>
      </c>
      <c r="N23">
        <f>IF(ROWS($2:23)&gt;COUNTIF(Operational_RawData!$A:$A,"5_Operational"),"",INDEX(Operational_RawData!N:N,MATCH("5_Operational",Operational_RawData!$A:$A,0)+ROWS($2:23)-1))</f>
        <v>0.08</v>
      </c>
      <c r="O23">
        <f>IF(ROWS($2:23)&gt;COUNTIF(Operational_RawData!$A:$A,"5_Operational"),"",INDEX(Operational_RawData!O:O,MATCH("5_Operational",Operational_RawData!$A:$A,0)+ROWS($2:23)-1))</f>
        <v>0.15</v>
      </c>
      <c r="P23">
        <f>IF(ROWS($2:23)&gt;COUNTIF(Operational_RawData!$A:$A,"5_Operational"),"",INDEX(Operational_RawData!P:P,MATCH("5_Operational",Operational_RawData!$A:$A,0)+ROWS($2:23)-1))</f>
        <v>7.0000000000000007E-2</v>
      </c>
      <c r="Q23">
        <f>IF(ROWS($2:23)&gt;COUNTIF(Operational_RawData!$A:$A,"5_Operational"),"",INDEX(Operational_RawData!Q:Q,MATCH("5_Operational",Operational_RawData!$A:$A,0)+ROWS($2:23)-1))</f>
        <v>0.1</v>
      </c>
      <c r="R23" t="str">
        <f>IF(ROWS($2:23)&gt;COUNTIF(Operational_RawData!$A:$A,"5_Operational"),"",INDEX(Operational_RawData!R:R,MATCH("5_Operational",Operational_RawData!$A:$A,0)+ROWS($2:23)-1))</f>
        <v>Pass</v>
      </c>
      <c r="S23">
        <f>IF(ROWS($2:23)&gt;COUNTIF(Operational_RawData!$A:$A,"5_Operational"),"",INDEX(Operational_RawData!S:S,MATCH("5_Operational",Operational_RawData!$A:$A,0)+ROWS($2:23)-1))</f>
        <v>0</v>
      </c>
      <c r="T23">
        <f>IF(ROWS($2:23)&gt;COUNTIF(Operational_RawData!$A:$A,"5_Operational"),"",INDEX(Operational_RawData!T:T,MATCH("5_Operational",Operational_RawData!$A:$A,0)+ROWS($2:23)-1))</f>
        <v>0</v>
      </c>
    </row>
    <row r="24" spans="1:20">
      <c r="A24" t="str">
        <f>IF(ROWS($2:24)&gt;COUNTIF(Operational_RawData!$A:$A,"5_Operational"),"",INDEX(Operational_RawData!A:A,MATCH("5_Operational",Operational_RawData!$A:$A,0)+ROWS($2:24)-1))</f>
        <v>5_Operational</v>
      </c>
      <c r="B24">
        <f>IF(ROWS($2:24)&gt;COUNTIF(Operational_RawData!$A:$A,"5_Operational"),"",INDEX(Operational_RawData!B:B,MATCH("5_Operational",Operational_RawData!$A:$A,0)+ROWS($2:24)-1))</f>
        <v>144556.851</v>
      </c>
      <c r="C24">
        <f>IF(ROWS($2:24)&gt;COUNTIF(Operational_RawData!$A:$A,"5_Operational"),"",INDEX(Operational_RawData!C:C,MATCH("5_Operational",Operational_RawData!$A:$A,0)+ROWS($2:24)-1))</f>
        <v>16.579999999999998</v>
      </c>
      <c r="D24">
        <f>IF(ROWS($2:24)&gt;COUNTIF(Operational_RawData!$A:$A,"5_Operational"),"",INDEX(Operational_RawData!D:D,MATCH("5_Operational",Operational_RawData!$A:$A,0)+ROWS($2:24)-1))</f>
        <v>1308.6610000000001</v>
      </c>
      <c r="E24">
        <f>IF(ROWS($2:24)&gt;COUNTIF(Operational_RawData!$A:$A,"5_Operational"),"",INDEX(Operational_RawData!E:E,MATCH("5_Operational",Operational_RawData!$A:$A,0)+ROWS($2:24)-1))</f>
        <v>-0.04</v>
      </c>
      <c r="F24">
        <f>IF(ROWS($2:24)&gt;COUNTIF(Operational_RawData!$A:$A,"5_Operational"),"",INDEX(Operational_RawData!F:F,MATCH("5_Operational",Operational_RawData!$A:$A,0)+ROWS($2:24)-1))</f>
        <v>232</v>
      </c>
      <c r="G24">
        <f>IF(ROWS($2:24)&gt;COUNTIF(Operational_RawData!$A:$A,"5_Operational"),"",INDEX(Operational_RawData!G:G,MATCH("5_Operational",Operational_RawData!$A:$A,0)+ROWS($2:24)-1))</f>
        <v>232</v>
      </c>
      <c r="H24">
        <f>IF(ROWS($2:24)&gt;COUNTIF(Operational_RawData!$A:$A,"5_Operational"),"",INDEX(Operational_RawData!H:H,MATCH("5_Operational",Operational_RawData!$A:$A,0)+ROWS($2:24)-1))</f>
        <v>232</v>
      </c>
      <c r="I24">
        <f>IF(ROWS($2:24)&gt;COUNTIF(Operational_RawData!$A:$A,"5_Operational"),"",INDEX(Operational_RawData!I:I,MATCH("5_Operational",Operational_RawData!$A:$A,0)+ROWS($2:24)-1))</f>
        <v>232</v>
      </c>
      <c r="J24">
        <f>IF(ROWS($2:24)&gt;COUNTIF(Operational_RawData!$A:$A,"5_Operational"),"",INDEX(Operational_RawData!J:J,MATCH("5_Operational",Operational_RawData!$A:$A,0)+ROWS($2:24)-1))</f>
        <v>326.72000000000003</v>
      </c>
      <c r="K24">
        <f>IF(ROWS($2:24)&gt;COUNTIF(Operational_RawData!$A:$A,"5_Operational"),"",INDEX(Operational_RawData!K:K,MATCH("5_Operational",Operational_RawData!$A:$A,0)+ROWS($2:24)-1))</f>
        <v>326.72000000000003</v>
      </c>
      <c r="L24">
        <f>IF(ROWS($2:24)&gt;COUNTIF(Operational_RawData!$A:$A,"5_Operational"),"",INDEX(Operational_RawData!L:L,MATCH("5_Operational",Operational_RawData!$A:$A,0)+ROWS($2:24)-1))</f>
        <v>326.72000000000003</v>
      </c>
      <c r="M24">
        <f>IF(ROWS($2:24)&gt;COUNTIF(Operational_RawData!$A:$A,"5_Operational"),"",INDEX(Operational_RawData!M:M,MATCH("5_Operational",Operational_RawData!$A:$A,0)+ROWS($2:24)-1))</f>
        <v>326.72000000000003</v>
      </c>
      <c r="N24">
        <f>IF(ROWS($2:24)&gt;COUNTIF(Operational_RawData!$A:$A,"5_Operational"),"",INDEX(Operational_RawData!N:N,MATCH("5_Operational",Operational_RawData!$A:$A,0)+ROWS($2:24)-1))</f>
        <v>0.08</v>
      </c>
      <c r="O24">
        <f>IF(ROWS($2:24)&gt;COUNTIF(Operational_RawData!$A:$A,"5_Operational"),"",INDEX(Operational_RawData!O:O,MATCH("5_Operational",Operational_RawData!$A:$A,0)+ROWS($2:24)-1))</f>
        <v>0.15</v>
      </c>
      <c r="P24">
        <f>IF(ROWS($2:24)&gt;COUNTIF(Operational_RawData!$A:$A,"5_Operational"),"",INDEX(Operational_RawData!P:P,MATCH("5_Operational",Operational_RawData!$A:$A,0)+ROWS($2:24)-1))</f>
        <v>7.0000000000000007E-2</v>
      </c>
      <c r="Q24">
        <f>IF(ROWS($2:24)&gt;COUNTIF(Operational_RawData!$A:$A,"5_Operational"),"",INDEX(Operational_RawData!Q:Q,MATCH("5_Operational",Operational_RawData!$A:$A,0)+ROWS($2:24)-1))</f>
        <v>0.1</v>
      </c>
      <c r="R24" t="str">
        <f>IF(ROWS($2:24)&gt;COUNTIF(Operational_RawData!$A:$A,"5_Operational"),"",INDEX(Operational_RawData!R:R,MATCH("5_Operational",Operational_RawData!$A:$A,0)+ROWS($2:24)-1))</f>
        <v>Pass</v>
      </c>
      <c r="S24">
        <f>IF(ROWS($2:24)&gt;COUNTIF(Operational_RawData!$A:$A,"5_Operational"),"",INDEX(Operational_RawData!S:S,MATCH("5_Operational",Operational_RawData!$A:$A,0)+ROWS($2:24)-1))</f>
        <v>0</v>
      </c>
      <c r="T24">
        <f>IF(ROWS($2:24)&gt;COUNTIF(Operational_RawData!$A:$A,"5_Operational"),"",INDEX(Operational_RawData!T:T,MATCH("5_Operational",Operational_RawData!$A:$A,0)+ROWS($2:24)-1))</f>
        <v>0</v>
      </c>
    </row>
    <row r="25" spans="1:20">
      <c r="A25" t="str">
        <f>IF(ROWS($2:25)&gt;COUNTIF(Operational_RawData!$A:$A,"5_Operational"),"",INDEX(Operational_RawData!A:A,MATCH("5_Operational",Operational_RawData!$A:$A,0)+ROWS($2:25)-1))</f>
        <v>5_Operational</v>
      </c>
      <c r="B25">
        <f>IF(ROWS($2:25)&gt;COUNTIF(Operational_RawData!$A:$A,"5_Operational"),"",INDEX(Operational_RawData!B:B,MATCH("5_Operational",Operational_RawData!$A:$A,0)+ROWS($2:25)-1))</f>
        <v>144601.85500000001</v>
      </c>
      <c r="C25">
        <f>IF(ROWS($2:25)&gt;COUNTIF(Operational_RawData!$A:$A,"5_Operational"),"",INDEX(Operational_RawData!C:C,MATCH("5_Operational",Operational_RawData!$A:$A,0)+ROWS($2:25)-1))</f>
        <v>17.350000000000001</v>
      </c>
      <c r="D25">
        <f>IF(ROWS($2:25)&gt;COUNTIF(Operational_RawData!$A:$A,"5_Operational"),"",INDEX(Operational_RawData!D:D,MATCH("5_Operational",Operational_RawData!$A:$A,0)+ROWS($2:25)-1))</f>
        <v>1308.729</v>
      </c>
      <c r="E25">
        <f>IF(ROWS($2:25)&gt;COUNTIF(Operational_RawData!$A:$A,"5_Operational"),"",INDEX(Operational_RawData!E:E,MATCH("5_Operational",Operational_RawData!$A:$A,0)+ROWS($2:25)-1))</f>
        <v>0.06</v>
      </c>
      <c r="F25">
        <f>IF(ROWS($2:25)&gt;COUNTIF(Operational_RawData!$A:$A,"5_Operational"),"",INDEX(Operational_RawData!F:F,MATCH("5_Operational",Operational_RawData!$A:$A,0)+ROWS($2:25)-1))</f>
        <v>230.88</v>
      </c>
      <c r="G25">
        <f>IF(ROWS($2:25)&gt;COUNTIF(Operational_RawData!$A:$A,"5_Operational"),"",INDEX(Operational_RawData!G:G,MATCH("5_Operational",Operational_RawData!$A:$A,0)+ROWS($2:25)-1))</f>
        <v>230.88</v>
      </c>
      <c r="H25">
        <f>IF(ROWS($2:25)&gt;COUNTIF(Operational_RawData!$A:$A,"5_Operational"),"",INDEX(Operational_RawData!H:H,MATCH("5_Operational",Operational_RawData!$A:$A,0)+ROWS($2:25)-1))</f>
        <v>230.88</v>
      </c>
      <c r="I25">
        <f>IF(ROWS($2:25)&gt;COUNTIF(Operational_RawData!$A:$A,"5_Operational"),"",INDEX(Operational_RawData!I:I,MATCH("5_Operational",Operational_RawData!$A:$A,0)+ROWS($2:25)-1))</f>
        <v>230.88</v>
      </c>
      <c r="J25">
        <f>IF(ROWS($2:25)&gt;COUNTIF(Operational_RawData!$A:$A,"5_Operational"),"",INDEX(Operational_RawData!J:J,MATCH("5_Operational",Operational_RawData!$A:$A,0)+ROWS($2:25)-1))</f>
        <v>325.68</v>
      </c>
      <c r="K25">
        <f>IF(ROWS($2:25)&gt;COUNTIF(Operational_RawData!$A:$A,"5_Operational"),"",INDEX(Operational_RawData!K:K,MATCH("5_Operational",Operational_RawData!$A:$A,0)+ROWS($2:25)-1))</f>
        <v>325.68</v>
      </c>
      <c r="L25">
        <f>IF(ROWS($2:25)&gt;COUNTIF(Operational_RawData!$A:$A,"5_Operational"),"",INDEX(Operational_RawData!L:L,MATCH("5_Operational",Operational_RawData!$A:$A,0)+ROWS($2:25)-1))</f>
        <v>325.68</v>
      </c>
      <c r="M25">
        <f>IF(ROWS($2:25)&gt;COUNTIF(Operational_RawData!$A:$A,"5_Operational"),"",INDEX(Operational_RawData!M:M,MATCH("5_Operational",Operational_RawData!$A:$A,0)+ROWS($2:25)-1))</f>
        <v>325.68</v>
      </c>
      <c r="N25">
        <f>IF(ROWS($2:25)&gt;COUNTIF(Operational_RawData!$A:$A,"5_Operational"),"",INDEX(Operational_RawData!N:N,MATCH("5_Operational",Operational_RawData!$A:$A,0)+ROWS($2:25)-1))</f>
        <v>0.09</v>
      </c>
      <c r="O25">
        <f>IF(ROWS($2:25)&gt;COUNTIF(Operational_RawData!$A:$A,"5_Operational"),"",INDEX(Operational_RawData!O:O,MATCH("5_Operational",Operational_RawData!$A:$A,0)+ROWS($2:25)-1))</f>
        <v>0.15</v>
      </c>
      <c r="P25">
        <f>IF(ROWS($2:25)&gt;COUNTIF(Operational_RawData!$A:$A,"5_Operational"),"",INDEX(Operational_RawData!P:P,MATCH("5_Operational",Operational_RawData!$A:$A,0)+ROWS($2:25)-1))</f>
        <v>7.0000000000000007E-2</v>
      </c>
      <c r="Q25">
        <f>IF(ROWS($2:25)&gt;COUNTIF(Operational_RawData!$A:$A,"5_Operational"),"",INDEX(Operational_RawData!Q:Q,MATCH("5_Operational",Operational_RawData!$A:$A,0)+ROWS($2:25)-1))</f>
        <v>0.1</v>
      </c>
      <c r="R25" t="str">
        <f>IF(ROWS($2:25)&gt;COUNTIF(Operational_RawData!$A:$A,"5_Operational"),"",INDEX(Operational_RawData!R:R,MATCH("5_Operational",Operational_RawData!$A:$A,0)+ROWS($2:25)-1))</f>
        <v>Pass</v>
      </c>
      <c r="S25">
        <f>IF(ROWS($2:25)&gt;COUNTIF(Operational_RawData!$A:$A,"5_Operational"),"",INDEX(Operational_RawData!S:S,MATCH("5_Operational",Operational_RawData!$A:$A,0)+ROWS($2:25)-1))</f>
        <v>0</v>
      </c>
      <c r="T25">
        <f>IF(ROWS($2:25)&gt;COUNTIF(Operational_RawData!$A:$A,"5_Operational"),"",INDEX(Operational_RawData!T:T,MATCH("5_Operational",Operational_RawData!$A:$A,0)+ROWS($2:25)-1))</f>
        <v>0</v>
      </c>
    </row>
    <row r="26" spans="1:20">
      <c r="A26" t="str">
        <f>IF(ROWS($2:26)&gt;COUNTIF(Operational_RawData!$A:$A,"5_Operational"),"",INDEX(Operational_RawData!A:A,MATCH("5_Operational",Operational_RawData!$A:$A,0)+ROWS($2:26)-1))</f>
        <v>5_Operational</v>
      </c>
      <c r="B26">
        <f>IF(ROWS($2:26)&gt;COUNTIF(Operational_RawData!$A:$A,"5_Operational"),"",INDEX(Operational_RawData!B:B,MATCH("5_Operational",Operational_RawData!$A:$A,0)+ROWS($2:26)-1))</f>
        <v>144606.85399999999</v>
      </c>
      <c r="C26">
        <f>IF(ROWS($2:26)&gt;COUNTIF(Operational_RawData!$A:$A,"5_Operational"),"",INDEX(Operational_RawData!C:C,MATCH("5_Operational",Operational_RawData!$A:$A,0)+ROWS($2:26)-1))</f>
        <v>18.079999999999998</v>
      </c>
      <c r="D26">
        <f>IF(ROWS($2:26)&gt;COUNTIF(Operational_RawData!$A:$A,"5_Operational"),"",INDEX(Operational_RawData!D:D,MATCH("5_Operational",Operational_RawData!$A:$A,0)+ROWS($2:26)-1))</f>
        <v>1308.7929999999999</v>
      </c>
      <c r="E26">
        <f>IF(ROWS($2:26)&gt;COUNTIF(Operational_RawData!$A:$A,"5_Operational"),"",INDEX(Operational_RawData!E:E,MATCH("5_Operational",Operational_RawData!$A:$A,0)+ROWS($2:26)-1))</f>
        <v>0.09</v>
      </c>
      <c r="F26">
        <f>IF(ROWS($2:26)&gt;COUNTIF(Operational_RawData!$A:$A,"5_Operational"),"",INDEX(Operational_RawData!F:F,MATCH("5_Operational",Operational_RawData!$A:$A,0)+ROWS($2:26)-1))</f>
        <v>229.76</v>
      </c>
      <c r="G26">
        <f>IF(ROWS($2:26)&gt;COUNTIF(Operational_RawData!$A:$A,"5_Operational"),"",INDEX(Operational_RawData!G:G,MATCH("5_Operational",Operational_RawData!$A:$A,0)+ROWS($2:26)-1))</f>
        <v>229.76</v>
      </c>
      <c r="H26">
        <f>IF(ROWS($2:26)&gt;COUNTIF(Operational_RawData!$A:$A,"5_Operational"),"",INDEX(Operational_RawData!H:H,MATCH("5_Operational",Operational_RawData!$A:$A,0)+ROWS($2:26)-1))</f>
        <v>229.76</v>
      </c>
      <c r="I26">
        <f>IF(ROWS($2:26)&gt;COUNTIF(Operational_RawData!$A:$A,"5_Operational"),"",INDEX(Operational_RawData!I:I,MATCH("5_Operational",Operational_RawData!$A:$A,0)+ROWS($2:26)-1))</f>
        <v>229.76</v>
      </c>
      <c r="J26">
        <f>IF(ROWS($2:26)&gt;COUNTIF(Operational_RawData!$A:$A,"5_Operational"),"",INDEX(Operational_RawData!J:J,MATCH("5_Operational",Operational_RawData!$A:$A,0)+ROWS($2:26)-1))</f>
        <v>324.76</v>
      </c>
      <c r="K26">
        <f>IF(ROWS($2:26)&gt;COUNTIF(Operational_RawData!$A:$A,"5_Operational"),"",INDEX(Operational_RawData!K:K,MATCH("5_Operational",Operational_RawData!$A:$A,0)+ROWS($2:26)-1))</f>
        <v>324.76</v>
      </c>
      <c r="L26">
        <f>IF(ROWS($2:26)&gt;COUNTIF(Operational_RawData!$A:$A,"5_Operational"),"",INDEX(Operational_RawData!L:L,MATCH("5_Operational",Operational_RawData!$A:$A,0)+ROWS($2:26)-1))</f>
        <v>324.76</v>
      </c>
      <c r="M26">
        <f>IF(ROWS($2:26)&gt;COUNTIF(Operational_RawData!$A:$A,"5_Operational"),"",INDEX(Operational_RawData!M:M,MATCH("5_Operational",Operational_RawData!$A:$A,0)+ROWS($2:26)-1))</f>
        <v>324.76</v>
      </c>
      <c r="N26">
        <f>IF(ROWS($2:26)&gt;COUNTIF(Operational_RawData!$A:$A,"5_Operational"),"",INDEX(Operational_RawData!N:N,MATCH("5_Operational",Operational_RawData!$A:$A,0)+ROWS($2:26)-1))</f>
        <v>0.09</v>
      </c>
      <c r="O26">
        <f>IF(ROWS($2:26)&gt;COUNTIF(Operational_RawData!$A:$A,"5_Operational"),"",INDEX(Operational_RawData!O:O,MATCH("5_Operational",Operational_RawData!$A:$A,0)+ROWS($2:26)-1))</f>
        <v>0.15</v>
      </c>
      <c r="P26">
        <f>IF(ROWS($2:26)&gt;COUNTIF(Operational_RawData!$A:$A,"5_Operational"),"",INDEX(Operational_RawData!P:P,MATCH("5_Operational",Operational_RawData!$A:$A,0)+ROWS($2:26)-1))</f>
        <v>7.0000000000000007E-2</v>
      </c>
      <c r="Q26">
        <f>IF(ROWS($2:26)&gt;COUNTIF(Operational_RawData!$A:$A,"5_Operational"),"",INDEX(Operational_RawData!Q:Q,MATCH("5_Operational",Operational_RawData!$A:$A,0)+ROWS($2:26)-1))</f>
        <v>0.1</v>
      </c>
      <c r="R26" t="str">
        <f>IF(ROWS($2:26)&gt;COUNTIF(Operational_RawData!$A:$A,"5_Operational"),"",INDEX(Operational_RawData!R:R,MATCH("5_Operational",Operational_RawData!$A:$A,0)+ROWS($2:26)-1))</f>
        <v>Pass</v>
      </c>
      <c r="S26">
        <f>IF(ROWS($2:26)&gt;COUNTIF(Operational_RawData!$A:$A,"5_Operational"),"",INDEX(Operational_RawData!S:S,MATCH("5_Operational",Operational_RawData!$A:$A,0)+ROWS($2:26)-1))</f>
        <v>0</v>
      </c>
      <c r="T26">
        <f>IF(ROWS($2:26)&gt;COUNTIF(Operational_RawData!$A:$A,"5_Operational"),"",INDEX(Operational_RawData!T:T,MATCH("5_Operational",Operational_RawData!$A:$A,0)+ROWS($2:26)-1))</f>
        <v>0</v>
      </c>
    </row>
    <row r="27" spans="1:20">
      <c r="A27" t="str">
        <f>IF(ROWS($2:27)&gt;COUNTIF(Operational_RawData!$A:$A,"5_Operational"),"",INDEX(Operational_RawData!A:A,MATCH("5_Operational",Operational_RawData!$A:$A,0)+ROWS($2:27)-1))</f>
        <v>5_Operational</v>
      </c>
      <c r="B27">
        <f>IF(ROWS($2:27)&gt;COUNTIF(Operational_RawData!$A:$A,"5_Operational"),"",INDEX(Operational_RawData!B:B,MATCH("5_Operational",Operational_RawData!$A:$A,0)+ROWS($2:27)-1))</f>
        <v>144611.859</v>
      </c>
      <c r="C27">
        <f>IF(ROWS($2:27)&gt;COUNTIF(Operational_RawData!$A:$A,"5_Operational"),"",INDEX(Operational_RawData!C:C,MATCH("5_Operational",Operational_RawData!$A:$A,0)+ROWS($2:27)-1))</f>
        <v>18.84</v>
      </c>
      <c r="D27">
        <f>IF(ROWS($2:27)&gt;COUNTIF(Operational_RawData!$A:$A,"5_Operational"),"",INDEX(Operational_RawData!D:D,MATCH("5_Operational",Operational_RawData!$A:$A,0)+ROWS($2:27)-1))</f>
        <v>1308.8510000000001</v>
      </c>
      <c r="E27">
        <f>IF(ROWS($2:27)&gt;COUNTIF(Operational_RawData!$A:$A,"5_Operational"),"",INDEX(Operational_RawData!E:E,MATCH("5_Operational",Operational_RawData!$A:$A,0)+ROWS($2:27)-1))</f>
        <v>0.13</v>
      </c>
      <c r="F27">
        <f>IF(ROWS($2:27)&gt;COUNTIF(Operational_RawData!$A:$A,"5_Operational"),"",INDEX(Operational_RawData!F:F,MATCH("5_Operational",Operational_RawData!$A:$A,0)+ROWS($2:27)-1))</f>
        <v>228.8</v>
      </c>
      <c r="G27">
        <f>IF(ROWS($2:27)&gt;COUNTIF(Operational_RawData!$A:$A,"5_Operational"),"",INDEX(Operational_RawData!G:G,MATCH("5_Operational",Operational_RawData!$A:$A,0)+ROWS($2:27)-1))</f>
        <v>228.8</v>
      </c>
      <c r="H27">
        <f>IF(ROWS($2:27)&gt;COUNTIF(Operational_RawData!$A:$A,"5_Operational"),"",INDEX(Operational_RawData!H:H,MATCH("5_Operational",Operational_RawData!$A:$A,0)+ROWS($2:27)-1))</f>
        <v>228.8</v>
      </c>
      <c r="I27">
        <f>IF(ROWS($2:27)&gt;COUNTIF(Operational_RawData!$A:$A,"5_Operational"),"",INDEX(Operational_RawData!I:I,MATCH("5_Operational",Operational_RawData!$A:$A,0)+ROWS($2:27)-1))</f>
        <v>228.8</v>
      </c>
      <c r="J27">
        <f>IF(ROWS($2:27)&gt;COUNTIF(Operational_RawData!$A:$A,"5_Operational"),"",INDEX(Operational_RawData!J:J,MATCH("5_Operational",Operational_RawData!$A:$A,0)+ROWS($2:27)-1))</f>
        <v>323.88</v>
      </c>
      <c r="K27">
        <f>IF(ROWS($2:27)&gt;COUNTIF(Operational_RawData!$A:$A,"5_Operational"),"",INDEX(Operational_RawData!K:K,MATCH("5_Operational",Operational_RawData!$A:$A,0)+ROWS($2:27)-1))</f>
        <v>323.88</v>
      </c>
      <c r="L27">
        <f>IF(ROWS($2:27)&gt;COUNTIF(Operational_RawData!$A:$A,"5_Operational"),"",INDEX(Operational_RawData!L:L,MATCH("5_Operational",Operational_RawData!$A:$A,0)+ROWS($2:27)-1))</f>
        <v>323.88</v>
      </c>
      <c r="M27">
        <f>IF(ROWS($2:27)&gt;COUNTIF(Operational_RawData!$A:$A,"5_Operational"),"",INDEX(Operational_RawData!M:M,MATCH("5_Operational",Operational_RawData!$A:$A,0)+ROWS($2:27)-1))</f>
        <v>323.88</v>
      </c>
      <c r="N27">
        <f>IF(ROWS($2:27)&gt;COUNTIF(Operational_RawData!$A:$A,"5_Operational"),"",INDEX(Operational_RawData!N:N,MATCH("5_Operational",Operational_RawData!$A:$A,0)+ROWS($2:27)-1))</f>
        <v>0.08</v>
      </c>
      <c r="O27">
        <f>IF(ROWS($2:27)&gt;COUNTIF(Operational_RawData!$A:$A,"5_Operational"),"",INDEX(Operational_RawData!O:O,MATCH("5_Operational",Operational_RawData!$A:$A,0)+ROWS($2:27)-1))</f>
        <v>0.15</v>
      </c>
      <c r="P27">
        <f>IF(ROWS($2:27)&gt;COUNTIF(Operational_RawData!$A:$A,"5_Operational"),"",INDEX(Operational_RawData!P:P,MATCH("5_Operational",Operational_RawData!$A:$A,0)+ROWS($2:27)-1))</f>
        <v>7.0000000000000007E-2</v>
      </c>
      <c r="Q27">
        <f>IF(ROWS($2:27)&gt;COUNTIF(Operational_RawData!$A:$A,"5_Operational"),"",INDEX(Operational_RawData!Q:Q,MATCH("5_Operational",Operational_RawData!$A:$A,0)+ROWS($2:27)-1))</f>
        <v>0.1</v>
      </c>
      <c r="R27" t="str">
        <f>IF(ROWS($2:27)&gt;COUNTIF(Operational_RawData!$A:$A,"5_Operational"),"",INDEX(Operational_RawData!R:R,MATCH("5_Operational",Operational_RawData!$A:$A,0)+ROWS($2:27)-1))</f>
        <v>Pass</v>
      </c>
      <c r="S27">
        <f>IF(ROWS($2:27)&gt;COUNTIF(Operational_RawData!$A:$A,"5_Operational"),"",INDEX(Operational_RawData!S:S,MATCH("5_Operational",Operational_RawData!$A:$A,0)+ROWS($2:27)-1))</f>
        <v>0</v>
      </c>
      <c r="T27">
        <f>IF(ROWS($2:27)&gt;COUNTIF(Operational_RawData!$A:$A,"5_Operational"),"",INDEX(Operational_RawData!T:T,MATCH("5_Operational",Operational_RawData!$A:$A,0)+ROWS($2:27)-1))</f>
        <v>0</v>
      </c>
    </row>
    <row r="28" spans="1:20">
      <c r="A28" t="str">
        <f>IF(ROWS($2:28)&gt;COUNTIF(Operational_RawData!$A:$A,"5_Operational"),"",INDEX(Operational_RawData!A:A,MATCH("5_Operational",Operational_RawData!$A:$A,0)+ROWS($2:28)-1))</f>
        <v>5_Operational</v>
      </c>
      <c r="B28">
        <f>IF(ROWS($2:28)&gt;COUNTIF(Operational_RawData!$A:$A,"5_Operational"),"",INDEX(Operational_RawData!B:B,MATCH("5_Operational",Operational_RawData!$A:$A,0)+ROWS($2:28)-1))</f>
        <v>144616.853</v>
      </c>
      <c r="C28">
        <f>IF(ROWS($2:28)&gt;COUNTIF(Operational_RawData!$A:$A,"5_Operational"),"",INDEX(Operational_RawData!C:C,MATCH("5_Operational",Operational_RawData!$A:$A,0)+ROWS($2:28)-1))</f>
        <v>19.559999999999999</v>
      </c>
      <c r="D28">
        <f>IF(ROWS($2:28)&gt;COUNTIF(Operational_RawData!$A:$A,"5_Operational"),"",INDEX(Operational_RawData!D:D,MATCH("5_Operational",Operational_RawData!$A:$A,0)+ROWS($2:28)-1))</f>
        <v>1308.921</v>
      </c>
      <c r="E28">
        <f>IF(ROWS($2:28)&gt;COUNTIF(Operational_RawData!$A:$A,"5_Operational"),"",INDEX(Operational_RawData!E:E,MATCH("5_Operational",Operational_RawData!$A:$A,0)+ROWS($2:28)-1))</f>
        <v>0.15</v>
      </c>
      <c r="F28">
        <f>IF(ROWS($2:28)&gt;COUNTIF(Operational_RawData!$A:$A,"5_Operational"),"",INDEX(Operational_RawData!F:F,MATCH("5_Operational",Operational_RawData!$A:$A,0)+ROWS($2:28)-1))</f>
        <v>227.8</v>
      </c>
      <c r="G28">
        <f>IF(ROWS($2:28)&gt;COUNTIF(Operational_RawData!$A:$A,"5_Operational"),"",INDEX(Operational_RawData!G:G,MATCH("5_Operational",Operational_RawData!$A:$A,0)+ROWS($2:28)-1))</f>
        <v>227.8</v>
      </c>
      <c r="H28">
        <f>IF(ROWS($2:28)&gt;COUNTIF(Operational_RawData!$A:$A,"5_Operational"),"",INDEX(Operational_RawData!H:H,MATCH("5_Operational",Operational_RawData!$A:$A,0)+ROWS($2:28)-1))</f>
        <v>227.8</v>
      </c>
      <c r="I28">
        <f>IF(ROWS($2:28)&gt;COUNTIF(Operational_RawData!$A:$A,"5_Operational"),"",INDEX(Operational_RawData!I:I,MATCH("5_Operational",Operational_RawData!$A:$A,0)+ROWS($2:28)-1))</f>
        <v>227.8</v>
      </c>
      <c r="J28">
        <f>IF(ROWS($2:28)&gt;COUNTIF(Operational_RawData!$A:$A,"5_Operational"),"",INDEX(Operational_RawData!J:J,MATCH("5_Operational",Operational_RawData!$A:$A,0)+ROWS($2:28)-1))</f>
        <v>323.12</v>
      </c>
      <c r="K28">
        <f>IF(ROWS($2:28)&gt;COUNTIF(Operational_RawData!$A:$A,"5_Operational"),"",INDEX(Operational_RawData!K:K,MATCH("5_Operational",Operational_RawData!$A:$A,0)+ROWS($2:28)-1))</f>
        <v>323.12</v>
      </c>
      <c r="L28">
        <f>IF(ROWS($2:28)&gt;COUNTIF(Operational_RawData!$A:$A,"5_Operational"),"",INDEX(Operational_RawData!L:L,MATCH("5_Operational",Operational_RawData!$A:$A,0)+ROWS($2:28)-1))</f>
        <v>323.12</v>
      </c>
      <c r="M28">
        <f>IF(ROWS($2:28)&gt;COUNTIF(Operational_RawData!$A:$A,"5_Operational"),"",INDEX(Operational_RawData!M:M,MATCH("5_Operational",Operational_RawData!$A:$A,0)+ROWS($2:28)-1))</f>
        <v>323.12</v>
      </c>
      <c r="N28">
        <f>IF(ROWS($2:28)&gt;COUNTIF(Operational_RawData!$A:$A,"5_Operational"),"",INDEX(Operational_RawData!N:N,MATCH("5_Operational",Operational_RawData!$A:$A,0)+ROWS($2:28)-1))</f>
        <v>0.1</v>
      </c>
      <c r="O28">
        <f>IF(ROWS($2:28)&gt;COUNTIF(Operational_RawData!$A:$A,"5_Operational"),"",INDEX(Operational_RawData!O:O,MATCH("5_Operational",Operational_RawData!$A:$A,0)+ROWS($2:28)-1))</f>
        <v>0.15</v>
      </c>
      <c r="P28">
        <f>IF(ROWS($2:28)&gt;COUNTIF(Operational_RawData!$A:$A,"5_Operational"),"",INDEX(Operational_RawData!P:P,MATCH("5_Operational",Operational_RawData!$A:$A,0)+ROWS($2:28)-1))</f>
        <v>7.0000000000000007E-2</v>
      </c>
      <c r="Q28">
        <f>IF(ROWS($2:28)&gt;COUNTIF(Operational_RawData!$A:$A,"5_Operational"),"",INDEX(Operational_RawData!Q:Q,MATCH("5_Operational",Operational_RawData!$A:$A,0)+ROWS($2:28)-1))</f>
        <v>0.1</v>
      </c>
      <c r="R28" t="str">
        <f>IF(ROWS($2:28)&gt;COUNTIF(Operational_RawData!$A:$A,"5_Operational"),"",INDEX(Operational_RawData!R:R,MATCH("5_Operational",Operational_RawData!$A:$A,0)+ROWS($2:28)-1))</f>
        <v>Pass</v>
      </c>
      <c r="S28">
        <f>IF(ROWS($2:28)&gt;COUNTIF(Operational_RawData!$A:$A,"5_Operational"),"",INDEX(Operational_RawData!S:S,MATCH("5_Operational",Operational_RawData!$A:$A,0)+ROWS($2:28)-1))</f>
        <v>0</v>
      </c>
      <c r="T28">
        <f>IF(ROWS($2:28)&gt;COUNTIF(Operational_RawData!$A:$A,"5_Operational"),"",INDEX(Operational_RawData!T:T,MATCH("5_Operational",Operational_RawData!$A:$A,0)+ROWS($2:28)-1))</f>
        <v>0</v>
      </c>
    </row>
    <row r="29" spans="1:20">
      <c r="A29" t="str">
        <f>IF(ROWS($2:29)&gt;COUNTIF(Operational_RawData!$A:$A,"5_Operational"),"",INDEX(Operational_RawData!A:A,MATCH("5_Operational",Operational_RawData!$A:$A,0)+ROWS($2:29)-1))</f>
        <v>5_Operational</v>
      </c>
      <c r="B29">
        <f>IF(ROWS($2:29)&gt;COUNTIF(Operational_RawData!$A:$A,"5_Operational"),"",INDEX(Operational_RawData!B:B,MATCH("5_Operational",Operational_RawData!$A:$A,0)+ROWS($2:29)-1))</f>
        <v>144621.856</v>
      </c>
      <c r="C29">
        <f>IF(ROWS($2:29)&gt;COUNTIF(Operational_RawData!$A:$A,"5_Operational"),"",INDEX(Operational_RawData!C:C,MATCH("5_Operational",Operational_RawData!$A:$A,0)+ROWS($2:29)-1))</f>
        <v>20.32</v>
      </c>
      <c r="D29">
        <f>IF(ROWS($2:29)&gt;COUNTIF(Operational_RawData!$A:$A,"5_Operational"),"",INDEX(Operational_RawData!D:D,MATCH("5_Operational",Operational_RawData!$A:$A,0)+ROWS($2:29)-1))</f>
        <v>1308.9860000000001</v>
      </c>
      <c r="E29">
        <f>IF(ROWS($2:29)&gt;COUNTIF(Operational_RawData!$A:$A,"5_Operational"),"",INDEX(Operational_RawData!E:E,MATCH("5_Operational",Operational_RawData!$A:$A,0)+ROWS($2:29)-1))</f>
        <v>0.13</v>
      </c>
      <c r="F29">
        <f>IF(ROWS($2:29)&gt;COUNTIF(Operational_RawData!$A:$A,"5_Operational"),"",INDEX(Operational_RawData!F:F,MATCH("5_Operational",Operational_RawData!$A:$A,0)+ROWS($2:29)-1))</f>
        <v>227</v>
      </c>
      <c r="G29">
        <f>IF(ROWS($2:29)&gt;COUNTIF(Operational_RawData!$A:$A,"5_Operational"),"",INDEX(Operational_RawData!G:G,MATCH("5_Operational",Operational_RawData!$A:$A,0)+ROWS($2:29)-1))</f>
        <v>227</v>
      </c>
      <c r="H29">
        <f>IF(ROWS($2:29)&gt;COUNTIF(Operational_RawData!$A:$A,"5_Operational"),"",INDEX(Operational_RawData!H:H,MATCH("5_Operational",Operational_RawData!$A:$A,0)+ROWS($2:29)-1))</f>
        <v>227</v>
      </c>
      <c r="I29">
        <f>IF(ROWS($2:29)&gt;COUNTIF(Operational_RawData!$A:$A,"5_Operational"),"",INDEX(Operational_RawData!I:I,MATCH("5_Operational",Operational_RawData!$A:$A,0)+ROWS($2:29)-1))</f>
        <v>227</v>
      </c>
      <c r="J29">
        <f>IF(ROWS($2:29)&gt;COUNTIF(Operational_RawData!$A:$A,"5_Operational"),"",INDEX(Operational_RawData!J:J,MATCH("5_Operational",Operational_RawData!$A:$A,0)+ROWS($2:29)-1))</f>
        <v>322.32</v>
      </c>
      <c r="K29">
        <f>IF(ROWS($2:29)&gt;COUNTIF(Operational_RawData!$A:$A,"5_Operational"),"",INDEX(Operational_RawData!K:K,MATCH("5_Operational",Operational_RawData!$A:$A,0)+ROWS($2:29)-1))</f>
        <v>322.32</v>
      </c>
      <c r="L29">
        <f>IF(ROWS($2:29)&gt;COUNTIF(Operational_RawData!$A:$A,"5_Operational"),"",INDEX(Operational_RawData!L:L,MATCH("5_Operational",Operational_RawData!$A:$A,0)+ROWS($2:29)-1))</f>
        <v>322.32</v>
      </c>
      <c r="M29">
        <f>IF(ROWS($2:29)&gt;COUNTIF(Operational_RawData!$A:$A,"5_Operational"),"",INDEX(Operational_RawData!M:M,MATCH("5_Operational",Operational_RawData!$A:$A,0)+ROWS($2:29)-1))</f>
        <v>322.32</v>
      </c>
      <c r="N29">
        <f>IF(ROWS($2:29)&gt;COUNTIF(Operational_RawData!$A:$A,"5_Operational"),"",INDEX(Operational_RawData!N:N,MATCH("5_Operational",Operational_RawData!$A:$A,0)+ROWS($2:29)-1))</f>
        <v>0.09</v>
      </c>
      <c r="O29">
        <f>IF(ROWS($2:29)&gt;COUNTIF(Operational_RawData!$A:$A,"5_Operational"),"",INDEX(Operational_RawData!O:O,MATCH("5_Operational",Operational_RawData!$A:$A,0)+ROWS($2:29)-1))</f>
        <v>0.15</v>
      </c>
      <c r="P29">
        <f>IF(ROWS($2:29)&gt;COUNTIF(Operational_RawData!$A:$A,"5_Operational"),"",INDEX(Operational_RawData!P:P,MATCH("5_Operational",Operational_RawData!$A:$A,0)+ROWS($2:29)-1))</f>
        <v>7.0000000000000007E-2</v>
      </c>
      <c r="Q29">
        <f>IF(ROWS($2:29)&gt;COUNTIF(Operational_RawData!$A:$A,"5_Operational"),"",INDEX(Operational_RawData!Q:Q,MATCH("5_Operational",Operational_RawData!$A:$A,0)+ROWS($2:29)-1))</f>
        <v>0.1</v>
      </c>
      <c r="R29" t="str">
        <f>IF(ROWS($2:29)&gt;COUNTIF(Operational_RawData!$A:$A,"5_Operational"),"",INDEX(Operational_RawData!R:R,MATCH("5_Operational",Operational_RawData!$A:$A,0)+ROWS($2:29)-1))</f>
        <v>Pass</v>
      </c>
      <c r="S29">
        <f>IF(ROWS($2:29)&gt;COUNTIF(Operational_RawData!$A:$A,"5_Operational"),"",INDEX(Operational_RawData!S:S,MATCH("5_Operational",Operational_RawData!$A:$A,0)+ROWS($2:29)-1))</f>
        <v>0</v>
      </c>
      <c r="T29">
        <f>IF(ROWS($2:29)&gt;COUNTIF(Operational_RawData!$A:$A,"5_Operational"),"",INDEX(Operational_RawData!T:T,MATCH("5_Operational",Operational_RawData!$A:$A,0)+ROWS($2:29)-1))</f>
        <v>0</v>
      </c>
    </row>
    <row r="30" spans="1:20">
      <c r="A30" t="str">
        <f>IF(ROWS($2:30)&gt;COUNTIF(Operational_RawData!$A:$A,"5_Operational"),"",INDEX(Operational_RawData!A:A,MATCH("5_Operational",Operational_RawData!$A:$A,0)+ROWS($2:30)-1))</f>
        <v>5_Operational</v>
      </c>
      <c r="B30">
        <f>IF(ROWS($2:30)&gt;COUNTIF(Operational_RawData!$A:$A,"5_Operational"),"",INDEX(Operational_RawData!B:B,MATCH("5_Operational",Operational_RawData!$A:$A,0)+ROWS($2:30)-1))</f>
        <v>144626.85800000001</v>
      </c>
      <c r="C30">
        <f>IF(ROWS($2:30)&gt;COUNTIF(Operational_RawData!$A:$A,"5_Operational"),"",INDEX(Operational_RawData!C:C,MATCH("5_Operational",Operational_RawData!$A:$A,0)+ROWS($2:30)-1))</f>
        <v>21.09</v>
      </c>
      <c r="D30">
        <f>IF(ROWS($2:30)&gt;COUNTIF(Operational_RawData!$A:$A,"5_Operational"),"",INDEX(Operational_RawData!D:D,MATCH("5_Operational",Operational_RawData!$A:$A,0)+ROWS($2:30)-1))</f>
        <v>1309.0440000000001</v>
      </c>
      <c r="E30">
        <f>IF(ROWS($2:30)&gt;COUNTIF(Operational_RawData!$A:$A,"5_Operational"),"",INDEX(Operational_RawData!E:E,MATCH("5_Operational",Operational_RawData!$A:$A,0)+ROWS($2:30)-1))</f>
        <v>0.14000000000000001</v>
      </c>
      <c r="F30">
        <f>IF(ROWS($2:30)&gt;COUNTIF(Operational_RawData!$A:$A,"5_Operational"),"",INDEX(Operational_RawData!F:F,MATCH("5_Operational",Operational_RawData!$A:$A,0)+ROWS($2:30)-1))</f>
        <v>226.16</v>
      </c>
      <c r="G30">
        <f>IF(ROWS($2:30)&gt;COUNTIF(Operational_RawData!$A:$A,"5_Operational"),"",INDEX(Operational_RawData!G:G,MATCH("5_Operational",Operational_RawData!$A:$A,0)+ROWS($2:30)-1))</f>
        <v>226.16</v>
      </c>
      <c r="H30">
        <f>IF(ROWS($2:30)&gt;COUNTIF(Operational_RawData!$A:$A,"5_Operational"),"",INDEX(Operational_RawData!H:H,MATCH("5_Operational",Operational_RawData!$A:$A,0)+ROWS($2:30)-1))</f>
        <v>226.16</v>
      </c>
      <c r="I30">
        <f>IF(ROWS($2:30)&gt;COUNTIF(Operational_RawData!$A:$A,"5_Operational"),"",INDEX(Operational_RawData!I:I,MATCH("5_Operational",Operational_RawData!$A:$A,0)+ROWS($2:30)-1))</f>
        <v>226.16</v>
      </c>
      <c r="J30">
        <f>IF(ROWS($2:30)&gt;COUNTIF(Operational_RawData!$A:$A,"5_Operational"),"",INDEX(Operational_RawData!J:J,MATCH("5_Operational",Operational_RawData!$A:$A,0)+ROWS($2:30)-1))</f>
        <v>321.8</v>
      </c>
      <c r="K30">
        <f>IF(ROWS($2:30)&gt;COUNTIF(Operational_RawData!$A:$A,"5_Operational"),"",INDEX(Operational_RawData!K:K,MATCH("5_Operational",Operational_RawData!$A:$A,0)+ROWS($2:30)-1))</f>
        <v>321.8</v>
      </c>
      <c r="L30">
        <f>IF(ROWS($2:30)&gt;COUNTIF(Operational_RawData!$A:$A,"5_Operational"),"",INDEX(Operational_RawData!L:L,MATCH("5_Operational",Operational_RawData!$A:$A,0)+ROWS($2:30)-1))</f>
        <v>321.8</v>
      </c>
      <c r="M30">
        <f>IF(ROWS($2:30)&gt;COUNTIF(Operational_RawData!$A:$A,"5_Operational"),"",INDEX(Operational_RawData!M:M,MATCH("5_Operational",Operational_RawData!$A:$A,0)+ROWS($2:30)-1))</f>
        <v>321.8</v>
      </c>
      <c r="N30">
        <f>IF(ROWS($2:30)&gt;COUNTIF(Operational_RawData!$A:$A,"5_Operational"),"",INDEX(Operational_RawData!N:N,MATCH("5_Operational",Operational_RawData!$A:$A,0)+ROWS($2:30)-1))</f>
        <v>0.08</v>
      </c>
      <c r="O30">
        <f>IF(ROWS($2:30)&gt;COUNTIF(Operational_RawData!$A:$A,"5_Operational"),"",INDEX(Operational_RawData!O:O,MATCH("5_Operational",Operational_RawData!$A:$A,0)+ROWS($2:30)-1))</f>
        <v>0.15</v>
      </c>
      <c r="P30">
        <f>IF(ROWS($2:30)&gt;COUNTIF(Operational_RawData!$A:$A,"5_Operational"),"",INDEX(Operational_RawData!P:P,MATCH("5_Operational",Operational_RawData!$A:$A,0)+ROWS($2:30)-1))</f>
        <v>7.0000000000000007E-2</v>
      </c>
      <c r="Q30">
        <f>IF(ROWS($2:30)&gt;COUNTIF(Operational_RawData!$A:$A,"5_Operational"),"",INDEX(Operational_RawData!Q:Q,MATCH("5_Operational",Operational_RawData!$A:$A,0)+ROWS($2:30)-1))</f>
        <v>0.1</v>
      </c>
      <c r="R30" t="str">
        <f>IF(ROWS($2:30)&gt;COUNTIF(Operational_RawData!$A:$A,"5_Operational"),"",INDEX(Operational_RawData!R:R,MATCH("5_Operational",Operational_RawData!$A:$A,0)+ROWS($2:30)-1))</f>
        <v>Pass</v>
      </c>
      <c r="S30">
        <f>IF(ROWS($2:30)&gt;COUNTIF(Operational_RawData!$A:$A,"5_Operational"),"",INDEX(Operational_RawData!S:S,MATCH("5_Operational",Operational_RawData!$A:$A,0)+ROWS($2:30)-1))</f>
        <v>0</v>
      </c>
      <c r="T30">
        <f>IF(ROWS($2:30)&gt;COUNTIF(Operational_RawData!$A:$A,"5_Operational"),"",INDEX(Operational_RawData!T:T,MATCH("5_Operational",Operational_RawData!$A:$A,0)+ROWS($2:30)-1))</f>
        <v>0</v>
      </c>
    </row>
    <row r="31" spans="1:20">
      <c r="A31" t="str">
        <f>IF(ROWS($2:31)&gt;COUNTIF(Operational_RawData!$A:$A,"5_Operational"),"",INDEX(Operational_RawData!A:A,MATCH("5_Operational",Operational_RawData!$A:$A,0)+ROWS($2:31)-1))</f>
        <v>5_Operational</v>
      </c>
      <c r="B31">
        <f>IF(ROWS($2:31)&gt;COUNTIF(Operational_RawData!$A:$A,"5_Operational"),"",INDEX(Operational_RawData!B:B,MATCH("5_Operational",Operational_RawData!$A:$A,0)+ROWS($2:31)-1))</f>
        <v>144631.859</v>
      </c>
      <c r="C31">
        <f>IF(ROWS($2:31)&gt;COUNTIF(Operational_RawData!$A:$A,"5_Operational"),"",INDEX(Operational_RawData!C:C,MATCH("5_Operational",Operational_RawData!$A:$A,0)+ROWS($2:31)-1))</f>
        <v>21.83</v>
      </c>
      <c r="D31">
        <f>IF(ROWS($2:31)&gt;COUNTIF(Operational_RawData!$A:$A,"5_Operational"),"",INDEX(Operational_RawData!D:D,MATCH("5_Operational",Operational_RawData!$A:$A,0)+ROWS($2:31)-1))</f>
        <v>1309.116</v>
      </c>
      <c r="E31">
        <f>IF(ROWS($2:31)&gt;COUNTIF(Operational_RawData!$A:$A,"5_Operational"),"",INDEX(Operational_RawData!E:E,MATCH("5_Operational",Operational_RawData!$A:$A,0)+ROWS($2:31)-1))</f>
        <v>0.18</v>
      </c>
      <c r="F31">
        <f>IF(ROWS($2:31)&gt;COUNTIF(Operational_RawData!$A:$A,"5_Operational"),"",INDEX(Operational_RawData!F:F,MATCH("5_Operational",Operational_RawData!$A:$A,0)+ROWS($2:31)-1))</f>
        <v>225.48</v>
      </c>
      <c r="G31">
        <f>IF(ROWS($2:31)&gt;COUNTIF(Operational_RawData!$A:$A,"5_Operational"),"",INDEX(Operational_RawData!G:G,MATCH("5_Operational",Operational_RawData!$A:$A,0)+ROWS($2:31)-1))</f>
        <v>225.48</v>
      </c>
      <c r="H31">
        <f>IF(ROWS($2:31)&gt;COUNTIF(Operational_RawData!$A:$A,"5_Operational"),"",INDEX(Operational_RawData!H:H,MATCH("5_Operational",Operational_RawData!$A:$A,0)+ROWS($2:31)-1))</f>
        <v>225.48</v>
      </c>
      <c r="I31">
        <f>IF(ROWS($2:31)&gt;COUNTIF(Operational_RawData!$A:$A,"5_Operational"),"",INDEX(Operational_RawData!I:I,MATCH("5_Operational",Operational_RawData!$A:$A,0)+ROWS($2:31)-1))</f>
        <v>225.48</v>
      </c>
      <c r="J31">
        <f>IF(ROWS($2:31)&gt;COUNTIF(Operational_RawData!$A:$A,"5_Operational"),"",INDEX(Operational_RawData!J:J,MATCH("5_Operational",Operational_RawData!$A:$A,0)+ROWS($2:31)-1))</f>
        <v>321.32</v>
      </c>
      <c r="K31">
        <f>IF(ROWS($2:31)&gt;COUNTIF(Operational_RawData!$A:$A,"5_Operational"),"",INDEX(Operational_RawData!K:K,MATCH("5_Operational",Operational_RawData!$A:$A,0)+ROWS($2:31)-1))</f>
        <v>321.32</v>
      </c>
      <c r="L31">
        <f>IF(ROWS($2:31)&gt;COUNTIF(Operational_RawData!$A:$A,"5_Operational"),"",INDEX(Operational_RawData!L:L,MATCH("5_Operational",Operational_RawData!$A:$A,0)+ROWS($2:31)-1))</f>
        <v>321.32</v>
      </c>
      <c r="M31">
        <f>IF(ROWS($2:31)&gt;COUNTIF(Operational_RawData!$A:$A,"5_Operational"),"",INDEX(Operational_RawData!M:M,MATCH("5_Operational",Operational_RawData!$A:$A,0)+ROWS($2:31)-1))</f>
        <v>321.32</v>
      </c>
      <c r="N31">
        <f>IF(ROWS($2:31)&gt;COUNTIF(Operational_RawData!$A:$A,"5_Operational"),"",INDEX(Operational_RawData!N:N,MATCH("5_Operational",Operational_RawData!$A:$A,0)+ROWS($2:31)-1))</f>
        <v>0.1</v>
      </c>
      <c r="O31">
        <f>IF(ROWS($2:31)&gt;COUNTIF(Operational_RawData!$A:$A,"5_Operational"),"",INDEX(Operational_RawData!O:O,MATCH("5_Operational",Operational_RawData!$A:$A,0)+ROWS($2:31)-1))</f>
        <v>0.15</v>
      </c>
      <c r="P31">
        <f>IF(ROWS($2:31)&gt;COUNTIF(Operational_RawData!$A:$A,"5_Operational"),"",INDEX(Operational_RawData!P:P,MATCH("5_Operational",Operational_RawData!$A:$A,0)+ROWS($2:31)-1))</f>
        <v>7.0000000000000007E-2</v>
      </c>
      <c r="Q31">
        <f>IF(ROWS($2:31)&gt;COUNTIF(Operational_RawData!$A:$A,"5_Operational"),"",INDEX(Operational_RawData!Q:Q,MATCH("5_Operational",Operational_RawData!$A:$A,0)+ROWS($2:31)-1))</f>
        <v>0.1</v>
      </c>
      <c r="R31" t="str">
        <f>IF(ROWS($2:31)&gt;COUNTIF(Operational_RawData!$A:$A,"5_Operational"),"",INDEX(Operational_RawData!R:R,MATCH("5_Operational",Operational_RawData!$A:$A,0)+ROWS($2:31)-1))</f>
        <v>Pass</v>
      </c>
      <c r="S31">
        <f>IF(ROWS($2:31)&gt;COUNTIF(Operational_RawData!$A:$A,"5_Operational"),"",INDEX(Operational_RawData!S:S,MATCH("5_Operational",Operational_RawData!$A:$A,0)+ROWS($2:31)-1))</f>
        <v>0</v>
      </c>
      <c r="T31">
        <f>IF(ROWS($2:31)&gt;COUNTIF(Operational_RawData!$A:$A,"5_Operational"),"",INDEX(Operational_RawData!T:T,MATCH("5_Operational",Operational_RawData!$A:$A,0)+ROWS($2:31)-1))</f>
        <v>0</v>
      </c>
    </row>
    <row r="32" spans="1:20">
      <c r="A32" t="str">
        <f>IF(ROWS($2:32)&gt;COUNTIF(Operational_RawData!$A:$A,"5_Operational"),"",INDEX(Operational_RawData!A:A,MATCH("5_Operational",Operational_RawData!$A:$A,0)+ROWS($2:32)-1))</f>
        <v>5_Operational</v>
      </c>
      <c r="B32">
        <f>IF(ROWS($2:32)&gt;COUNTIF(Operational_RawData!$A:$A,"5_Operational"),"",INDEX(Operational_RawData!B:B,MATCH("5_Operational",Operational_RawData!$A:$A,0)+ROWS($2:32)-1))</f>
        <v>144636.861</v>
      </c>
      <c r="C32">
        <f>IF(ROWS($2:32)&gt;COUNTIF(Operational_RawData!$A:$A,"5_Operational"),"",INDEX(Operational_RawData!C:C,MATCH("5_Operational",Operational_RawData!$A:$A,0)+ROWS($2:32)-1))</f>
        <v>22.58</v>
      </c>
      <c r="D32">
        <f>IF(ROWS($2:32)&gt;COUNTIF(Operational_RawData!$A:$A,"5_Operational"),"",INDEX(Operational_RawData!D:D,MATCH("5_Operational",Operational_RawData!$A:$A,0)+ROWS($2:32)-1))</f>
        <v>1309.175</v>
      </c>
      <c r="E32">
        <f>IF(ROWS($2:32)&gt;COUNTIF(Operational_RawData!$A:$A,"5_Operational"),"",INDEX(Operational_RawData!E:E,MATCH("5_Operational",Operational_RawData!$A:$A,0)+ROWS($2:32)-1))</f>
        <v>0.26</v>
      </c>
      <c r="F32">
        <f>IF(ROWS($2:32)&gt;COUNTIF(Operational_RawData!$A:$A,"5_Operational"),"",INDEX(Operational_RawData!F:F,MATCH("5_Operational",Operational_RawData!$A:$A,0)+ROWS($2:32)-1))</f>
        <v>224.8</v>
      </c>
      <c r="G32">
        <f>IF(ROWS($2:32)&gt;COUNTIF(Operational_RawData!$A:$A,"5_Operational"),"",INDEX(Operational_RawData!G:G,MATCH("5_Operational",Operational_RawData!$A:$A,0)+ROWS($2:32)-1))</f>
        <v>224.8</v>
      </c>
      <c r="H32">
        <f>IF(ROWS($2:32)&gt;COUNTIF(Operational_RawData!$A:$A,"5_Operational"),"",INDEX(Operational_RawData!H:H,MATCH("5_Operational",Operational_RawData!$A:$A,0)+ROWS($2:32)-1))</f>
        <v>224.8</v>
      </c>
      <c r="I32">
        <f>IF(ROWS($2:32)&gt;COUNTIF(Operational_RawData!$A:$A,"5_Operational"),"",INDEX(Operational_RawData!I:I,MATCH("5_Operational",Operational_RawData!$A:$A,0)+ROWS($2:32)-1))</f>
        <v>224.8</v>
      </c>
      <c r="J32">
        <f>IF(ROWS($2:32)&gt;COUNTIF(Operational_RawData!$A:$A,"5_Operational"),"",INDEX(Operational_RawData!J:J,MATCH("5_Operational",Operational_RawData!$A:$A,0)+ROWS($2:32)-1))</f>
        <v>320.95999999999998</v>
      </c>
      <c r="K32">
        <f>IF(ROWS($2:32)&gt;COUNTIF(Operational_RawData!$A:$A,"5_Operational"),"",INDEX(Operational_RawData!K:K,MATCH("5_Operational",Operational_RawData!$A:$A,0)+ROWS($2:32)-1))</f>
        <v>320.95999999999998</v>
      </c>
      <c r="L32">
        <f>IF(ROWS($2:32)&gt;COUNTIF(Operational_RawData!$A:$A,"5_Operational"),"",INDEX(Operational_RawData!L:L,MATCH("5_Operational",Operational_RawData!$A:$A,0)+ROWS($2:32)-1))</f>
        <v>320.95999999999998</v>
      </c>
      <c r="M32">
        <f>IF(ROWS($2:32)&gt;COUNTIF(Operational_RawData!$A:$A,"5_Operational"),"",INDEX(Operational_RawData!M:M,MATCH("5_Operational",Operational_RawData!$A:$A,0)+ROWS($2:32)-1))</f>
        <v>320.95999999999998</v>
      </c>
      <c r="N32">
        <f>IF(ROWS($2:32)&gt;COUNTIF(Operational_RawData!$A:$A,"5_Operational"),"",INDEX(Operational_RawData!N:N,MATCH("5_Operational",Operational_RawData!$A:$A,0)+ROWS($2:32)-1))</f>
        <v>0.08</v>
      </c>
      <c r="O32">
        <f>IF(ROWS($2:32)&gt;COUNTIF(Operational_RawData!$A:$A,"5_Operational"),"",INDEX(Operational_RawData!O:O,MATCH("5_Operational",Operational_RawData!$A:$A,0)+ROWS($2:32)-1))</f>
        <v>0.15</v>
      </c>
      <c r="P32">
        <f>IF(ROWS($2:32)&gt;COUNTIF(Operational_RawData!$A:$A,"5_Operational"),"",INDEX(Operational_RawData!P:P,MATCH("5_Operational",Operational_RawData!$A:$A,0)+ROWS($2:32)-1))</f>
        <v>7.0000000000000007E-2</v>
      </c>
      <c r="Q32">
        <f>IF(ROWS($2:32)&gt;COUNTIF(Operational_RawData!$A:$A,"5_Operational"),"",INDEX(Operational_RawData!Q:Q,MATCH("5_Operational",Operational_RawData!$A:$A,0)+ROWS($2:32)-1))</f>
        <v>0.1</v>
      </c>
      <c r="R32" t="str">
        <f>IF(ROWS($2:32)&gt;COUNTIF(Operational_RawData!$A:$A,"5_Operational"),"",INDEX(Operational_RawData!R:R,MATCH("5_Operational",Operational_RawData!$A:$A,0)+ROWS($2:32)-1))</f>
        <v>Pass</v>
      </c>
      <c r="S32">
        <f>IF(ROWS($2:32)&gt;COUNTIF(Operational_RawData!$A:$A,"5_Operational"),"",INDEX(Operational_RawData!S:S,MATCH("5_Operational",Operational_RawData!$A:$A,0)+ROWS($2:32)-1))</f>
        <v>0</v>
      </c>
      <c r="T32">
        <f>IF(ROWS($2:32)&gt;COUNTIF(Operational_RawData!$A:$A,"5_Operational"),"",INDEX(Operational_RawData!T:T,MATCH("5_Operational",Operational_RawData!$A:$A,0)+ROWS($2:32)-1))</f>
        <v>0</v>
      </c>
    </row>
    <row r="33" spans="1:20">
      <c r="A33" t="str">
        <f>IF(ROWS($2:33)&gt;COUNTIF(Operational_RawData!$A:$A,"5_Operational"),"",INDEX(Operational_RawData!A:A,MATCH("5_Operational",Operational_RawData!$A:$A,0)+ROWS($2:33)-1))</f>
        <v>5_Operational</v>
      </c>
      <c r="B33">
        <f>IF(ROWS($2:33)&gt;COUNTIF(Operational_RawData!$A:$A,"5_Operational"),"",INDEX(Operational_RawData!B:B,MATCH("5_Operational",Operational_RawData!$A:$A,0)+ROWS($2:33)-1))</f>
        <v>144641.861</v>
      </c>
      <c r="C33">
        <f>IF(ROWS($2:33)&gt;COUNTIF(Operational_RawData!$A:$A,"5_Operational"),"",INDEX(Operational_RawData!C:C,MATCH("5_Operational",Operational_RawData!$A:$A,0)+ROWS($2:33)-1))</f>
        <v>23.31</v>
      </c>
      <c r="D33">
        <f>IF(ROWS($2:33)&gt;COUNTIF(Operational_RawData!$A:$A,"5_Operational"),"",INDEX(Operational_RawData!D:D,MATCH("5_Operational",Operational_RawData!$A:$A,0)+ROWS($2:33)-1))</f>
        <v>1309.242</v>
      </c>
      <c r="E33">
        <f>IF(ROWS($2:33)&gt;COUNTIF(Operational_RawData!$A:$A,"5_Operational"),"",INDEX(Operational_RawData!E:E,MATCH("5_Operational",Operational_RawData!$A:$A,0)+ROWS($2:33)-1))</f>
        <v>0.37</v>
      </c>
      <c r="F33">
        <f>IF(ROWS($2:33)&gt;COUNTIF(Operational_RawData!$A:$A,"5_Operational"),"",INDEX(Operational_RawData!F:F,MATCH("5_Operational",Operational_RawData!$A:$A,0)+ROWS($2:33)-1))</f>
        <v>224.2</v>
      </c>
      <c r="G33">
        <f>IF(ROWS($2:33)&gt;COUNTIF(Operational_RawData!$A:$A,"5_Operational"),"",INDEX(Operational_RawData!G:G,MATCH("5_Operational",Operational_RawData!$A:$A,0)+ROWS($2:33)-1))</f>
        <v>224.2</v>
      </c>
      <c r="H33">
        <f>IF(ROWS($2:33)&gt;COUNTIF(Operational_RawData!$A:$A,"5_Operational"),"",INDEX(Operational_RawData!H:H,MATCH("5_Operational",Operational_RawData!$A:$A,0)+ROWS($2:33)-1))</f>
        <v>224.2</v>
      </c>
      <c r="I33">
        <f>IF(ROWS($2:33)&gt;COUNTIF(Operational_RawData!$A:$A,"5_Operational"),"",INDEX(Operational_RawData!I:I,MATCH("5_Operational",Operational_RawData!$A:$A,0)+ROWS($2:33)-1))</f>
        <v>224.2</v>
      </c>
      <c r="J33">
        <f>IF(ROWS($2:33)&gt;COUNTIF(Operational_RawData!$A:$A,"5_Operational"),"",INDEX(Operational_RawData!J:J,MATCH("5_Operational",Operational_RawData!$A:$A,0)+ROWS($2:33)-1))</f>
        <v>320.64</v>
      </c>
      <c r="K33">
        <f>IF(ROWS($2:33)&gt;COUNTIF(Operational_RawData!$A:$A,"5_Operational"),"",INDEX(Operational_RawData!K:K,MATCH("5_Operational",Operational_RawData!$A:$A,0)+ROWS($2:33)-1))</f>
        <v>320.64</v>
      </c>
      <c r="L33">
        <f>IF(ROWS($2:33)&gt;COUNTIF(Operational_RawData!$A:$A,"5_Operational"),"",INDEX(Operational_RawData!L:L,MATCH("5_Operational",Operational_RawData!$A:$A,0)+ROWS($2:33)-1))</f>
        <v>320.64</v>
      </c>
      <c r="M33">
        <f>IF(ROWS($2:33)&gt;COUNTIF(Operational_RawData!$A:$A,"5_Operational"),"",INDEX(Operational_RawData!M:M,MATCH("5_Operational",Operational_RawData!$A:$A,0)+ROWS($2:33)-1))</f>
        <v>320.64</v>
      </c>
      <c r="N33">
        <f>IF(ROWS($2:33)&gt;COUNTIF(Operational_RawData!$A:$A,"5_Operational"),"",INDEX(Operational_RawData!N:N,MATCH("5_Operational",Operational_RawData!$A:$A,0)+ROWS($2:33)-1))</f>
        <v>0.09</v>
      </c>
      <c r="O33">
        <f>IF(ROWS($2:33)&gt;COUNTIF(Operational_RawData!$A:$A,"5_Operational"),"",INDEX(Operational_RawData!O:O,MATCH("5_Operational",Operational_RawData!$A:$A,0)+ROWS($2:33)-1))</f>
        <v>0.15</v>
      </c>
      <c r="P33">
        <f>IF(ROWS($2:33)&gt;COUNTIF(Operational_RawData!$A:$A,"5_Operational"),"",INDEX(Operational_RawData!P:P,MATCH("5_Operational",Operational_RawData!$A:$A,0)+ROWS($2:33)-1))</f>
        <v>7.0000000000000007E-2</v>
      </c>
      <c r="Q33">
        <f>IF(ROWS($2:33)&gt;COUNTIF(Operational_RawData!$A:$A,"5_Operational"),"",INDEX(Operational_RawData!Q:Q,MATCH("5_Operational",Operational_RawData!$A:$A,0)+ROWS($2:33)-1))</f>
        <v>0.1</v>
      </c>
      <c r="R33" t="str">
        <f>IF(ROWS($2:33)&gt;COUNTIF(Operational_RawData!$A:$A,"5_Operational"),"",INDEX(Operational_RawData!R:R,MATCH("5_Operational",Operational_RawData!$A:$A,0)+ROWS($2:33)-1))</f>
        <v>Pass</v>
      </c>
      <c r="S33">
        <f>IF(ROWS($2:33)&gt;COUNTIF(Operational_RawData!$A:$A,"5_Operational"),"",INDEX(Operational_RawData!S:S,MATCH("5_Operational",Operational_RawData!$A:$A,0)+ROWS($2:33)-1))</f>
        <v>0</v>
      </c>
      <c r="T33">
        <f>IF(ROWS($2:33)&gt;COUNTIF(Operational_RawData!$A:$A,"5_Operational"),"",INDEX(Operational_RawData!T:T,MATCH("5_Operational",Operational_RawData!$A:$A,0)+ROWS($2:33)-1))</f>
        <v>0</v>
      </c>
    </row>
    <row r="34" spans="1:20">
      <c r="A34" t="str">
        <f>IF(ROWS($2:34)&gt;COUNTIF(Operational_RawData!$A:$A,"5_Operational"),"",INDEX(Operational_RawData!A:A,MATCH("5_Operational",Operational_RawData!$A:$A,0)+ROWS($2:34)-1))</f>
        <v>5_Operational</v>
      </c>
      <c r="B34">
        <f>IF(ROWS($2:34)&gt;COUNTIF(Operational_RawData!$A:$A,"5_Operational"),"",INDEX(Operational_RawData!B:B,MATCH("5_Operational",Operational_RawData!$A:$A,0)+ROWS($2:34)-1))</f>
        <v>144646.867</v>
      </c>
      <c r="C34">
        <f>IF(ROWS($2:34)&gt;COUNTIF(Operational_RawData!$A:$A,"5_Operational"),"",INDEX(Operational_RawData!C:C,MATCH("5_Operational",Operational_RawData!$A:$A,0)+ROWS($2:34)-1))</f>
        <v>24.04</v>
      </c>
      <c r="D34">
        <f>IF(ROWS($2:34)&gt;COUNTIF(Operational_RawData!$A:$A,"5_Operational"),"",INDEX(Operational_RawData!D:D,MATCH("5_Operational",Operational_RawData!$A:$A,0)+ROWS($2:34)-1))</f>
        <v>1309.31</v>
      </c>
      <c r="E34">
        <f>IF(ROWS($2:34)&gt;COUNTIF(Operational_RawData!$A:$A,"5_Operational"),"",INDEX(Operational_RawData!E:E,MATCH("5_Operational",Operational_RawData!$A:$A,0)+ROWS($2:34)-1))</f>
        <v>0.28999999999999998</v>
      </c>
      <c r="F34">
        <f>IF(ROWS($2:34)&gt;COUNTIF(Operational_RawData!$A:$A,"5_Operational"),"",INDEX(Operational_RawData!F:F,MATCH("5_Operational",Operational_RawData!$A:$A,0)+ROWS($2:34)-1))</f>
        <v>223.64</v>
      </c>
      <c r="G34">
        <f>IF(ROWS($2:34)&gt;COUNTIF(Operational_RawData!$A:$A,"5_Operational"),"",INDEX(Operational_RawData!G:G,MATCH("5_Operational",Operational_RawData!$A:$A,0)+ROWS($2:34)-1))</f>
        <v>223.64</v>
      </c>
      <c r="H34">
        <f>IF(ROWS($2:34)&gt;COUNTIF(Operational_RawData!$A:$A,"5_Operational"),"",INDEX(Operational_RawData!H:H,MATCH("5_Operational",Operational_RawData!$A:$A,0)+ROWS($2:34)-1))</f>
        <v>223.64</v>
      </c>
      <c r="I34">
        <f>IF(ROWS($2:34)&gt;COUNTIF(Operational_RawData!$A:$A,"5_Operational"),"",INDEX(Operational_RawData!I:I,MATCH("5_Operational",Operational_RawData!$A:$A,0)+ROWS($2:34)-1))</f>
        <v>223.64</v>
      </c>
      <c r="J34">
        <f>IF(ROWS($2:34)&gt;COUNTIF(Operational_RawData!$A:$A,"5_Operational"),"",INDEX(Operational_RawData!J:J,MATCH("5_Operational",Operational_RawData!$A:$A,0)+ROWS($2:34)-1))</f>
        <v>320.48</v>
      </c>
      <c r="K34">
        <f>IF(ROWS($2:34)&gt;COUNTIF(Operational_RawData!$A:$A,"5_Operational"),"",INDEX(Operational_RawData!K:K,MATCH("5_Operational",Operational_RawData!$A:$A,0)+ROWS($2:34)-1))</f>
        <v>320.48</v>
      </c>
      <c r="L34">
        <f>IF(ROWS($2:34)&gt;COUNTIF(Operational_RawData!$A:$A,"5_Operational"),"",INDEX(Operational_RawData!L:L,MATCH("5_Operational",Operational_RawData!$A:$A,0)+ROWS($2:34)-1))</f>
        <v>320.48</v>
      </c>
      <c r="M34">
        <f>IF(ROWS($2:34)&gt;COUNTIF(Operational_RawData!$A:$A,"5_Operational"),"",INDEX(Operational_RawData!M:M,MATCH("5_Operational",Operational_RawData!$A:$A,0)+ROWS($2:34)-1))</f>
        <v>320.48</v>
      </c>
      <c r="N34">
        <f>IF(ROWS($2:34)&gt;COUNTIF(Operational_RawData!$A:$A,"5_Operational"),"",INDEX(Operational_RawData!N:N,MATCH("5_Operational",Operational_RawData!$A:$A,0)+ROWS($2:34)-1))</f>
        <v>0.09</v>
      </c>
      <c r="O34">
        <f>IF(ROWS($2:34)&gt;COUNTIF(Operational_RawData!$A:$A,"5_Operational"),"",INDEX(Operational_RawData!O:O,MATCH("5_Operational",Operational_RawData!$A:$A,0)+ROWS($2:34)-1))</f>
        <v>0.15</v>
      </c>
      <c r="P34">
        <f>IF(ROWS($2:34)&gt;COUNTIF(Operational_RawData!$A:$A,"5_Operational"),"",INDEX(Operational_RawData!P:P,MATCH("5_Operational",Operational_RawData!$A:$A,0)+ROWS($2:34)-1))</f>
        <v>7.0000000000000007E-2</v>
      </c>
      <c r="Q34">
        <f>IF(ROWS($2:34)&gt;COUNTIF(Operational_RawData!$A:$A,"5_Operational"),"",INDEX(Operational_RawData!Q:Q,MATCH("5_Operational",Operational_RawData!$A:$A,0)+ROWS($2:34)-1))</f>
        <v>0.1</v>
      </c>
      <c r="R34" t="str">
        <f>IF(ROWS($2:34)&gt;COUNTIF(Operational_RawData!$A:$A,"5_Operational"),"",INDEX(Operational_RawData!R:R,MATCH("5_Operational",Operational_RawData!$A:$A,0)+ROWS($2:34)-1))</f>
        <v>Pass</v>
      </c>
      <c r="S34">
        <f>IF(ROWS($2:34)&gt;COUNTIF(Operational_RawData!$A:$A,"5_Operational"),"",INDEX(Operational_RawData!S:S,MATCH("5_Operational",Operational_RawData!$A:$A,0)+ROWS($2:34)-1))</f>
        <v>0</v>
      </c>
      <c r="T34">
        <f>IF(ROWS($2:34)&gt;COUNTIF(Operational_RawData!$A:$A,"5_Operational"),"",INDEX(Operational_RawData!T:T,MATCH("5_Operational",Operational_RawData!$A:$A,0)+ROWS($2:34)-1))</f>
        <v>0</v>
      </c>
    </row>
    <row r="35" spans="1:20">
      <c r="A35" t="str">
        <f>IF(ROWS($2:35)&gt;COUNTIF(Operational_RawData!$A:$A,"5_Operational"),"",INDEX(Operational_RawData!A:A,MATCH("5_Operational",Operational_RawData!$A:$A,0)+ROWS($2:35)-1))</f>
        <v>5_Operational</v>
      </c>
      <c r="B35">
        <f>IF(ROWS($2:35)&gt;COUNTIF(Operational_RawData!$A:$A,"5_Operational"),"",INDEX(Operational_RawData!B:B,MATCH("5_Operational",Operational_RawData!$A:$A,0)+ROWS($2:35)-1))</f>
        <v>144651.86499999999</v>
      </c>
      <c r="C35">
        <f>IF(ROWS($2:35)&gt;COUNTIF(Operational_RawData!$A:$A,"5_Operational"),"",INDEX(Operational_RawData!C:C,MATCH("5_Operational",Operational_RawData!$A:$A,0)+ROWS($2:35)-1))</f>
        <v>24.75</v>
      </c>
      <c r="D35">
        <f>IF(ROWS($2:35)&gt;COUNTIF(Operational_RawData!$A:$A,"5_Operational"),"",INDEX(Operational_RawData!D:D,MATCH("5_Operational",Operational_RawData!$A:$A,0)+ROWS($2:35)-1))</f>
        <v>1309.377</v>
      </c>
      <c r="E35">
        <f>IF(ROWS($2:35)&gt;COUNTIF(Operational_RawData!$A:$A,"5_Operational"),"",INDEX(Operational_RawData!E:E,MATCH("5_Operational",Operational_RawData!$A:$A,0)+ROWS($2:35)-1))</f>
        <v>0.26</v>
      </c>
      <c r="F35">
        <f>IF(ROWS($2:35)&gt;COUNTIF(Operational_RawData!$A:$A,"5_Operational"),"",INDEX(Operational_RawData!F:F,MATCH("5_Operational",Operational_RawData!$A:$A,0)+ROWS($2:35)-1))</f>
        <v>223.2</v>
      </c>
      <c r="G35">
        <f>IF(ROWS($2:35)&gt;COUNTIF(Operational_RawData!$A:$A,"5_Operational"),"",INDEX(Operational_RawData!G:G,MATCH("5_Operational",Operational_RawData!$A:$A,0)+ROWS($2:35)-1))</f>
        <v>223.2</v>
      </c>
      <c r="H35">
        <f>IF(ROWS($2:35)&gt;COUNTIF(Operational_RawData!$A:$A,"5_Operational"),"",INDEX(Operational_RawData!H:H,MATCH("5_Operational",Operational_RawData!$A:$A,0)+ROWS($2:35)-1))</f>
        <v>223.2</v>
      </c>
      <c r="I35">
        <f>IF(ROWS($2:35)&gt;COUNTIF(Operational_RawData!$A:$A,"5_Operational"),"",INDEX(Operational_RawData!I:I,MATCH("5_Operational",Operational_RawData!$A:$A,0)+ROWS($2:35)-1))</f>
        <v>223.2</v>
      </c>
      <c r="J35">
        <f>IF(ROWS($2:35)&gt;COUNTIF(Operational_RawData!$A:$A,"5_Operational"),"",INDEX(Operational_RawData!J:J,MATCH("5_Operational",Operational_RawData!$A:$A,0)+ROWS($2:35)-1))</f>
        <v>320.44</v>
      </c>
      <c r="K35">
        <f>IF(ROWS($2:35)&gt;COUNTIF(Operational_RawData!$A:$A,"5_Operational"),"",INDEX(Operational_RawData!K:K,MATCH("5_Operational",Operational_RawData!$A:$A,0)+ROWS($2:35)-1))</f>
        <v>320.44</v>
      </c>
      <c r="L35">
        <f>IF(ROWS($2:35)&gt;COUNTIF(Operational_RawData!$A:$A,"5_Operational"),"",INDEX(Operational_RawData!L:L,MATCH("5_Operational",Operational_RawData!$A:$A,0)+ROWS($2:35)-1))</f>
        <v>320.44</v>
      </c>
      <c r="M35">
        <f>IF(ROWS($2:35)&gt;COUNTIF(Operational_RawData!$A:$A,"5_Operational"),"",INDEX(Operational_RawData!M:M,MATCH("5_Operational",Operational_RawData!$A:$A,0)+ROWS($2:35)-1))</f>
        <v>320.44</v>
      </c>
      <c r="N35">
        <f>IF(ROWS($2:35)&gt;COUNTIF(Operational_RawData!$A:$A,"5_Operational"),"",INDEX(Operational_RawData!N:N,MATCH("5_Operational",Operational_RawData!$A:$A,0)+ROWS($2:35)-1))</f>
        <v>0.09</v>
      </c>
      <c r="O35">
        <f>IF(ROWS($2:35)&gt;COUNTIF(Operational_RawData!$A:$A,"5_Operational"),"",INDEX(Operational_RawData!O:O,MATCH("5_Operational",Operational_RawData!$A:$A,0)+ROWS($2:35)-1))</f>
        <v>0.15</v>
      </c>
      <c r="P35">
        <f>IF(ROWS($2:35)&gt;COUNTIF(Operational_RawData!$A:$A,"5_Operational"),"",INDEX(Operational_RawData!P:P,MATCH("5_Operational",Operational_RawData!$A:$A,0)+ROWS($2:35)-1))</f>
        <v>7.0000000000000007E-2</v>
      </c>
      <c r="Q35">
        <f>IF(ROWS($2:35)&gt;COUNTIF(Operational_RawData!$A:$A,"5_Operational"),"",INDEX(Operational_RawData!Q:Q,MATCH("5_Operational",Operational_RawData!$A:$A,0)+ROWS($2:35)-1))</f>
        <v>0.1</v>
      </c>
      <c r="R35" t="str">
        <f>IF(ROWS($2:35)&gt;COUNTIF(Operational_RawData!$A:$A,"5_Operational"),"",INDEX(Operational_RawData!R:R,MATCH("5_Operational",Operational_RawData!$A:$A,0)+ROWS($2:35)-1))</f>
        <v>Pass</v>
      </c>
      <c r="S35">
        <f>IF(ROWS($2:35)&gt;COUNTIF(Operational_RawData!$A:$A,"5_Operational"),"",INDEX(Operational_RawData!S:S,MATCH("5_Operational",Operational_RawData!$A:$A,0)+ROWS($2:35)-1))</f>
        <v>0</v>
      </c>
      <c r="T35">
        <f>IF(ROWS($2:35)&gt;COUNTIF(Operational_RawData!$A:$A,"5_Operational"),"",INDEX(Operational_RawData!T:T,MATCH("5_Operational",Operational_RawData!$A:$A,0)+ROWS($2:35)-1))</f>
        <v>0</v>
      </c>
    </row>
    <row r="36" spans="1:20">
      <c r="A36" t="str">
        <f>IF(ROWS($2:36)&gt;COUNTIF(Operational_RawData!$A:$A,"5_Operational"),"",INDEX(Operational_RawData!A:A,MATCH("5_Operational",Operational_RawData!$A:$A,0)+ROWS($2:36)-1))</f>
        <v>5_Operational</v>
      </c>
      <c r="B36">
        <f>IF(ROWS($2:36)&gt;COUNTIF(Operational_RawData!$A:$A,"5_Operational"),"",INDEX(Operational_RawData!B:B,MATCH("5_Operational",Operational_RawData!$A:$A,0)+ROWS($2:36)-1))</f>
        <v>144656.86199999999</v>
      </c>
      <c r="C36">
        <f>IF(ROWS($2:36)&gt;COUNTIF(Operational_RawData!$A:$A,"5_Operational"),"",INDEX(Operational_RawData!C:C,MATCH("5_Operational",Operational_RawData!$A:$A,0)+ROWS($2:36)-1))</f>
        <v>25.5</v>
      </c>
      <c r="D36">
        <f>IF(ROWS($2:36)&gt;COUNTIF(Operational_RawData!$A:$A,"5_Operational"),"",INDEX(Operational_RawData!D:D,MATCH("5_Operational",Operational_RawData!$A:$A,0)+ROWS($2:36)-1))</f>
        <v>1309.444</v>
      </c>
      <c r="E36">
        <f>IF(ROWS($2:36)&gt;COUNTIF(Operational_RawData!$A:$A,"5_Operational"),"",INDEX(Operational_RawData!E:E,MATCH("5_Operational",Operational_RawData!$A:$A,0)+ROWS($2:36)-1))</f>
        <v>0.15</v>
      </c>
      <c r="F36">
        <f>IF(ROWS($2:36)&gt;COUNTIF(Operational_RawData!$A:$A,"5_Operational"),"",INDEX(Operational_RawData!F:F,MATCH("5_Operational",Operational_RawData!$A:$A,0)+ROWS($2:36)-1))</f>
        <v>222.88</v>
      </c>
      <c r="G36">
        <f>IF(ROWS($2:36)&gt;COUNTIF(Operational_RawData!$A:$A,"5_Operational"),"",INDEX(Operational_RawData!G:G,MATCH("5_Operational",Operational_RawData!$A:$A,0)+ROWS($2:36)-1))</f>
        <v>222.88</v>
      </c>
      <c r="H36">
        <f>IF(ROWS($2:36)&gt;COUNTIF(Operational_RawData!$A:$A,"5_Operational"),"",INDEX(Operational_RawData!H:H,MATCH("5_Operational",Operational_RawData!$A:$A,0)+ROWS($2:36)-1))</f>
        <v>222.88</v>
      </c>
      <c r="I36">
        <f>IF(ROWS($2:36)&gt;COUNTIF(Operational_RawData!$A:$A,"5_Operational"),"",INDEX(Operational_RawData!I:I,MATCH("5_Operational",Operational_RawData!$A:$A,0)+ROWS($2:36)-1))</f>
        <v>222.88</v>
      </c>
      <c r="J36">
        <f>IF(ROWS($2:36)&gt;COUNTIF(Operational_RawData!$A:$A,"5_Operational"),"",INDEX(Operational_RawData!J:J,MATCH("5_Operational",Operational_RawData!$A:$A,0)+ROWS($2:36)-1))</f>
        <v>320.48</v>
      </c>
      <c r="K36">
        <f>IF(ROWS($2:36)&gt;COUNTIF(Operational_RawData!$A:$A,"5_Operational"),"",INDEX(Operational_RawData!K:K,MATCH("5_Operational",Operational_RawData!$A:$A,0)+ROWS($2:36)-1))</f>
        <v>320.48</v>
      </c>
      <c r="L36">
        <f>IF(ROWS($2:36)&gt;COUNTIF(Operational_RawData!$A:$A,"5_Operational"),"",INDEX(Operational_RawData!L:L,MATCH("5_Operational",Operational_RawData!$A:$A,0)+ROWS($2:36)-1))</f>
        <v>320.48</v>
      </c>
      <c r="M36">
        <f>IF(ROWS($2:36)&gt;COUNTIF(Operational_RawData!$A:$A,"5_Operational"),"",INDEX(Operational_RawData!M:M,MATCH("5_Operational",Operational_RawData!$A:$A,0)+ROWS($2:36)-1))</f>
        <v>320.48</v>
      </c>
      <c r="N36">
        <f>IF(ROWS($2:36)&gt;COUNTIF(Operational_RawData!$A:$A,"5_Operational"),"",INDEX(Operational_RawData!N:N,MATCH("5_Operational",Operational_RawData!$A:$A,0)+ROWS($2:36)-1))</f>
        <v>0.09</v>
      </c>
      <c r="O36">
        <f>IF(ROWS($2:36)&gt;COUNTIF(Operational_RawData!$A:$A,"5_Operational"),"",INDEX(Operational_RawData!O:O,MATCH("5_Operational",Operational_RawData!$A:$A,0)+ROWS($2:36)-1))</f>
        <v>0.15</v>
      </c>
      <c r="P36">
        <f>IF(ROWS($2:36)&gt;COUNTIF(Operational_RawData!$A:$A,"5_Operational"),"",INDEX(Operational_RawData!P:P,MATCH("5_Operational",Operational_RawData!$A:$A,0)+ROWS($2:36)-1))</f>
        <v>7.0000000000000007E-2</v>
      </c>
      <c r="Q36">
        <f>IF(ROWS($2:36)&gt;COUNTIF(Operational_RawData!$A:$A,"5_Operational"),"",INDEX(Operational_RawData!Q:Q,MATCH("5_Operational",Operational_RawData!$A:$A,0)+ROWS($2:36)-1))</f>
        <v>0.1</v>
      </c>
      <c r="R36" t="str">
        <f>IF(ROWS($2:36)&gt;COUNTIF(Operational_RawData!$A:$A,"5_Operational"),"",INDEX(Operational_RawData!R:R,MATCH("5_Operational",Operational_RawData!$A:$A,0)+ROWS($2:36)-1))</f>
        <v>Pass</v>
      </c>
      <c r="S36">
        <f>IF(ROWS($2:36)&gt;COUNTIF(Operational_RawData!$A:$A,"5_Operational"),"",INDEX(Operational_RawData!S:S,MATCH("5_Operational",Operational_RawData!$A:$A,0)+ROWS($2:36)-1))</f>
        <v>0</v>
      </c>
      <c r="T36">
        <f>IF(ROWS($2:36)&gt;COUNTIF(Operational_RawData!$A:$A,"5_Operational"),"",INDEX(Operational_RawData!T:T,MATCH("5_Operational",Operational_RawData!$A:$A,0)+ROWS($2:36)-1))</f>
        <v>0</v>
      </c>
    </row>
    <row r="37" spans="1:20">
      <c r="A37" t="str">
        <f>IF(ROWS($2:37)&gt;COUNTIF(Operational_RawData!$A:$A,"5_Operational"),"",INDEX(Operational_RawData!A:A,MATCH("5_Operational",Operational_RawData!$A:$A,0)+ROWS($2:37)-1))</f>
        <v>5_Operational</v>
      </c>
      <c r="B37">
        <f>IF(ROWS($2:37)&gt;COUNTIF(Operational_RawData!$A:$A,"5_Operational"),"",INDEX(Operational_RawData!B:B,MATCH("5_Operational",Operational_RawData!$A:$A,0)+ROWS($2:37)-1))</f>
        <v>144701.86799999999</v>
      </c>
      <c r="C37">
        <f>IF(ROWS($2:37)&gt;COUNTIF(Operational_RawData!$A:$A,"5_Operational"),"",INDEX(Operational_RawData!C:C,MATCH("5_Operational",Operational_RawData!$A:$A,0)+ROWS($2:37)-1))</f>
        <v>26.26</v>
      </c>
      <c r="D37">
        <f>IF(ROWS($2:37)&gt;COUNTIF(Operational_RawData!$A:$A,"5_Operational"),"",INDEX(Operational_RawData!D:D,MATCH("5_Operational",Operational_RawData!$A:$A,0)+ROWS($2:37)-1))</f>
        <v>1309.5119999999999</v>
      </c>
      <c r="E37">
        <f>IF(ROWS($2:37)&gt;COUNTIF(Operational_RawData!$A:$A,"5_Operational"),"",INDEX(Operational_RawData!E:E,MATCH("5_Operational",Operational_RawData!$A:$A,0)+ROWS($2:37)-1))</f>
        <v>0.22</v>
      </c>
      <c r="F37">
        <f>IF(ROWS($2:37)&gt;COUNTIF(Operational_RawData!$A:$A,"5_Operational"),"",INDEX(Operational_RawData!F:F,MATCH("5_Operational",Operational_RawData!$A:$A,0)+ROWS($2:37)-1))</f>
        <v>222.72</v>
      </c>
      <c r="G37">
        <f>IF(ROWS($2:37)&gt;COUNTIF(Operational_RawData!$A:$A,"5_Operational"),"",INDEX(Operational_RawData!G:G,MATCH("5_Operational",Operational_RawData!$A:$A,0)+ROWS($2:37)-1))</f>
        <v>222.72</v>
      </c>
      <c r="H37">
        <f>IF(ROWS($2:37)&gt;COUNTIF(Operational_RawData!$A:$A,"5_Operational"),"",INDEX(Operational_RawData!H:H,MATCH("5_Operational",Operational_RawData!$A:$A,0)+ROWS($2:37)-1))</f>
        <v>222.72</v>
      </c>
      <c r="I37">
        <f>IF(ROWS($2:37)&gt;COUNTIF(Operational_RawData!$A:$A,"5_Operational"),"",INDEX(Operational_RawData!I:I,MATCH("5_Operational",Operational_RawData!$A:$A,0)+ROWS($2:37)-1))</f>
        <v>222.72</v>
      </c>
      <c r="J37">
        <f>IF(ROWS($2:37)&gt;COUNTIF(Operational_RawData!$A:$A,"5_Operational"),"",INDEX(Operational_RawData!J:J,MATCH("5_Operational",Operational_RawData!$A:$A,0)+ROWS($2:37)-1))</f>
        <v>320.68</v>
      </c>
      <c r="K37">
        <f>IF(ROWS($2:37)&gt;COUNTIF(Operational_RawData!$A:$A,"5_Operational"),"",INDEX(Operational_RawData!K:K,MATCH("5_Operational",Operational_RawData!$A:$A,0)+ROWS($2:37)-1))</f>
        <v>320.68</v>
      </c>
      <c r="L37">
        <f>IF(ROWS($2:37)&gt;COUNTIF(Operational_RawData!$A:$A,"5_Operational"),"",INDEX(Operational_RawData!L:L,MATCH("5_Operational",Operational_RawData!$A:$A,0)+ROWS($2:37)-1))</f>
        <v>320.68</v>
      </c>
      <c r="M37">
        <f>IF(ROWS($2:37)&gt;COUNTIF(Operational_RawData!$A:$A,"5_Operational"),"",INDEX(Operational_RawData!M:M,MATCH("5_Operational",Operational_RawData!$A:$A,0)+ROWS($2:37)-1))</f>
        <v>320.68</v>
      </c>
      <c r="N37">
        <f>IF(ROWS($2:37)&gt;COUNTIF(Operational_RawData!$A:$A,"5_Operational"),"",INDEX(Operational_RawData!N:N,MATCH("5_Operational",Operational_RawData!$A:$A,0)+ROWS($2:37)-1))</f>
        <v>0.09</v>
      </c>
      <c r="O37">
        <f>IF(ROWS($2:37)&gt;COUNTIF(Operational_RawData!$A:$A,"5_Operational"),"",INDEX(Operational_RawData!O:O,MATCH("5_Operational",Operational_RawData!$A:$A,0)+ROWS($2:37)-1))</f>
        <v>0.15</v>
      </c>
      <c r="P37">
        <f>IF(ROWS($2:37)&gt;COUNTIF(Operational_RawData!$A:$A,"5_Operational"),"",INDEX(Operational_RawData!P:P,MATCH("5_Operational",Operational_RawData!$A:$A,0)+ROWS($2:37)-1))</f>
        <v>7.0000000000000007E-2</v>
      </c>
      <c r="Q37">
        <f>IF(ROWS($2:37)&gt;COUNTIF(Operational_RawData!$A:$A,"5_Operational"),"",INDEX(Operational_RawData!Q:Q,MATCH("5_Operational",Operational_RawData!$A:$A,0)+ROWS($2:37)-1))</f>
        <v>0.1</v>
      </c>
      <c r="R37" t="str">
        <f>IF(ROWS($2:37)&gt;COUNTIF(Operational_RawData!$A:$A,"5_Operational"),"",INDEX(Operational_RawData!R:R,MATCH("5_Operational",Operational_RawData!$A:$A,0)+ROWS($2:37)-1))</f>
        <v>Pass</v>
      </c>
      <c r="S37">
        <f>IF(ROWS($2:37)&gt;COUNTIF(Operational_RawData!$A:$A,"5_Operational"),"",INDEX(Operational_RawData!S:S,MATCH("5_Operational",Operational_RawData!$A:$A,0)+ROWS($2:37)-1))</f>
        <v>0</v>
      </c>
      <c r="T37">
        <f>IF(ROWS($2:37)&gt;COUNTIF(Operational_RawData!$A:$A,"5_Operational"),"",INDEX(Operational_RawData!T:T,MATCH("5_Operational",Operational_RawData!$A:$A,0)+ROWS($2:37)-1))</f>
        <v>0</v>
      </c>
    </row>
    <row r="38" spans="1:20">
      <c r="A38" t="str">
        <f>IF(ROWS($2:38)&gt;COUNTIF(Operational_RawData!$A:$A,"5_Operational"),"",INDEX(Operational_RawData!A:A,MATCH("5_Operational",Operational_RawData!$A:$A,0)+ROWS($2:38)-1))</f>
        <v>5_Operational</v>
      </c>
      <c r="B38">
        <f>IF(ROWS($2:38)&gt;COUNTIF(Operational_RawData!$A:$A,"5_Operational"),"",INDEX(Operational_RawData!B:B,MATCH("5_Operational",Operational_RawData!$A:$A,0)+ROWS($2:38)-1))</f>
        <v>144706.87599999999</v>
      </c>
      <c r="C38">
        <f>IF(ROWS($2:38)&gt;COUNTIF(Operational_RawData!$A:$A,"5_Operational"),"",INDEX(Operational_RawData!C:C,MATCH("5_Operational",Operational_RawData!$A:$A,0)+ROWS($2:38)-1))</f>
        <v>26.99</v>
      </c>
      <c r="D38">
        <f>IF(ROWS($2:38)&gt;COUNTIF(Operational_RawData!$A:$A,"5_Operational"),"",INDEX(Operational_RawData!D:D,MATCH("5_Operational",Operational_RawData!$A:$A,0)+ROWS($2:38)-1))</f>
        <v>1309.5809999999999</v>
      </c>
      <c r="E38">
        <f>IF(ROWS($2:38)&gt;COUNTIF(Operational_RawData!$A:$A,"5_Operational"),"",INDEX(Operational_RawData!E:E,MATCH("5_Operational",Operational_RawData!$A:$A,0)+ROWS($2:38)-1))</f>
        <v>0.32</v>
      </c>
      <c r="F38">
        <f>IF(ROWS($2:38)&gt;COUNTIF(Operational_RawData!$A:$A,"5_Operational"),"",INDEX(Operational_RawData!F:F,MATCH("5_Operational",Operational_RawData!$A:$A,0)+ROWS($2:38)-1))</f>
        <v>222.72</v>
      </c>
      <c r="G38">
        <f>IF(ROWS($2:38)&gt;COUNTIF(Operational_RawData!$A:$A,"5_Operational"),"",INDEX(Operational_RawData!G:G,MATCH("5_Operational",Operational_RawData!$A:$A,0)+ROWS($2:38)-1))</f>
        <v>222.72</v>
      </c>
      <c r="H38">
        <f>IF(ROWS($2:38)&gt;COUNTIF(Operational_RawData!$A:$A,"5_Operational"),"",INDEX(Operational_RawData!H:H,MATCH("5_Operational",Operational_RawData!$A:$A,0)+ROWS($2:38)-1))</f>
        <v>222.72</v>
      </c>
      <c r="I38">
        <f>IF(ROWS($2:38)&gt;COUNTIF(Operational_RawData!$A:$A,"5_Operational"),"",INDEX(Operational_RawData!I:I,MATCH("5_Operational",Operational_RawData!$A:$A,0)+ROWS($2:38)-1))</f>
        <v>222.72</v>
      </c>
      <c r="J38">
        <f>IF(ROWS($2:38)&gt;COUNTIF(Operational_RawData!$A:$A,"5_Operational"),"",INDEX(Operational_RawData!J:J,MATCH("5_Operational",Operational_RawData!$A:$A,0)+ROWS($2:38)-1))</f>
        <v>321</v>
      </c>
      <c r="K38">
        <f>IF(ROWS($2:38)&gt;COUNTIF(Operational_RawData!$A:$A,"5_Operational"),"",INDEX(Operational_RawData!K:K,MATCH("5_Operational",Operational_RawData!$A:$A,0)+ROWS($2:38)-1))</f>
        <v>321</v>
      </c>
      <c r="L38">
        <f>IF(ROWS($2:38)&gt;COUNTIF(Operational_RawData!$A:$A,"5_Operational"),"",INDEX(Operational_RawData!L:L,MATCH("5_Operational",Operational_RawData!$A:$A,0)+ROWS($2:38)-1))</f>
        <v>321</v>
      </c>
      <c r="M38">
        <f>IF(ROWS($2:38)&gt;COUNTIF(Operational_RawData!$A:$A,"5_Operational"),"",INDEX(Operational_RawData!M:M,MATCH("5_Operational",Operational_RawData!$A:$A,0)+ROWS($2:38)-1))</f>
        <v>321</v>
      </c>
      <c r="N38">
        <f>IF(ROWS($2:38)&gt;COUNTIF(Operational_RawData!$A:$A,"5_Operational"),"",INDEX(Operational_RawData!N:N,MATCH("5_Operational",Operational_RawData!$A:$A,0)+ROWS($2:38)-1))</f>
        <v>0.09</v>
      </c>
      <c r="O38">
        <f>IF(ROWS($2:38)&gt;COUNTIF(Operational_RawData!$A:$A,"5_Operational"),"",INDEX(Operational_RawData!O:O,MATCH("5_Operational",Operational_RawData!$A:$A,0)+ROWS($2:38)-1))</f>
        <v>0.15</v>
      </c>
      <c r="P38">
        <f>IF(ROWS($2:38)&gt;COUNTIF(Operational_RawData!$A:$A,"5_Operational"),"",INDEX(Operational_RawData!P:P,MATCH("5_Operational",Operational_RawData!$A:$A,0)+ROWS($2:38)-1))</f>
        <v>7.0000000000000007E-2</v>
      </c>
      <c r="Q38">
        <f>IF(ROWS($2:38)&gt;COUNTIF(Operational_RawData!$A:$A,"5_Operational"),"",INDEX(Operational_RawData!Q:Q,MATCH("5_Operational",Operational_RawData!$A:$A,0)+ROWS($2:38)-1))</f>
        <v>0.1</v>
      </c>
      <c r="R38" t="str">
        <f>IF(ROWS($2:38)&gt;COUNTIF(Operational_RawData!$A:$A,"5_Operational"),"",INDEX(Operational_RawData!R:R,MATCH("5_Operational",Operational_RawData!$A:$A,0)+ROWS($2:38)-1))</f>
        <v>Pass</v>
      </c>
      <c r="S38">
        <f>IF(ROWS($2:38)&gt;COUNTIF(Operational_RawData!$A:$A,"5_Operational"),"",INDEX(Operational_RawData!S:S,MATCH("5_Operational",Operational_RawData!$A:$A,0)+ROWS($2:38)-1))</f>
        <v>0</v>
      </c>
      <c r="T38">
        <f>IF(ROWS($2:38)&gt;COUNTIF(Operational_RawData!$A:$A,"5_Operational"),"",INDEX(Operational_RawData!T:T,MATCH("5_Operational",Operational_RawData!$A:$A,0)+ROWS($2:38)-1))</f>
        <v>0</v>
      </c>
    </row>
    <row r="39" spans="1:20">
      <c r="A39" t="str">
        <f>IF(ROWS($2:39)&gt;COUNTIF(Operational_RawData!$A:$A,"5_Operational"),"",INDEX(Operational_RawData!A:A,MATCH("5_Operational",Operational_RawData!$A:$A,0)+ROWS($2:39)-1))</f>
        <v>5_Operational</v>
      </c>
      <c r="B39">
        <f>IF(ROWS($2:39)&gt;COUNTIF(Operational_RawData!$A:$A,"5_Operational"),"",INDEX(Operational_RawData!B:B,MATCH("5_Operational",Operational_RawData!$A:$A,0)+ROWS($2:39)-1))</f>
        <v>144711.86799999999</v>
      </c>
      <c r="C39">
        <f>IF(ROWS($2:39)&gt;COUNTIF(Operational_RawData!$A:$A,"5_Operational"),"",INDEX(Operational_RawData!C:C,MATCH("5_Operational",Operational_RawData!$A:$A,0)+ROWS($2:39)-1))</f>
        <v>27.74</v>
      </c>
      <c r="D39">
        <f>IF(ROWS($2:39)&gt;COUNTIF(Operational_RawData!$A:$A,"5_Operational"),"",INDEX(Operational_RawData!D:D,MATCH("5_Operational",Operational_RawData!$A:$A,0)+ROWS($2:39)-1))</f>
        <v>1309.6579999999999</v>
      </c>
      <c r="E39">
        <f>IF(ROWS($2:39)&gt;COUNTIF(Operational_RawData!$A:$A,"5_Operational"),"",INDEX(Operational_RawData!E:E,MATCH("5_Operational",Operational_RawData!$A:$A,0)+ROWS($2:39)-1))</f>
        <v>0.32</v>
      </c>
      <c r="F39">
        <f>IF(ROWS($2:39)&gt;COUNTIF(Operational_RawData!$A:$A,"5_Operational"),"",INDEX(Operational_RawData!F:F,MATCH("5_Operational",Operational_RawData!$A:$A,0)+ROWS($2:39)-1))</f>
        <v>222.76</v>
      </c>
      <c r="G39">
        <f>IF(ROWS($2:39)&gt;COUNTIF(Operational_RawData!$A:$A,"5_Operational"),"",INDEX(Operational_RawData!G:G,MATCH("5_Operational",Operational_RawData!$A:$A,0)+ROWS($2:39)-1))</f>
        <v>222.76</v>
      </c>
      <c r="H39">
        <f>IF(ROWS($2:39)&gt;COUNTIF(Operational_RawData!$A:$A,"5_Operational"),"",INDEX(Operational_RawData!H:H,MATCH("5_Operational",Operational_RawData!$A:$A,0)+ROWS($2:39)-1))</f>
        <v>222.76</v>
      </c>
      <c r="I39">
        <f>IF(ROWS($2:39)&gt;COUNTIF(Operational_RawData!$A:$A,"5_Operational"),"",INDEX(Operational_RawData!I:I,MATCH("5_Operational",Operational_RawData!$A:$A,0)+ROWS($2:39)-1))</f>
        <v>222.76</v>
      </c>
      <c r="J39">
        <f>IF(ROWS($2:39)&gt;COUNTIF(Operational_RawData!$A:$A,"5_Operational"),"",INDEX(Operational_RawData!J:J,MATCH("5_Operational",Operational_RawData!$A:$A,0)+ROWS($2:39)-1))</f>
        <v>321.39999999999998</v>
      </c>
      <c r="K39">
        <f>IF(ROWS($2:39)&gt;COUNTIF(Operational_RawData!$A:$A,"5_Operational"),"",INDEX(Operational_RawData!K:K,MATCH("5_Operational",Operational_RawData!$A:$A,0)+ROWS($2:39)-1))</f>
        <v>321.39999999999998</v>
      </c>
      <c r="L39">
        <f>IF(ROWS($2:39)&gt;COUNTIF(Operational_RawData!$A:$A,"5_Operational"),"",INDEX(Operational_RawData!L:L,MATCH("5_Operational",Operational_RawData!$A:$A,0)+ROWS($2:39)-1))</f>
        <v>321.39999999999998</v>
      </c>
      <c r="M39">
        <f>IF(ROWS($2:39)&gt;COUNTIF(Operational_RawData!$A:$A,"5_Operational"),"",INDEX(Operational_RawData!M:M,MATCH("5_Operational",Operational_RawData!$A:$A,0)+ROWS($2:39)-1))</f>
        <v>321.39999999999998</v>
      </c>
      <c r="N39">
        <f>IF(ROWS($2:39)&gt;COUNTIF(Operational_RawData!$A:$A,"5_Operational"),"",INDEX(Operational_RawData!N:N,MATCH("5_Operational",Operational_RawData!$A:$A,0)+ROWS($2:39)-1))</f>
        <v>0.1</v>
      </c>
      <c r="O39">
        <f>IF(ROWS($2:39)&gt;COUNTIF(Operational_RawData!$A:$A,"5_Operational"),"",INDEX(Operational_RawData!O:O,MATCH("5_Operational",Operational_RawData!$A:$A,0)+ROWS($2:39)-1))</f>
        <v>0.15</v>
      </c>
      <c r="P39">
        <f>IF(ROWS($2:39)&gt;COUNTIF(Operational_RawData!$A:$A,"5_Operational"),"",INDEX(Operational_RawData!P:P,MATCH("5_Operational",Operational_RawData!$A:$A,0)+ROWS($2:39)-1))</f>
        <v>7.0000000000000007E-2</v>
      </c>
      <c r="Q39">
        <f>IF(ROWS($2:39)&gt;COUNTIF(Operational_RawData!$A:$A,"5_Operational"),"",INDEX(Operational_RawData!Q:Q,MATCH("5_Operational",Operational_RawData!$A:$A,0)+ROWS($2:39)-1))</f>
        <v>0.1</v>
      </c>
      <c r="R39" t="str">
        <f>IF(ROWS($2:39)&gt;COUNTIF(Operational_RawData!$A:$A,"5_Operational"),"",INDEX(Operational_RawData!R:R,MATCH("5_Operational",Operational_RawData!$A:$A,0)+ROWS($2:39)-1))</f>
        <v>Pass</v>
      </c>
      <c r="S39">
        <f>IF(ROWS($2:39)&gt;COUNTIF(Operational_RawData!$A:$A,"5_Operational"),"",INDEX(Operational_RawData!S:S,MATCH("5_Operational",Operational_RawData!$A:$A,0)+ROWS($2:39)-1))</f>
        <v>0</v>
      </c>
      <c r="T39">
        <f>IF(ROWS($2:39)&gt;COUNTIF(Operational_RawData!$A:$A,"5_Operational"),"",INDEX(Operational_RawData!T:T,MATCH("5_Operational",Operational_RawData!$A:$A,0)+ROWS($2:39)-1))</f>
        <v>0</v>
      </c>
    </row>
    <row r="40" spans="1:20">
      <c r="A40" t="str">
        <f>IF(ROWS($2:40)&gt;COUNTIF(Operational_RawData!$A:$A,"5_Operational"),"",INDEX(Operational_RawData!A:A,MATCH("5_Operational",Operational_RawData!$A:$A,0)+ROWS($2:40)-1))</f>
        <v>5_Operational</v>
      </c>
      <c r="B40">
        <f>IF(ROWS($2:40)&gt;COUNTIF(Operational_RawData!$A:$A,"5_Operational"),"",INDEX(Operational_RawData!B:B,MATCH("5_Operational",Operational_RawData!$A:$A,0)+ROWS($2:40)-1))</f>
        <v>144716.86900000001</v>
      </c>
      <c r="C40">
        <f>IF(ROWS($2:40)&gt;COUNTIF(Operational_RawData!$A:$A,"5_Operational"),"",INDEX(Operational_RawData!C:C,MATCH("5_Operational",Operational_RawData!$A:$A,0)+ROWS($2:40)-1))</f>
        <v>28.47</v>
      </c>
      <c r="D40">
        <f>IF(ROWS($2:40)&gt;COUNTIF(Operational_RawData!$A:$A,"5_Operational"),"",INDEX(Operational_RawData!D:D,MATCH("5_Operational",Operational_RawData!$A:$A,0)+ROWS($2:40)-1))</f>
        <v>1309.722</v>
      </c>
      <c r="E40">
        <f>IF(ROWS($2:40)&gt;COUNTIF(Operational_RawData!$A:$A,"5_Operational"),"",INDEX(Operational_RawData!E:E,MATCH("5_Operational",Operational_RawData!$A:$A,0)+ROWS($2:40)-1))</f>
        <v>0.28999999999999998</v>
      </c>
      <c r="F40">
        <f>IF(ROWS($2:40)&gt;COUNTIF(Operational_RawData!$A:$A,"5_Operational"),"",INDEX(Operational_RawData!F:F,MATCH("5_Operational",Operational_RawData!$A:$A,0)+ROWS($2:40)-1))</f>
        <v>222.88</v>
      </c>
      <c r="G40">
        <f>IF(ROWS($2:40)&gt;COUNTIF(Operational_RawData!$A:$A,"5_Operational"),"",INDEX(Operational_RawData!G:G,MATCH("5_Operational",Operational_RawData!$A:$A,0)+ROWS($2:40)-1))</f>
        <v>222.88</v>
      </c>
      <c r="H40">
        <f>IF(ROWS($2:40)&gt;COUNTIF(Operational_RawData!$A:$A,"5_Operational"),"",INDEX(Operational_RawData!H:H,MATCH("5_Operational",Operational_RawData!$A:$A,0)+ROWS($2:40)-1))</f>
        <v>222.88</v>
      </c>
      <c r="I40">
        <f>IF(ROWS($2:40)&gt;COUNTIF(Operational_RawData!$A:$A,"5_Operational"),"",INDEX(Operational_RawData!I:I,MATCH("5_Operational",Operational_RawData!$A:$A,0)+ROWS($2:40)-1))</f>
        <v>222.88</v>
      </c>
      <c r="J40">
        <f>IF(ROWS($2:40)&gt;COUNTIF(Operational_RawData!$A:$A,"5_Operational"),"",INDEX(Operational_RawData!J:J,MATCH("5_Operational",Operational_RawData!$A:$A,0)+ROWS($2:40)-1))</f>
        <v>321.88</v>
      </c>
      <c r="K40">
        <f>IF(ROWS($2:40)&gt;COUNTIF(Operational_RawData!$A:$A,"5_Operational"),"",INDEX(Operational_RawData!K:K,MATCH("5_Operational",Operational_RawData!$A:$A,0)+ROWS($2:40)-1))</f>
        <v>321.88</v>
      </c>
      <c r="L40">
        <f>IF(ROWS($2:40)&gt;COUNTIF(Operational_RawData!$A:$A,"5_Operational"),"",INDEX(Operational_RawData!L:L,MATCH("5_Operational",Operational_RawData!$A:$A,0)+ROWS($2:40)-1))</f>
        <v>321.88</v>
      </c>
      <c r="M40">
        <f>IF(ROWS($2:40)&gt;COUNTIF(Operational_RawData!$A:$A,"5_Operational"),"",INDEX(Operational_RawData!M:M,MATCH("5_Operational",Operational_RawData!$A:$A,0)+ROWS($2:40)-1))</f>
        <v>321.88</v>
      </c>
      <c r="N40">
        <f>IF(ROWS($2:40)&gt;COUNTIF(Operational_RawData!$A:$A,"5_Operational"),"",INDEX(Operational_RawData!N:N,MATCH("5_Operational",Operational_RawData!$A:$A,0)+ROWS($2:40)-1))</f>
        <v>0.09</v>
      </c>
      <c r="O40">
        <f>IF(ROWS($2:40)&gt;COUNTIF(Operational_RawData!$A:$A,"5_Operational"),"",INDEX(Operational_RawData!O:O,MATCH("5_Operational",Operational_RawData!$A:$A,0)+ROWS($2:40)-1))</f>
        <v>0.15</v>
      </c>
      <c r="P40">
        <f>IF(ROWS($2:40)&gt;COUNTIF(Operational_RawData!$A:$A,"5_Operational"),"",INDEX(Operational_RawData!P:P,MATCH("5_Operational",Operational_RawData!$A:$A,0)+ROWS($2:40)-1))</f>
        <v>7.0000000000000007E-2</v>
      </c>
      <c r="Q40">
        <f>IF(ROWS($2:40)&gt;COUNTIF(Operational_RawData!$A:$A,"5_Operational"),"",INDEX(Operational_RawData!Q:Q,MATCH("5_Operational",Operational_RawData!$A:$A,0)+ROWS($2:40)-1))</f>
        <v>0.1</v>
      </c>
      <c r="R40" t="str">
        <f>IF(ROWS($2:40)&gt;COUNTIF(Operational_RawData!$A:$A,"5_Operational"),"",INDEX(Operational_RawData!R:R,MATCH("5_Operational",Operational_RawData!$A:$A,0)+ROWS($2:40)-1))</f>
        <v>Pass</v>
      </c>
      <c r="S40">
        <f>IF(ROWS($2:40)&gt;COUNTIF(Operational_RawData!$A:$A,"5_Operational"),"",INDEX(Operational_RawData!S:S,MATCH("5_Operational",Operational_RawData!$A:$A,0)+ROWS($2:40)-1))</f>
        <v>0</v>
      </c>
      <c r="T40">
        <f>IF(ROWS($2:40)&gt;COUNTIF(Operational_RawData!$A:$A,"5_Operational"),"",INDEX(Operational_RawData!T:T,MATCH("5_Operational",Operational_RawData!$A:$A,0)+ROWS($2:40)-1))</f>
        <v>0</v>
      </c>
    </row>
    <row r="41" spans="1:20">
      <c r="A41" t="str">
        <f>IF(ROWS($2:41)&gt;COUNTIF(Operational_RawData!$A:$A,"5_Operational"),"",INDEX(Operational_RawData!A:A,MATCH("5_Operational",Operational_RawData!$A:$A,0)+ROWS($2:41)-1))</f>
        <v>5_Operational</v>
      </c>
      <c r="B41">
        <f>IF(ROWS($2:41)&gt;COUNTIF(Operational_RawData!$A:$A,"5_Operational"),"",INDEX(Operational_RawData!B:B,MATCH("5_Operational",Operational_RawData!$A:$A,0)+ROWS($2:41)-1))</f>
        <v>144721.87</v>
      </c>
      <c r="C41">
        <f>IF(ROWS($2:41)&gt;COUNTIF(Operational_RawData!$A:$A,"5_Operational"),"",INDEX(Operational_RawData!C:C,MATCH("5_Operational",Operational_RawData!$A:$A,0)+ROWS($2:41)-1))</f>
        <v>29.24</v>
      </c>
      <c r="D41">
        <f>IF(ROWS($2:41)&gt;COUNTIF(Operational_RawData!$A:$A,"5_Operational"),"",INDEX(Operational_RawData!D:D,MATCH("5_Operational",Operational_RawData!$A:$A,0)+ROWS($2:41)-1))</f>
        <v>1309.799</v>
      </c>
      <c r="E41">
        <f>IF(ROWS($2:41)&gt;COUNTIF(Operational_RawData!$A:$A,"5_Operational"),"",INDEX(Operational_RawData!E:E,MATCH("5_Operational",Operational_RawData!$A:$A,0)+ROWS($2:41)-1))</f>
        <v>0.33</v>
      </c>
      <c r="F41">
        <f>IF(ROWS($2:41)&gt;COUNTIF(Operational_RawData!$A:$A,"5_Operational"),"",INDEX(Operational_RawData!F:F,MATCH("5_Operational",Operational_RawData!$A:$A,0)+ROWS($2:41)-1))</f>
        <v>223.08</v>
      </c>
      <c r="G41">
        <f>IF(ROWS($2:41)&gt;COUNTIF(Operational_RawData!$A:$A,"5_Operational"),"",INDEX(Operational_RawData!G:G,MATCH("5_Operational",Operational_RawData!$A:$A,0)+ROWS($2:41)-1))</f>
        <v>223.08</v>
      </c>
      <c r="H41">
        <f>IF(ROWS($2:41)&gt;COUNTIF(Operational_RawData!$A:$A,"5_Operational"),"",INDEX(Operational_RawData!H:H,MATCH("5_Operational",Operational_RawData!$A:$A,0)+ROWS($2:41)-1))</f>
        <v>223.08</v>
      </c>
      <c r="I41">
        <f>IF(ROWS($2:41)&gt;COUNTIF(Operational_RawData!$A:$A,"5_Operational"),"",INDEX(Operational_RawData!I:I,MATCH("5_Operational",Operational_RawData!$A:$A,0)+ROWS($2:41)-1))</f>
        <v>223.08</v>
      </c>
      <c r="J41">
        <f>IF(ROWS($2:41)&gt;COUNTIF(Operational_RawData!$A:$A,"5_Operational"),"",INDEX(Operational_RawData!J:J,MATCH("5_Operational",Operational_RawData!$A:$A,0)+ROWS($2:41)-1))</f>
        <v>322.52</v>
      </c>
      <c r="K41">
        <f>IF(ROWS($2:41)&gt;COUNTIF(Operational_RawData!$A:$A,"5_Operational"),"",INDEX(Operational_RawData!K:K,MATCH("5_Operational",Operational_RawData!$A:$A,0)+ROWS($2:41)-1))</f>
        <v>322.52</v>
      </c>
      <c r="L41">
        <f>IF(ROWS($2:41)&gt;COUNTIF(Operational_RawData!$A:$A,"5_Operational"),"",INDEX(Operational_RawData!L:L,MATCH("5_Operational",Operational_RawData!$A:$A,0)+ROWS($2:41)-1))</f>
        <v>322.52</v>
      </c>
      <c r="M41">
        <f>IF(ROWS($2:41)&gt;COUNTIF(Operational_RawData!$A:$A,"5_Operational"),"",INDEX(Operational_RawData!M:M,MATCH("5_Operational",Operational_RawData!$A:$A,0)+ROWS($2:41)-1))</f>
        <v>322.52</v>
      </c>
      <c r="N41">
        <f>IF(ROWS($2:41)&gt;COUNTIF(Operational_RawData!$A:$A,"5_Operational"),"",INDEX(Operational_RawData!N:N,MATCH("5_Operational",Operational_RawData!$A:$A,0)+ROWS($2:41)-1))</f>
        <v>0.1</v>
      </c>
      <c r="O41">
        <f>IF(ROWS($2:41)&gt;COUNTIF(Operational_RawData!$A:$A,"5_Operational"),"",INDEX(Operational_RawData!O:O,MATCH("5_Operational",Operational_RawData!$A:$A,0)+ROWS($2:41)-1))</f>
        <v>0.15</v>
      </c>
      <c r="P41">
        <f>IF(ROWS($2:41)&gt;COUNTIF(Operational_RawData!$A:$A,"5_Operational"),"",INDEX(Operational_RawData!P:P,MATCH("5_Operational",Operational_RawData!$A:$A,0)+ROWS($2:41)-1))</f>
        <v>7.0000000000000007E-2</v>
      </c>
      <c r="Q41">
        <f>IF(ROWS($2:41)&gt;COUNTIF(Operational_RawData!$A:$A,"5_Operational"),"",INDEX(Operational_RawData!Q:Q,MATCH("5_Operational",Operational_RawData!$A:$A,0)+ROWS($2:41)-1))</f>
        <v>0.1</v>
      </c>
      <c r="R41" t="str">
        <f>IF(ROWS($2:41)&gt;COUNTIF(Operational_RawData!$A:$A,"5_Operational"),"",INDEX(Operational_RawData!R:R,MATCH("5_Operational",Operational_RawData!$A:$A,0)+ROWS($2:41)-1))</f>
        <v>Pass</v>
      </c>
      <c r="S41">
        <f>IF(ROWS($2:41)&gt;COUNTIF(Operational_RawData!$A:$A,"5_Operational"),"",INDEX(Operational_RawData!S:S,MATCH("5_Operational",Operational_RawData!$A:$A,0)+ROWS($2:41)-1))</f>
        <v>0</v>
      </c>
      <c r="T41">
        <f>IF(ROWS($2:41)&gt;COUNTIF(Operational_RawData!$A:$A,"5_Operational"),"",INDEX(Operational_RawData!T:T,MATCH("5_Operational",Operational_RawData!$A:$A,0)+ROWS($2:41)-1))</f>
        <v>0</v>
      </c>
    </row>
    <row r="42" spans="1:20">
      <c r="A42" t="str">
        <f>IF(ROWS($2:42)&gt;COUNTIF(Operational_RawData!$A:$A,"5_Operational"),"",INDEX(Operational_RawData!A:A,MATCH("5_Operational",Operational_RawData!$A:$A,0)+ROWS($2:42)-1))</f>
        <v>5_Operational</v>
      </c>
      <c r="B42">
        <f>IF(ROWS($2:42)&gt;COUNTIF(Operational_RawData!$A:$A,"5_Operational"),"",INDEX(Operational_RawData!B:B,MATCH("5_Operational",Operational_RawData!$A:$A,0)+ROWS($2:42)-1))</f>
        <v>144726.872</v>
      </c>
      <c r="C42">
        <f>IF(ROWS($2:42)&gt;COUNTIF(Operational_RawData!$A:$A,"5_Operational"),"",INDEX(Operational_RawData!C:C,MATCH("5_Operational",Operational_RawData!$A:$A,0)+ROWS($2:42)-1))</f>
        <v>29.97</v>
      </c>
      <c r="D42">
        <f>IF(ROWS($2:42)&gt;COUNTIF(Operational_RawData!$A:$A,"5_Operational"),"",INDEX(Operational_RawData!D:D,MATCH("5_Operational",Operational_RawData!$A:$A,0)+ROWS($2:42)-1))</f>
        <v>1309.8699999999999</v>
      </c>
      <c r="E42">
        <f>IF(ROWS($2:42)&gt;COUNTIF(Operational_RawData!$A:$A,"5_Operational"),"",INDEX(Operational_RawData!E:E,MATCH("5_Operational",Operational_RawData!$A:$A,0)+ROWS($2:42)-1))</f>
        <v>0.37</v>
      </c>
      <c r="F42">
        <f>IF(ROWS($2:42)&gt;COUNTIF(Operational_RawData!$A:$A,"5_Operational"),"",INDEX(Operational_RawData!F:F,MATCH("5_Operational",Operational_RawData!$A:$A,0)+ROWS($2:42)-1))</f>
        <v>223.4</v>
      </c>
      <c r="G42">
        <f>IF(ROWS($2:42)&gt;COUNTIF(Operational_RawData!$A:$A,"5_Operational"),"",INDEX(Operational_RawData!G:G,MATCH("5_Operational",Operational_RawData!$A:$A,0)+ROWS($2:42)-1))</f>
        <v>223.4</v>
      </c>
      <c r="H42">
        <f>IF(ROWS($2:42)&gt;COUNTIF(Operational_RawData!$A:$A,"5_Operational"),"",INDEX(Operational_RawData!H:H,MATCH("5_Operational",Operational_RawData!$A:$A,0)+ROWS($2:42)-1))</f>
        <v>223.4</v>
      </c>
      <c r="I42">
        <f>IF(ROWS($2:42)&gt;COUNTIF(Operational_RawData!$A:$A,"5_Operational"),"",INDEX(Operational_RawData!I:I,MATCH("5_Operational",Operational_RawData!$A:$A,0)+ROWS($2:42)-1))</f>
        <v>223.4</v>
      </c>
      <c r="J42">
        <f>IF(ROWS($2:42)&gt;COUNTIF(Operational_RawData!$A:$A,"5_Operational"),"",INDEX(Operational_RawData!J:J,MATCH("5_Operational",Operational_RawData!$A:$A,0)+ROWS($2:42)-1))</f>
        <v>323.16000000000003</v>
      </c>
      <c r="K42">
        <f>IF(ROWS($2:42)&gt;COUNTIF(Operational_RawData!$A:$A,"5_Operational"),"",INDEX(Operational_RawData!K:K,MATCH("5_Operational",Operational_RawData!$A:$A,0)+ROWS($2:42)-1))</f>
        <v>323.16000000000003</v>
      </c>
      <c r="L42">
        <f>IF(ROWS($2:42)&gt;COUNTIF(Operational_RawData!$A:$A,"5_Operational"),"",INDEX(Operational_RawData!L:L,MATCH("5_Operational",Operational_RawData!$A:$A,0)+ROWS($2:42)-1))</f>
        <v>323.16000000000003</v>
      </c>
      <c r="M42">
        <f>IF(ROWS($2:42)&gt;COUNTIF(Operational_RawData!$A:$A,"5_Operational"),"",INDEX(Operational_RawData!M:M,MATCH("5_Operational",Operational_RawData!$A:$A,0)+ROWS($2:42)-1))</f>
        <v>323.16000000000003</v>
      </c>
      <c r="N42">
        <f>IF(ROWS($2:42)&gt;COUNTIF(Operational_RawData!$A:$A,"5_Operational"),"",INDEX(Operational_RawData!N:N,MATCH("5_Operational",Operational_RawData!$A:$A,0)+ROWS($2:42)-1))</f>
        <v>0.1</v>
      </c>
      <c r="O42">
        <f>IF(ROWS($2:42)&gt;COUNTIF(Operational_RawData!$A:$A,"5_Operational"),"",INDEX(Operational_RawData!O:O,MATCH("5_Operational",Operational_RawData!$A:$A,0)+ROWS($2:42)-1))</f>
        <v>0.15</v>
      </c>
      <c r="P42">
        <f>IF(ROWS($2:42)&gt;COUNTIF(Operational_RawData!$A:$A,"5_Operational"),"",INDEX(Operational_RawData!P:P,MATCH("5_Operational",Operational_RawData!$A:$A,0)+ROWS($2:42)-1))</f>
        <v>7.0000000000000007E-2</v>
      </c>
      <c r="Q42">
        <f>IF(ROWS($2:42)&gt;COUNTIF(Operational_RawData!$A:$A,"5_Operational"),"",INDEX(Operational_RawData!Q:Q,MATCH("5_Operational",Operational_RawData!$A:$A,0)+ROWS($2:42)-1))</f>
        <v>0.1</v>
      </c>
      <c r="R42" t="str">
        <f>IF(ROWS($2:42)&gt;COUNTIF(Operational_RawData!$A:$A,"5_Operational"),"",INDEX(Operational_RawData!R:R,MATCH("5_Operational",Operational_RawData!$A:$A,0)+ROWS($2:42)-1))</f>
        <v>Pass</v>
      </c>
      <c r="S42">
        <f>IF(ROWS($2:42)&gt;COUNTIF(Operational_RawData!$A:$A,"5_Operational"),"",INDEX(Operational_RawData!S:S,MATCH("5_Operational",Operational_RawData!$A:$A,0)+ROWS($2:42)-1))</f>
        <v>0</v>
      </c>
      <c r="T42">
        <f>IF(ROWS($2:42)&gt;COUNTIF(Operational_RawData!$A:$A,"5_Operational"),"",INDEX(Operational_RawData!T:T,MATCH("5_Operational",Operational_RawData!$A:$A,0)+ROWS($2:42)-1))</f>
        <v>0</v>
      </c>
    </row>
    <row r="43" spans="1:20">
      <c r="A43" t="str">
        <f>IF(ROWS($2:43)&gt;COUNTIF(Operational_RawData!$A:$A,"5_Operational"),"",INDEX(Operational_RawData!A:A,MATCH("5_Operational",Operational_RawData!$A:$A,0)+ROWS($2:43)-1))</f>
        <v>5_Operational</v>
      </c>
      <c r="B43">
        <f>IF(ROWS($2:43)&gt;COUNTIF(Operational_RawData!$A:$A,"5_Operational"),"",INDEX(Operational_RawData!B:B,MATCH("5_Operational",Operational_RawData!$A:$A,0)+ROWS($2:43)-1))</f>
        <v>144731.87</v>
      </c>
      <c r="C43">
        <f>IF(ROWS($2:43)&gt;COUNTIF(Operational_RawData!$A:$A,"5_Operational"),"",INDEX(Operational_RawData!C:C,MATCH("5_Operational",Operational_RawData!$A:$A,0)+ROWS($2:43)-1))</f>
        <v>30.73</v>
      </c>
      <c r="D43">
        <f>IF(ROWS($2:43)&gt;COUNTIF(Operational_RawData!$A:$A,"5_Operational"),"",INDEX(Operational_RawData!D:D,MATCH("5_Operational",Operational_RawData!$A:$A,0)+ROWS($2:43)-1))</f>
        <v>1309.943</v>
      </c>
      <c r="E43">
        <f>IF(ROWS($2:43)&gt;COUNTIF(Operational_RawData!$A:$A,"5_Operational"),"",INDEX(Operational_RawData!E:E,MATCH("5_Operational",Operational_RawData!$A:$A,0)+ROWS($2:43)-1))</f>
        <v>0.36</v>
      </c>
      <c r="F43">
        <f>IF(ROWS($2:43)&gt;COUNTIF(Operational_RawData!$A:$A,"5_Operational"),"",INDEX(Operational_RawData!F:F,MATCH("5_Operational",Operational_RawData!$A:$A,0)+ROWS($2:43)-1))</f>
        <v>223.88</v>
      </c>
      <c r="G43">
        <f>IF(ROWS($2:43)&gt;COUNTIF(Operational_RawData!$A:$A,"5_Operational"),"",INDEX(Operational_RawData!G:G,MATCH("5_Operational",Operational_RawData!$A:$A,0)+ROWS($2:43)-1))</f>
        <v>223.88</v>
      </c>
      <c r="H43">
        <f>IF(ROWS($2:43)&gt;COUNTIF(Operational_RawData!$A:$A,"5_Operational"),"",INDEX(Operational_RawData!H:H,MATCH("5_Operational",Operational_RawData!$A:$A,0)+ROWS($2:43)-1))</f>
        <v>223.88</v>
      </c>
      <c r="I43">
        <f>IF(ROWS($2:43)&gt;COUNTIF(Operational_RawData!$A:$A,"5_Operational"),"",INDEX(Operational_RawData!I:I,MATCH("5_Operational",Operational_RawData!$A:$A,0)+ROWS($2:43)-1))</f>
        <v>223.88</v>
      </c>
      <c r="J43">
        <f>IF(ROWS($2:43)&gt;COUNTIF(Operational_RawData!$A:$A,"5_Operational"),"",INDEX(Operational_RawData!J:J,MATCH("5_Operational",Operational_RawData!$A:$A,0)+ROWS($2:43)-1))</f>
        <v>324</v>
      </c>
      <c r="K43">
        <f>IF(ROWS($2:43)&gt;COUNTIF(Operational_RawData!$A:$A,"5_Operational"),"",INDEX(Operational_RawData!K:K,MATCH("5_Operational",Operational_RawData!$A:$A,0)+ROWS($2:43)-1))</f>
        <v>324</v>
      </c>
      <c r="L43">
        <f>IF(ROWS($2:43)&gt;COUNTIF(Operational_RawData!$A:$A,"5_Operational"),"",INDEX(Operational_RawData!L:L,MATCH("5_Operational",Operational_RawData!$A:$A,0)+ROWS($2:43)-1))</f>
        <v>324</v>
      </c>
      <c r="M43">
        <f>IF(ROWS($2:43)&gt;COUNTIF(Operational_RawData!$A:$A,"5_Operational"),"",INDEX(Operational_RawData!M:M,MATCH("5_Operational",Operational_RawData!$A:$A,0)+ROWS($2:43)-1))</f>
        <v>324</v>
      </c>
      <c r="N43">
        <f>IF(ROWS($2:43)&gt;COUNTIF(Operational_RawData!$A:$A,"5_Operational"),"",INDEX(Operational_RawData!N:N,MATCH("5_Operational",Operational_RawData!$A:$A,0)+ROWS($2:43)-1))</f>
        <v>0.1</v>
      </c>
      <c r="O43">
        <f>IF(ROWS($2:43)&gt;COUNTIF(Operational_RawData!$A:$A,"5_Operational"),"",INDEX(Operational_RawData!O:O,MATCH("5_Operational",Operational_RawData!$A:$A,0)+ROWS($2:43)-1))</f>
        <v>0.15</v>
      </c>
      <c r="P43">
        <f>IF(ROWS($2:43)&gt;COUNTIF(Operational_RawData!$A:$A,"5_Operational"),"",INDEX(Operational_RawData!P:P,MATCH("5_Operational",Operational_RawData!$A:$A,0)+ROWS($2:43)-1))</f>
        <v>7.0000000000000007E-2</v>
      </c>
      <c r="Q43">
        <f>IF(ROWS($2:43)&gt;COUNTIF(Operational_RawData!$A:$A,"5_Operational"),"",INDEX(Operational_RawData!Q:Q,MATCH("5_Operational",Operational_RawData!$A:$A,0)+ROWS($2:43)-1))</f>
        <v>0.1</v>
      </c>
      <c r="R43" t="str">
        <f>IF(ROWS($2:43)&gt;COUNTIF(Operational_RawData!$A:$A,"5_Operational"),"",INDEX(Operational_RawData!R:R,MATCH("5_Operational",Operational_RawData!$A:$A,0)+ROWS($2:43)-1))</f>
        <v>Pass</v>
      </c>
      <c r="S43">
        <f>IF(ROWS($2:43)&gt;COUNTIF(Operational_RawData!$A:$A,"5_Operational"),"",INDEX(Operational_RawData!S:S,MATCH("5_Operational",Operational_RawData!$A:$A,0)+ROWS($2:43)-1))</f>
        <v>0</v>
      </c>
      <c r="T43">
        <f>IF(ROWS($2:43)&gt;COUNTIF(Operational_RawData!$A:$A,"5_Operational"),"",INDEX(Operational_RawData!T:T,MATCH("5_Operational",Operational_RawData!$A:$A,0)+ROWS($2:43)-1))</f>
        <v>0</v>
      </c>
    </row>
    <row r="44" spans="1:20">
      <c r="A44" t="str">
        <f>IF(ROWS($2:44)&gt;COUNTIF(Operational_RawData!$A:$A,"5_Operational"),"",INDEX(Operational_RawData!A:A,MATCH("5_Operational",Operational_RawData!$A:$A,0)+ROWS($2:44)-1))</f>
        <v>5_Operational</v>
      </c>
      <c r="B44">
        <f>IF(ROWS($2:44)&gt;COUNTIF(Operational_RawData!$A:$A,"5_Operational"),"",INDEX(Operational_RawData!B:B,MATCH("5_Operational",Operational_RawData!$A:$A,0)+ROWS($2:44)-1))</f>
        <v>144736.87299999999</v>
      </c>
      <c r="C44">
        <f>IF(ROWS($2:44)&gt;COUNTIF(Operational_RawData!$A:$A,"5_Operational"),"",INDEX(Operational_RawData!C:C,MATCH("5_Operational",Operational_RawData!$A:$A,0)+ROWS($2:44)-1))</f>
        <v>31.47</v>
      </c>
      <c r="D44">
        <f>IF(ROWS($2:44)&gt;COUNTIF(Operational_RawData!$A:$A,"5_Operational"),"",INDEX(Operational_RawData!D:D,MATCH("5_Operational",Operational_RawData!$A:$A,0)+ROWS($2:44)-1))</f>
        <v>1310.008</v>
      </c>
      <c r="E44">
        <f>IF(ROWS($2:44)&gt;COUNTIF(Operational_RawData!$A:$A,"5_Operational"),"",INDEX(Operational_RawData!E:E,MATCH("5_Operational",Operational_RawData!$A:$A,0)+ROWS($2:44)-1))</f>
        <v>0.33</v>
      </c>
      <c r="F44">
        <f>IF(ROWS($2:44)&gt;COUNTIF(Operational_RawData!$A:$A,"5_Operational"),"",INDEX(Operational_RawData!F:F,MATCH("5_Operational",Operational_RawData!$A:$A,0)+ROWS($2:44)-1))</f>
        <v>224.28</v>
      </c>
      <c r="G44">
        <f>IF(ROWS($2:44)&gt;COUNTIF(Operational_RawData!$A:$A,"5_Operational"),"",INDEX(Operational_RawData!G:G,MATCH("5_Operational",Operational_RawData!$A:$A,0)+ROWS($2:44)-1))</f>
        <v>224.28</v>
      </c>
      <c r="H44">
        <f>IF(ROWS($2:44)&gt;COUNTIF(Operational_RawData!$A:$A,"5_Operational"),"",INDEX(Operational_RawData!H:H,MATCH("5_Operational",Operational_RawData!$A:$A,0)+ROWS($2:44)-1))</f>
        <v>224.28</v>
      </c>
      <c r="I44">
        <f>IF(ROWS($2:44)&gt;COUNTIF(Operational_RawData!$A:$A,"5_Operational"),"",INDEX(Operational_RawData!I:I,MATCH("5_Operational",Operational_RawData!$A:$A,0)+ROWS($2:44)-1))</f>
        <v>224.28</v>
      </c>
      <c r="J44">
        <f>IF(ROWS($2:44)&gt;COUNTIF(Operational_RawData!$A:$A,"5_Operational"),"",INDEX(Operational_RawData!J:J,MATCH("5_Operational",Operational_RawData!$A:$A,0)+ROWS($2:44)-1))</f>
        <v>324.8</v>
      </c>
      <c r="K44">
        <f>IF(ROWS($2:44)&gt;COUNTIF(Operational_RawData!$A:$A,"5_Operational"),"",INDEX(Operational_RawData!K:K,MATCH("5_Operational",Operational_RawData!$A:$A,0)+ROWS($2:44)-1))</f>
        <v>324.8</v>
      </c>
      <c r="L44">
        <f>IF(ROWS($2:44)&gt;COUNTIF(Operational_RawData!$A:$A,"5_Operational"),"",INDEX(Operational_RawData!L:L,MATCH("5_Operational",Operational_RawData!$A:$A,0)+ROWS($2:44)-1))</f>
        <v>324.8</v>
      </c>
      <c r="M44">
        <f>IF(ROWS($2:44)&gt;COUNTIF(Operational_RawData!$A:$A,"5_Operational"),"",INDEX(Operational_RawData!M:M,MATCH("5_Operational",Operational_RawData!$A:$A,0)+ROWS($2:44)-1))</f>
        <v>324.8</v>
      </c>
      <c r="N44">
        <f>IF(ROWS($2:44)&gt;COUNTIF(Operational_RawData!$A:$A,"5_Operational"),"",INDEX(Operational_RawData!N:N,MATCH("5_Operational",Operational_RawData!$A:$A,0)+ROWS($2:44)-1))</f>
        <v>0.09</v>
      </c>
      <c r="O44">
        <f>IF(ROWS($2:44)&gt;COUNTIF(Operational_RawData!$A:$A,"5_Operational"),"",INDEX(Operational_RawData!O:O,MATCH("5_Operational",Operational_RawData!$A:$A,0)+ROWS($2:44)-1))</f>
        <v>0.15</v>
      </c>
      <c r="P44">
        <f>IF(ROWS($2:44)&gt;COUNTIF(Operational_RawData!$A:$A,"5_Operational"),"",INDEX(Operational_RawData!P:P,MATCH("5_Operational",Operational_RawData!$A:$A,0)+ROWS($2:44)-1))</f>
        <v>7.0000000000000007E-2</v>
      </c>
      <c r="Q44">
        <f>IF(ROWS($2:44)&gt;COUNTIF(Operational_RawData!$A:$A,"5_Operational"),"",INDEX(Operational_RawData!Q:Q,MATCH("5_Operational",Operational_RawData!$A:$A,0)+ROWS($2:44)-1))</f>
        <v>0.1</v>
      </c>
      <c r="R44" t="str">
        <f>IF(ROWS($2:44)&gt;COUNTIF(Operational_RawData!$A:$A,"5_Operational"),"",INDEX(Operational_RawData!R:R,MATCH("5_Operational",Operational_RawData!$A:$A,0)+ROWS($2:44)-1))</f>
        <v>Pass</v>
      </c>
      <c r="S44">
        <f>IF(ROWS($2:44)&gt;COUNTIF(Operational_RawData!$A:$A,"5_Operational"),"",INDEX(Operational_RawData!S:S,MATCH("5_Operational",Operational_RawData!$A:$A,0)+ROWS($2:44)-1))</f>
        <v>0</v>
      </c>
      <c r="T44">
        <f>IF(ROWS($2:44)&gt;COUNTIF(Operational_RawData!$A:$A,"5_Operational"),"",INDEX(Operational_RawData!T:T,MATCH("5_Operational",Operational_RawData!$A:$A,0)+ROWS($2:44)-1))</f>
        <v>0</v>
      </c>
    </row>
    <row r="45" spans="1:20">
      <c r="A45" t="str">
        <f>IF(ROWS($2:45)&gt;COUNTIF(Operational_RawData!$A:$A,"5_Operational"),"",INDEX(Operational_RawData!A:A,MATCH("5_Operational",Operational_RawData!$A:$A,0)+ROWS($2:45)-1))</f>
        <v>5_Operational</v>
      </c>
      <c r="B45">
        <f>IF(ROWS($2:45)&gt;COUNTIF(Operational_RawData!$A:$A,"5_Operational"),"",INDEX(Operational_RawData!B:B,MATCH("5_Operational",Operational_RawData!$A:$A,0)+ROWS($2:45)-1))</f>
        <v>144741.872</v>
      </c>
      <c r="C45">
        <f>IF(ROWS($2:45)&gt;COUNTIF(Operational_RawData!$A:$A,"5_Operational"),"",INDEX(Operational_RawData!C:C,MATCH("5_Operational",Operational_RawData!$A:$A,0)+ROWS($2:45)-1))</f>
        <v>32.22</v>
      </c>
      <c r="D45">
        <f>IF(ROWS($2:45)&gt;COUNTIF(Operational_RawData!$A:$A,"5_Operational"),"",INDEX(Operational_RawData!D:D,MATCH("5_Operational",Operational_RawData!$A:$A,0)+ROWS($2:45)-1))</f>
        <v>1310.079</v>
      </c>
      <c r="E45">
        <f>IF(ROWS($2:45)&gt;COUNTIF(Operational_RawData!$A:$A,"5_Operational"),"",INDEX(Operational_RawData!E:E,MATCH("5_Operational",Operational_RawData!$A:$A,0)+ROWS($2:45)-1))</f>
        <v>0.35</v>
      </c>
      <c r="F45">
        <f>IF(ROWS($2:45)&gt;COUNTIF(Operational_RawData!$A:$A,"5_Operational"),"",INDEX(Operational_RawData!F:F,MATCH("5_Operational",Operational_RawData!$A:$A,0)+ROWS($2:45)-1))</f>
        <v>224.84</v>
      </c>
      <c r="G45">
        <f>IF(ROWS($2:45)&gt;COUNTIF(Operational_RawData!$A:$A,"5_Operational"),"",INDEX(Operational_RawData!G:G,MATCH("5_Operational",Operational_RawData!$A:$A,0)+ROWS($2:45)-1))</f>
        <v>224.84</v>
      </c>
      <c r="H45">
        <f>IF(ROWS($2:45)&gt;COUNTIF(Operational_RawData!$A:$A,"5_Operational"),"",INDEX(Operational_RawData!H:H,MATCH("5_Operational",Operational_RawData!$A:$A,0)+ROWS($2:45)-1))</f>
        <v>224.84</v>
      </c>
      <c r="I45">
        <f>IF(ROWS($2:45)&gt;COUNTIF(Operational_RawData!$A:$A,"5_Operational"),"",INDEX(Operational_RawData!I:I,MATCH("5_Operational",Operational_RawData!$A:$A,0)+ROWS($2:45)-1))</f>
        <v>224.84</v>
      </c>
      <c r="J45">
        <f>IF(ROWS($2:45)&gt;COUNTIF(Operational_RawData!$A:$A,"5_Operational"),"",INDEX(Operational_RawData!J:J,MATCH("5_Operational",Operational_RawData!$A:$A,0)+ROWS($2:45)-1))</f>
        <v>325.72000000000003</v>
      </c>
      <c r="K45">
        <f>IF(ROWS($2:45)&gt;COUNTIF(Operational_RawData!$A:$A,"5_Operational"),"",INDEX(Operational_RawData!K:K,MATCH("5_Operational",Operational_RawData!$A:$A,0)+ROWS($2:45)-1))</f>
        <v>325.72000000000003</v>
      </c>
      <c r="L45">
        <f>IF(ROWS($2:45)&gt;COUNTIF(Operational_RawData!$A:$A,"5_Operational"),"",INDEX(Operational_RawData!L:L,MATCH("5_Operational",Operational_RawData!$A:$A,0)+ROWS($2:45)-1))</f>
        <v>325.72000000000003</v>
      </c>
      <c r="M45">
        <f>IF(ROWS($2:45)&gt;COUNTIF(Operational_RawData!$A:$A,"5_Operational"),"",INDEX(Operational_RawData!M:M,MATCH("5_Operational",Operational_RawData!$A:$A,0)+ROWS($2:45)-1))</f>
        <v>325.72000000000003</v>
      </c>
      <c r="N45">
        <f>IF(ROWS($2:45)&gt;COUNTIF(Operational_RawData!$A:$A,"5_Operational"),"",INDEX(Operational_RawData!N:N,MATCH("5_Operational",Operational_RawData!$A:$A,0)+ROWS($2:45)-1))</f>
        <v>0.09</v>
      </c>
      <c r="O45">
        <f>IF(ROWS($2:45)&gt;COUNTIF(Operational_RawData!$A:$A,"5_Operational"),"",INDEX(Operational_RawData!O:O,MATCH("5_Operational",Operational_RawData!$A:$A,0)+ROWS($2:45)-1))</f>
        <v>0.15</v>
      </c>
      <c r="P45">
        <f>IF(ROWS($2:45)&gt;COUNTIF(Operational_RawData!$A:$A,"5_Operational"),"",INDEX(Operational_RawData!P:P,MATCH("5_Operational",Operational_RawData!$A:$A,0)+ROWS($2:45)-1))</f>
        <v>7.0000000000000007E-2</v>
      </c>
      <c r="Q45">
        <f>IF(ROWS($2:45)&gt;COUNTIF(Operational_RawData!$A:$A,"5_Operational"),"",INDEX(Operational_RawData!Q:Q,MATCH("5_Operational",Operational_RawData!$A:$A,0)+ROWS($2:45)-1))</f>
        <v>0.1</v>
      </c>
      <c r="R45" t="str">
        <f>IF(ROWS($2:45)&gt;COUNTIF(Operational_RawData!$A:$A,"5_Operational"),"",INDEX(Operational_RawData!R:R,MATCH("5_Operational",Operational_RawData!$A:$A,0)+ROWS($2:45)-1))</f>
        <v>Pass</v>
      </c>
      <c r="S45">
        <f>IF(ROWS($2:45)&gt;COUNTIF(Operational_RawData!$A:$A,"5_Operational"),"",INDEX(Operational_RawData!S:S,MATCH("5_Operational",Operational_RawData!$A:$A,0)+ROWS($2:45)-1))</f>
        <v>0</v>
      </c>
      <c r="T45">
        <f>IF(ROWS($2:45)&gt;COUNTIF(Operational_RawData!$A:$A,"5_Operational"),"",INDEX(Operational_RawData!T:T,MATCH("5_Operational",Operational_RawData!$A:$A,0)+ROWS($2:45)-1))</f>
        <v>0</v>
      </c>
    </row>
    <row r="46" spans="1:20">
      <c r="A46" t="str">
        <f>IF(ROWS($2:46)&gt;COUNTIF(Operational_RawData!$A:$A,"5_Operational"),"",INDEX(Operational_RawData!A:A,MATCH("5_Operational",Operational_RawData!$A:$A,0)+ROWS($2:46)-1))</f>
        <v>5_Operational</v>
      </c>
      <c r="B46">
        <f>IF(ROWS($2:46)&gt;COUNTIF(Operational_RawData!$A:$A,"5_Operational"),"",INDEX(Operational_RawData!B:B,MATCH("5_Operational",Operational_RawData!$A:$A,0)+ROWS($2:46)-1))</f>
        <v>144746.87299999999</v>
      </c>
      <c r="C46">
        <f>IF(ROWS($2:46)&gt;COUNTIF(Operational_RawData!$A:$A,"5_Operational"),"",INDEX(Operational_RawData!C:C,MATCH("5_Operational",Operational_RawData!$A:$A,0)+ROWS($2:46)-1))</f>
        <v>32.979999999999997</v>
      </c>
      <c r="D46">
        <f>IF(ROWS($2:46)&gt;COUNTIF(Operational_RawData!$A:$A,"5_Operational"),"",INDEX(Operational_RawData!D:D,MATCH("5_Operational",Operational_RawData!$A:$A,0)+ROWS($2:46)-1))</f>
        <v>1310.152</v>
      </c>
      <c r="E46">
        <f>IF(ROWS($2:46)&gt;COUNTIF(Operational_RawData!$A:$A,"5_Operational"),"",INDEX(Operational_RawData!E:E,MATCH("5_Operational",Operational_RawData!$A:$A,0)+ROWS($2:46)-1))</f>
        <v>0.33</v>
      </c>
      <c r="F46">
        <f>IF(ROWS($2:46)&gt;COUNTIF(Operational_RawData!$A:$A,"5_Operational"),"",INDEX(Operational_RawData!F:F,MATCH("5_Operational",Operational_RawData!$A:$A,0)+ROWS($2:46)-1))</f>
        <v>225.32</v>
      </c>
      <c r="G46">
        <f>IF(ROWS($2:46)&gt;COUNTIF(Operational_RawData!$A:$A,"5_Operational"),"",INDEX(Operational_RawData!G:G,MATCH("5_Operational",Operational_RawData!$A:$A,0)+ROWS($2:46)-1))</f>
        <v>225.32</v>
      </c>
      <c r="H46">
        <f>IF(ROWS($2:46)&gt;COUNTIF(Operational_RawData!$A:$A,"5_Operational"),"",INDEX(Operational_RawData!H:H,MATCH("5_Operational",Operational_RawData!$A:$A,0)+ROWS($2:46)-1))</f>
        <v>225.32</v>
      </c>
      <c r="I46">
        <f>IF(ROWS($2:46)&gt;COUNTIF(Operational_RawData!$A:$A,"5_Operational"),"",INDEX(Operational_RawData!I:I,MATCH("5_Operational",Operational_RawData!$A:$A,0)+ROWS($2:46)-1))</f>
        <v>225.32</v>
      </c>
      <c r="J46">
        <f>IF(ROWS($2:46)&gt;COUNTIF(Operational_RawData!$A:$A,"5_Operational"),"",INDEX(Operational_RawData!J:J,MATCH("5_Operational",Operational_RawData!$A:$A,0)+ROWS($2:46)-1))</f>
        <v>326.76</v>
      </c>
      <c r="K46">
        <f>IF(ROWS($2:46)&gt;COUNTIF(Operational_RawData!$A:$A,"5_Operational"),"",INDEX(Operational_RawData!K:K,MATCH("5_Operational",Operational_RawData!$A:$A,0)+ROWS($2:46)-1))</f>
        <v>326.76</v>
      </c>
      <c r="L46">
        <f>IF(ROWS($2:46)&gt;COUNTIF(Operational_RawData!$A:$A,"5_Operational"),"",INDEX(Operational_RawData!L:L,MATCH("5_Operational",Operational_RawData!$A:$A,0)+ROWS($2:46)-1))</f>
        <v>326.76</v>
      </c>
      <c r="M46">
        <f>IF(ROWS($2:46)&gt;COUNTIF(Operational_RawData!$A:$A,"5_Operational"),"",INDEX(Operational_RawData!M:M,MATCH("5_Operational",Operational_RawData!$A:$A,0)+ROWS($2:46)-1))</f>
        <v>326.76</v>
      </c>
      <c r="N46">
        <f>IF(ROWS($2:46)&gt;COUNTIF(Operational_RawData!$A:$A,"5_Operational"),"",INDEX(Operational_RawData!N:N,MATCH("5_Operational",Operational_RawData!$A:$A,0)+ROWS($2:46)-1))</f>
        <v>0.1</v>
      </c>
      <c r="O46">
        <f>IF(ROWS($2:46)&gt;COUNTIF(Operational_RawData!$A:$A,"5_Operational"),"",INDEX(Operational_RawData!O:O,MATCH("5_Operational",Operational_RawData!$A:$A,0)+ROWS($2:46)-1))</f>
        <v>0.15</v>
      </c>
      <c r="P46">
        <f>IF(ROWS($2:46)&gt;COUNTIF(Operational_RawData!$A:$A,"5_Operational"),"",INDEX(Operational_RawData!P:P,MATCH("5_Operational",Operational_RawData!$A:$A,0)+ROWS($2:46)-1))</f>
        <v>7.0000000000000007E-2</v>
      </c>
      <c r="Q46">
        <f>IF(ROWS($2:46)&gt;COUNTIF(Operational_RawData!$A:$A,"5_Operational"),"",INDEX(Operational_RawData!Q:Q,MATCH("5_Operational",Operational_RawData!$A:$A,0)+ROWS($2:46)-1))</f>
        <v>0.1</v>
      </c>
      <c r="R46" t="str">
        <f>IF(ROWS($2:46)&gt;COUNTIF(Operational_RawData!$A:$A,"5_Operational"),"",INDEX(Operational_RawData!R:R,MATCH("5_Operational",Operational_RawData!$A:$A,0)+ROWS($2:46)-1))</f>
        <v>Pass</v>
      </c>
      <c r="S46">
        <f>IF(ROWS($2:46)&gt;COUNTIF(Operational_RawData!$A:$A,"5_Operational"),"",INDEX(Operational_RawData!S:S,MATCH("5_Operational",Operational_RawData!$A:$A,0)+ROWS($2:46)-1))</f>
        <v>0</v>
      </c>
      <c r="T46">
        <f>IF(ROWS($2:46)&gt;COUNTIF(Operational_RawData!$A:$A,"5_Operational"),"",INDEX(Operational_RawData!T:T,MATCH("5_Operational",Operational_RawData!$A:$A,0)+ROWS($2:46)-1))</f>
        <v>0</v>
      </c>
    </row>
    <row r="47" spans="1:20">
      <c r="A47" t="str">
        <f>IF(ROWS($2:47)&gt;COUNTIF(Operational_RawData!$A:$A,"5_Operational"),"",INDEX(Operational_RawData!A:A,MATCH("5_Operational",Operational_RawData!$A:$A,0)+ROWS($2:47)-1))</f>
        <v>5_Operational</v>
      </c>
      <c r="B47">
        <f>IF(ROWS($2:47)&gt;COUNTIF(Operational_RawData!$A:$A,"5_Operational"),"",INDEX(Operational_RawData!B:B,MATCH("5_Operational",Operational_RawData!$A:$A,0)+ROWS($2:47)-1))</f>
        <v>144751.87400000001</v>
      </c>
      <c r="C47">
        <f>IF(ROWS($2:47)&gt;COUNTIF(Operational_RawData!$A:$A,"5_Operational"),"",INDEX(Operational_RawData!C:C,MATCH("5_Operational",Operational_RawData!$A:$A,0)+ROWS($2:47)-1))</f>
        <v>33.729999999999997</v>
      </c>
      <c r="D47">
        <f>IF(ROWS($2:47)&gt;COUNTIF(Operational_RawData!$A:$A,"5_Operational"),"",INDEX(Operational_RawData!D:D,MATCH("5_Operational",Operational_RawData!$A:$A,0)+ROWS($2:47)-1))</f>
        <v>1310.2329999999999</v>
      </c>
      <c r="E47">
        <f>IF(ROWS($2:47)&gt;COUNTIF(Operational_RawData!$A:$A,"5_Operational"),"",INDEX(Operational_RawData!E:E,MATCH("5_Operational",Operational_RawData!$A:$A,0)+ROWS($2:47)-1))</f>
        <v>0.35</v>
      </c>
      <c r="F47">
        <f>IF(ROWS($2:47)&gt;COUNTIF(Operational_RawData!$A:$A,"5_Operational"),"",INDEX(Operational_RawData!F:F,MATCH("5_Operational",Operational_RawData!$A:$A,0)+ROWS($2:47)-1))</f>
        <v>225.92</v>
      </c>
      <c r="G47">
        <f>IF(ROWS($2:47)&gt;COUNTIF(Operational_RawData!$A:$A,"5_Operational"),"",INDEX(Operational_RawData!G:G,MATCH("5_Operational",Operational_RawData!$A:$A,0)+ROWS($2:47)-1))</f>
        <v>225.92</v>
      </c>
      <c r="H47">
        <f>IF(ROWS($2:47)&gt;COUNTIF(Operational_RawData!$A:$A,"5_Operational"),"",INDEX(Operational_RawData!H:H,MATCH("5_Operational",Operational_RawData!$A:$A,0)+ROWS($2:47)-1))</f>
        <v>225.92</v>
      </c>
      <c r="I47">
        <f>IF(ROWS($2:47)&gt;COUNTIF(Operational_RawData!$A:$A,"5_Operational"),"",INDEX(Operational_RawData!I:I,MATCH("5_Operational",Operational_RawData!$A:$A,0)+ROWS($2:47)-1))</f>
        <v>225.92</v>
      </c>
      <c r="J47">
        <f>IF(ROWS($2:47)&gt;COUNTIF(Operational_RawData!$A:$A,"5_Operational"),"",INDEX(Operational_RawData!J:J,MATCH("5_Operational",Operational_RawData!$A:$A,0)+ROWS($2:47)-1))</f>
        <v>327.84</v>
      </c>
      <c r="K47">
        <f>IF(ROWS($2:47)&gt;COUNTIF(Operational_RawData!$A:$A,"5_Operational"),"",INDEX(Operational_RawData!K:K,MATCH("5_Operational",Operational_RawData!$A:$A,0)+ROWS($2:47)-1))</f>
        <v>327.84</v>
      </c>
      <c r="L47">
        <f>IF(ROWS($2:47)&gt;COUNTIF(Operational_RawData!$A:$A,"5_Operational"),"",INDEX(Operational_RawData!L:L,MATCH("5_Operational",Operational_RawData!$A:$A,0)+ROWS($2:47)-1))</f>
        <v>327.84</v>
      </c>
      <c r="M47">
        <f>IF(ROWS($2:47)&gt;COUNTIF(Operational_RawData!$A:$A,"5_Operational"),"",INDEX(Operational_RawData!M:M,MATCH("5_Operational",Operational_RawData!$A:$A,0)+ROWS($2:47)-1))</f>
        <v>327.84</v>
      </c>
      <c r="N47">
        <f>IF(ROWS($2:47)&gt;COUNTIF(Operational_RawData!$A:$A,"5_Operational"),"",INDEX(Operational_RawData!N:N,MATCH("5_Operational",Operational_RawData!$A:$A,0)+ROWS($2:47)-1))</f>
        <v>0.11</v>
      </c>
      <c r="O47">
        <f>IF(ROWS($2:47)&gt;COUNTIF(Operational_RawData!$A:$A,"5_Operational"),"",INDEX(Operational_RawData!O:O,MATCH("5_Operational",Operational_RawData!$A:$A,0)+ROWS($2:47)-1))</f>
        <v>0.15</v>
      </c>
      <c r="P47">
        <f>IF(ROWS($2:47)&gt;COUNTIF(Operational_RawData!$A:$A,"5_Operational"),"",INDEX(Operational_RawData!P:P,MATCH("5_Operational",Operational_RawData!$A:$A,0)+ROWS($2:47)-1))</f>
        <v>7.0000000000000007E-2</v>
      </c>
      <c r="Q47">
        <f>IF(ROWS($2:47)&gt;COUNTIF(Operational_RawData!$A:$A,"5_Operational"),"",INDEX(Operational_RawData!Q:Q,MATCH("5_Operational",Operational_RawData!$A:$A,0)+ROWS($2:47)-1))</f>
        <v>0.1</v>
      </c>
      <c r="R47" t="str">
        <f>IF(ROWS($2:47)&gt;COUNTIF(Operational_RawData!$A:$A,"5_Operational"),"",INDEX(Operational_RawData!R:R,MATCH("5_Operational",Operational_RawData!$A:$A,0)+ROWS($2:47)-1))</f>
        <v>Pass</v>
      </c>
      <c r="S47">
        <f>IF(ROWS($2:47)&gt;COUNTIF(Operational_RawData!$A:$A,"5_Operational"),"",INDEX(Operational_RawData!S:S,MATCH("5_Operational",Operational_RawData!$A:$A,0)+ROWS($2:47)-1))</f>
        <v>0</v>
      </c>
      <c r="T47">
        <f>IF(ROWS($2:47)&gt;COUNTIF(Operational_RawData!$A:$A,"5_Operational"),"",INDEX(Operational_RawData!T:T,MATCH("5_Operational",Operational_RawData!$A:$A,0)+ROWS($2:47)-1))</f>
        <v>0</v>
      </c>
    </row>
    <row r="48" spans="1:20">
      <c r="A48" t="str">
        <f>IF(ROWS($2:48)&gt;COUNTIF(Operational_RawData!$A:$A,"5_Operational"),"",INDEX(Operational_RawData!A:A,MATCH("5_Operational",Operational_RawData!$A:$A,0)+ROWS($2:48)-1))</f>
        <v>5_Operational</v>
      </c>
      <c r="B48">
        <f>IF(ROWS($2:48)&gt;COUNTIF(Operational_RawData!$A:$A,"5_Operational"),"",INDEX(Operational_RawData!B:B,MATCH("5_Operational",Operational_RawData!$A:$A,0)+ROWS($2:48)-1))</f>
        <v>144756.87899999999</v>
      </c>
      <c r="C48">
        <f>IF(ROWS($2:48)&gt;COUNTIF(Operational_RawData!$A:$A,"5_Operational"),"",INDEX(Operational_RawData!C:C,MATCH("5_Operational",Operational_RawData!$A:$A,0)+ROWS($2:48)-1))</f>
        <v>34.49</v>
      </c>
      <c r="D48">
        <f>IF(ROWS($2:48)&gt;COUNTIF(Operational_RawData!$A:$A,"5_Operational"),"",INDEX(Operational_RawData!D:D,MATCH("5_Operational",Operational_RawData!$A:$A,0)+ROWS($2:48)-1))</f>
        <v>1310.308</v>
      </c>
      <c r="E48">
        <f>IF(ROWS($2:48)&gt;COUNTIF(Operational_RawData!$A:$A,"5_Operational"),"",INDEX(Operational_RawData!E:E,MATCH("5_Operational",Operational_RawData!$A:$A,0)+ROWS($2:48)-1))</f>
        <v>0.41</v>
      </c>
      <c r="F48">
        <f>IF(ROWS($2:48)&gt;COUNTIF(Operational_RawData!$A:$A,"5_Operational"),"",INDEX(Operational_RawData!F:F,MATCH("5_Operational",Operational_RawData!$A:$A,0)+ROWS($2:48)-1))</f>
        <v>226.48</v>
      </c>
      <c r="G48">
        <f>IF(ROWS($2:48)&gt;COUNTIF(Operational_RawData!$A:$A,"5_Operational"),"",INDEX(Operational_RawData!G:G,MATCH("5_Operational",Operational_RawData!$A:$A,0)+ROWS($2:48)-1))</f>
        <v>226.48</v>
      </c>
      <c r="H48">
        <f>IF(ROWS($2:48)&gt;COUNTIF(Operational_RawData!$A:$A,"5_Operational"),"",INDEX(Operational_RawData!H:H,MATCH("5_Operational",Operational_RawData!$A:$A,0)+ROWS($2:48)-1))</f>
        <v>226.48</v>
      </c>
      <c r="I48">
        <f>IF(ROWS($2:48)&gt;COUNTIF(Operational_RawData!$A:$A,"5_Operational"),"",INDEX(Operational_RawData!I:I,MATCH("5_Operational",Operational_RawData!$A:$A,0)+ROWS($2:48)-1))</f>
        <v>226.48</v>
      </c>
      <c r="J48">
        <f>IF(ROWS($2:48)&gt;COUNTIF(Operational_RawData!$A:$A,"5_Operational"),"",INDEX(Operational_RawData!J:J,MATCH("5_Operational",Operational_RawData!$A:$A,0)+ROWS($2:48)-1))</f>
        <v>329.2</v>
      </c>
      <c r="K48">
        <f>IF(ROWS($2:48)&gt;COUNTIF(Operational_RawData!$A:$A,"5_Operational"),"",INDEX(Operational_RawData!K:K,MATCH("5_Operational",Operational_RawData!$A:$A,0)+ROWS($2:48)-1))</f>
        <v>329.2</v>
      </c>
      <c r="L48">
        <f>IF(ROWS($2:48)&gt;COUNTIF(Operational_RawData!$A:$A,"5_Operational"),"",INDEX(Operational_RawData!L:L,MATCH("5_Operational",Operational_RawData!$A:$A,0)+ROWS($2:48)-1))</f>
        <v>329.2</v>
      </c>
      <c r="M48">
        <f>IF(ROWS($2:48)&gt;COUNTIF(Operational_RawData!$A:$A,"5_Operational"),"",INDEX(Operational_RawData!M:M,MATCH("5_Operational",Operational_RawData!$A:$A,0)+ROWS($2:48)-1))</f>
        <v>329.2</v>
      </c>
      <c r="N48">
        <f>IF(ROWS($2:48)&gt;COUNTIF(Operational_RawData!$A:$A,"5_Operational"),"",INDEX(Operational_RawData!N:N,MATCH("5_Operational",Operational_RawData!$A:$A,0)+ROWS($2:48)-1))</f>
        <v>0.1</v>
      </c>
      <c r="O48">
        <f>IF(ROWS($2:48)&gt;COUNTIF(Operational_RawData!$A:$A,"5_Operational"),"",INDEX(Operational_RawData!O:O,MATCH("5_Operational",Operational_RawData!$A:$A,0)+ROWS($2:48)-1))</f>
        <v>0.15</v>
      </c>
      <c r="P48">
        <f>IF(ROWS($2:48)&gt;COUNTIF(Operational_RawData!$A:$A,"5_Operational"),"",INDEX(Operational_RawData!P:P,MATCH("5_Operational",Operational_RawData!$A:$A,0)+ROWS($2:48)-1))</f>
        <v>7.0000000000000007E-2</v>
      </c>
      <c r="Q48">
        <f>IF(ROWS($2:48)&gt;COUNTIF(Operational_RawData!$A:$A,"5_Operational"),"",INDEX(Operational_RawData!Q:Q,MATCH("5_Operational",Operational_RawData!$A:$A,0)+ROWS($2:48)-1))</f>
        <v>0.1</v>
      </c>
      <c r="R48" t="str">
        <f>IF(ROWS($2:48)&gt;COUNTIF(Operational_RawData!$A:$A,"5_Operational"),"",INDEX(Operational_RawData!R:R,MATCH("5_Operational",Operational_RawData!$A:$A,0)+ROWS($2:48)-1))</f>
        <v>Pass</v>
      </c>
      <c r="S48">
        <f>IF(ROWS($2:48)&gt;COUNTIF(Operational_RawData!$A:$A,"5_Operational"),"",INDEX(Operational_RawData!S:S,MATCH("5_Operational",Operational_RawData!$A:$A,0)+ROWS($2:48)-1))</f>
        <v>0</v>
      </c>
      <c r="T48">
        <f>IF(ROWS($2:48)&gt;COUNTIF(Operational_RawData!$A:$A,"5_Operational"),"",INDEX(Operational_RawData!T:T,MATCH("5_Operational",Operational_RawData!$A:$A,0)+ROWS($2:48)-1))</f>
        <v>0</v>
      </c>
    </row>
    <row r="49" spans="1:20">
      <c r="A49" t="str">
        <f>IF(ROWS($2:49)&gt;COUNTIF(Operational_RawData!$A:$A,"5_Operational"),"",INDEX(Operational_RawData!A:A,MATCH("5_Operational",Operational_RawData!$A:$A,0)+ROWS($2:49)-1))</f>
        <v>5_Operational</v>
      </c>
      <c r="B49">
        <f>IF(ROWS($2:49)&gt;COUNTIF(Operational_RawData!$A:$A,"5_Operational"),"",INDEX(Operational_RawData!B:B,MATCH("5_Operational",Operational_RawData!$A:$A,0)+ROWS($2:49)-1))</f>
        <v>144801.87400000001</v>
      </c>
      <c r="C49">
        <f>IF(ROWS($2:49)&gt;COUNTIF(Operational_RawData!$A:$A,"5_Operational"),"",INDEX(Operational_RawData!C:C,MATCH("5_Operational",Operational_RawData!$A:$A,0)+ROWS($2:49)-1))</f>
        <v>35.22</v>
      </c>
      <c r="D49">
        <f>IF(ROWS($2:49)&gt;COUNTIF(Operational_RawData!$A:$A,"5_Operational"),"",INDEX(Operational_RawData!D:D,MATCH("5_Operational",Operational_RawData!$A:$A,0)+ROWS($2:49)-1))</f>
        <v>1310.376</v>
      </c>
      <c r="E49">
        <f>IF(ROWS($2:49)&gt;COUNTIF(Operational_RawData!$A:$A,"5_Operational"),"",INDEX(Operational_RawData!E:E,MATCH("5_Operational",Operational_RawData!$A:$A,0)+ROWS($2:49)-1))</f>
        <v>0.46</v>
      </c>
      <c r="F49">
        <f>IF(ROWS($2:49)&gt;COUNTIF(Operational_RawData!$A:$A,"5_Operational"),"",INDEX(Operational_RawData!F:F,MATCH("5_Operational",Operational_RawData!$A:$A,0)+ROWS($2:49)-1))</f>
        <v>227.32</v>
      </c>
      <c r="G49">
        <f>IF(ROWS($2:49)&gt;COUNTIF(Operational_RawData!$A:$A,"5_Operational"),"",INDEX(Operational_RawData!G:G,MATCH("5_Operational",Operational_RawData!$A:$A,0)+ROWS($2:49)-1))</f>
        <v>227.32</v>
      </c>
      <c r="H49">
        <f>IF(ROWS($2:49)&gt;COUNTIF(Operational_RawData!$A:$A,"5_Operational"),"",INDEX(Operational_RawData!H:H,MATCH("5_Operational",Operational_RawData!$A:$A,0)+ROWS($2:49)-1))</f>
        <v>227.32</v>
      </c>
      <c r="I49">
        <f>IF(ROWS($2:49)&gt;COUNTIF(Operational_RawData!$A:$A,"5_Operational"),"",INDEX(Operational_RawData!I:I,MATCH("5_Operational",Operational_RawData!$A:$A,0)+ROWS($2:49)-1))</f>
        <v>227.32</v>
      </c>
      <c r="J49">
        <f>IF(ROWS($2:49)&gt;COUNTIF(Operational_RawData!$A:$A,"5_Operational"),"",INDEX(Operational_RawData!J:J,MATCH("5_Operational",Operational_RawData!$A:$A,0)+ROWS($2:49)-1))</f>
        <v>330.6</v>
      </c>
      <c r="K49">
        <f>IF(ROWS($2:49)&gt;COUNTIF(Operational_RawData!$A:$A,"5_Operational"),"",INDEX(Operational_RawData!K:K,MATCH("5_Operational",Operational_RawData!$A:$A,0)+ROWS($2:49)-1))</f>
        <v>330.6</v>
      </c>
      <c r="L49">
        <f>IF(ROWS($2:49)&gt;COUNTIF(Operational_RawData!$A:$A,"5_Operational"),"",INDEX(Operational_RawData!L:L,MATCH("5_Operational",Operational_RawData!$A:$A,0)+ROWS($2:49)-1))</f>
        <v>330.6</v>
      </c>
      <c r="M49">
        <f>IF(ROWS($2:49)&gt;COUNTIF(Operational_RawData!$A:$A,"5_Operational"),"",INDEX(Operational_RawData!M:M,MATCH("5_Operational",Operational_RawData!$A:$A,0)+ROWS($2:49)-1))</f>
        <v>330.6</v>
      </c>
      <c r="N49">
        <f>IF(ROWS($2:49)&gt;COUNTIF(Operational_RawData!$A:$A,"5_Operational"),"",INDEX(Operational_RawData!N:N,MATCH("5_Operational",Operational_RawData!$A:$A,0)+ROWS($2:49)-1))</f>
        <v>0.09</v>
      </c>
      <c r="O49">
        <f>IF(ROWS($2:49)&gt;COUNTIF(Operational_RawData!$A:$A,"5_Operational"),"",INDEX(Operational_RawData!O:O,MATCH("5_Operational",Operational_RawData!$A:$A,0)+ROWS($2:49)-1))</f>
        <v>0.15</v>
      </c>
      <c r="P49">
        <f>IF(ROWS($2:49)&gt;COUNTIF(Operational_RawData!$A:$A,"5_Operational"),"",INDEX(Operational_RawData!P:P,MATCH("5_Operational",Operational_RawData!$A:$A,0)+ROWS($2:49)-1))</f>
        <v>7.0000000000000007E-2</v>
      </c>
      <c r="Q49">
        <f>IF(ROWS($2:49)&gt;COUNTIF(Operational_RawData!$A:$A,"5_Operational"),"",INDEX(Operational_RawData!Q:Q,MATCH("5_Operational",Operational_RawData!$A:$A,0)+ROWS($2:49)-1))</f>
        <v>0.1</v>
      </c>
      <c r="R49" t="str">
        <f>IF(ROWS($2:49)&gt;COUNTIF(Operational_RawData!$A:$A,"5_Operational"),"",INDEX(Operational_RawData!R:R,MATCH("5_Operational",Operational_RawData!$A:$A,0)+ROWS($2:49)-1))</f>
        <v>Pass</v>
      </c>
      <c r="S49">
        <f>IF(ROWS($2:49)&gt;COUNTIF(Operational_RawData!$A:$A,"5_Operational"),"",INDEX(Operational_RawData!S:S,MATCH("5_Operational",Operational_RawData!$A:$A,0)+ROWS($2:49)-1))</f>
        <v>0</v>
      </c>
      <c r="T49">
        <f>IF(ROWS($2:49)&gt;COUNTIF(Operational_RawData!$A:$A,"5_Operational"),"",INDEX(Operational_RawData!T:T,MATCH("5_Operational",Operational_RawData!$A:$A,0)+ROWS($2:49)-1))</f>
        <v>0</v>
      </c>
    </row>
    <row r="50" spans="1:20">
      <c r="A50" t="str">
        <f>IF(ROWS($2:50)&gt;COUNTIF(Operational_RawData!$A:$A,"5_Operational"),"",INDEX(Operational_RawData!A:A,MATCH("5_Operational",Operational_RawData!$A:$A,0)+ROWS($2:50)-1))</f>
        <v>5_Operational</v>
      </c>
      <c r="B50">
        <f>IF(ROWS($2:50)&gt;COUNTIF(Operational_RawData!$A:$A,"5_Operational"),"",INDEX(Operational_RawData!B:B,MATCH("5_Operational",Operational_RawData!$A:$A,0)+ROWS($2:50)-1))</f>
        <v>144806.88</v>
      </c>
      <c r="C50">
        <f>IF(ROWS($2:50)&gt;COUNTIF(Operational_RawData!$A:$A,"5_Operational"),"",INDEX(Operational_RawData!C:C,MATCH("5_Operational",Operational_RawData!$A:$A,0)+ROWS($2:50)-1))</f>
        <v>35.97</v>
      </c>
      <c r="D50">
        <f>IF(ROWS($2:50)&gt;COUNTIF(Operational_RawData!$A:$A,"5_Operational"),"",INDEX(Operational_RawData!D:D,MATCH("5_Operational",Operational_RawData!$A:$A,0)+ROWS($2:50)-1))</f>
        <v>1310.452</v>
      </c>
      <c r="E50">
        <f>IF(ROWS($2:50)&gt;COUNTIF(Operational_RawData!$A:$A,"5_Operational"),"",INDEX(Operational_RawData!E:E,MATCH("5_Operational",Operational_RawData!$A:$A,0)+ROWS($2:50)-1))</f>
        <v>0.41</v>
      </c>
      <c r="F50">
        <f>IF(ROWS($2:50)&gt;COUNTIF(Operational_RawData!$A:$A,"5_Operational"),"",INDEX(Operational_RawData!F:F,MATCH("5_Operational",Operational_RawData!$A:$A,0)+ROWS($2:50)-1))</f>
        <v>228.12</v>
      </c>
      <c r="G50">
        <f>IF(ROWS($2:50)&gt;COUNTIF(Operational_RawData!$A:$A,"5_Operational"),"",INDEX(Operational_RawData!G:G,MATCH("5_Operational",Operational_RawData!$A:$A,0)+ROWS($2:50)-1))</f>
        <v>228.12</v>
      </c>
      <c r="H50">
        <f>IF(ROWS($2:50)&gt;COUNTIF(Operational_RawData!$A:$A,"5_Operational"),"",INDEX(Operational_RawData!H:H,MATCH("5_Operational",Operational_RawData!$A:$A,0)+ROWS($2:50)-1))</f>
        <v>228.12</v>
      </c>
      <c r="I50">
        <f>IF(ROWS($2:50)&gt;COUNTIF(Operational_RawData!$A:$A,"5_Operational"),"",INDEX(Operational_RawData!I:I,MATCH("5_Operational",Operational_RawData!$A:$A,0)+ROWS($2:50)-1))</f>
        <v>228.12</v>
      </c>
      <c r="J50">
        <f>IF(ROWS($2:50)&gt;COUNTIF(Operational_RawData!$A:$A,"5_Operational"),"",INDEX(Operational_RawData!J:J,MATCH("5_Operational",Operational_RawData!$A:$A,0)+ROWS($2:50)-1))</f>
        <v>332.24</v>
      </c>
      <c r="K50">
        <f>IF(ROWS($2:50)&gt;COUNTIF(Operational_RawData!$A:$A,"5_Operational"),"",INDEX(Operational_RawData!K:K,MATCH("5_Operational",Operational_RawData!$A:$A,0)+ROWS($2:50)-1))</f>
        <v>332.24</v>
      </c>
      <c r="L50">
        <f>IF(ROWS($2:50)&gt;COUNTIF(Operational_RawData!$A:$A,"5_Operational"),"",INDEX(Operational_RawData!L:L,MATCH("5_Operational",Operational_RawData!$A:$A,0)+ROWS($2:50)-1))</f>
        <v>332.24</v>
      </c>
      <c r="M50">
        <f>IF(ROWS($2:50)&gt;COUNTIF(Operational_RawData!$A:$A,"5_Operational"),"",INDEX(Operational_RawData!M:M,MATCH("5_Operational",Operational_RawData!$A:$A,0)+ROWS($2:50)-1))</f>
        <v>332.24</v>
      </c>
      <c r="N50">
        <f>IF(ROWS($2:50)&gt;COUNTIF(Operational_RawData!$A:$A,"5_Operational"),"",INDEX(Operational_RawData!N:N,MATCH("5_Operational",Operational_RawData!$A:$A,0)+ROWS($2:50)-1))</f>
        <v>0.1</v>
      </c>
      <c r="O50">
        <f>IF(ROWS($2:50)&gt;COUNTIF(Operational_RawData!$A:$A,"5_Operational"),"",INDEX(Operational_RawData!O:O,MATCH("5_Operational",Operational_RawData!$A:$A,0)+ROWS($2:50)-1))</f>
        <v>0.15</v>
      </c>
      <c r="P50">
        <f>IF(ROWS($2:50)&gt;COUNTIF(Operational_RawData!$A:$A,"5_Operational"),"",INDEX(Operational_RawData!P:P,MATCH("5_Operational",Operational_RawData!$A:$A,0)+ROWS($2:50)-1))</f>
        <v>7.0000000000000007E-2</v>
      </c>
      <c r="Q50">
        <f>IF(ROWS($2:50)&gt;COUNTIF(Operational_RawData!$A:$A,"5_Operational"),"",INDEX(Operational_RawData!Q:Q,MATCH("5_Operational",Operational_RawData!$A:$A,0)+ROWS($2:50)-1))</f>
        <v>0.1</v>
      </c>
      <c r="R50" t="str">
        <f>IF(ROWS($2:50)&gt;COUNTIF(Operational_RawData!$A:$A,"5_Operational"),"",INDEX(Operational_RawData!R:R,MATCH("5_Operational",Operational_RawData!$A:$A,0)+ROWS($2:50)-1))</f>
        <v>Pass</v>
      </c>
      <c r="S50">
        <f>IF(ROWS($2:50)&gt;COUNTIF(Operational_RawData!$A:$A,"5_Operational"),"",INDEX(Operational_RawData!S:S,MATCH("5_Operational",Operational_RawData!$A:$A,0)+ROWS($2:50)-1))</f>
        <v>0</v>
      </c>
      <c r="T50">
        <f>IF(ROWS($2:50)&gt;COUNTIF(Operational_RawData!$A:$A,"5_Operational"),"",INDEX(Operational_RawData!T:T,MATCH("5_Operational",Operational_RawData!$A:$A,0)+ROWS($2:50)-1))</f>
        <v>0</v>
      </c>
    </row>
    <row r="51" spans="1:20">
      <c r="A51" t="str">
        <f>IF(ROWS($2:51)&gt;COUNTIF(Operational_RawData!$A:$A,"5_Operational"),"",INDEX(Operational_RawData!A:A,MATCH("5_Operational",Operational_RawData!$A:$A,0)+ROWS($2:51)-1))</f>
        <v>5_Operational</v>
      </c>
      <c r="B51">
        <f>IF(ROWS($2:51)&gt;COUNTIF(Operational_RawData!$A:$A,"5_Operational"),"",INDEX(Operational_RawData!B:B,MATCH("5_Operational",Operational_RawData!$A:$A,0)+ROWS($2:51)-1))</f>
        <v>144811.87400000001</v>
      </c>
      <c r="C51">
        <f>IF(ROWS($2:51)&gt;COUNTIF(Operational_RawData!$A:$A,"5_Operational"),"",INDEX(Operational_RawData!C:C,MATCH("5_Operational",Operational_RawData!$A:$A,0)+ROWS($2:51)-1))</f>
        <v>36.700000000000003</v>
      </c>
      <c r="D51">
        <f>IF(ROWS($2:51)&gt;COUNTIF(Operational_RawData!$A:$A,"5_Operational"),"",INDEX(Operational_RawData!D:D,MATCH("5_Operational",Operational_RawData!$A:$A,0)+ROWS($2:51)-1))</f>
        <v>1310.528</v>
      </c>
      <c r="E51">
        <f>IF(ROWS($2:51)&gt;COUNTIF(Operational_RawData!$A:$A,"5_Operational"),"",INDEX(Operational_RawData!E:E,MATCH("5_Operational",Operational_RawData!$A:$A,0)+ROWS($2:51)-1))</f>
        <v>0.35</v>
      </c>
      <c r="F51">
        <f>IF(ROWS($2:51)&gt;COUNTIF(Operational_RawData!$A:$A,"5_Operational"),"",INDEX(Operational_RawData!F:F,MATCH("5_Operational",Operational_RawData!$A:$A,0)+ROWS($2:51)-1))</f>
        <v>229</v>
      </c>
      <c r="G51">
        <f>IF(ROWS($2:51)&gt;COUNTIF(Operational_RawData!$A:$A,"5_Operational"),"",INDEX(Operational_RawData!G:G,MATCH("5_Operational",Operational_RawData!$A:$A,0)+ROWS($2:51)-1))</f>
        <v>229</v>
      </c>
      <c r="H51">
        <f>IF(ROWS($2:51)&gt;COUNTIF(Operational_RawData!$A:$A,"5_Operational"),"",INDEX(Operational_RawData!H:H,MATCH("5_Operational",Operational_RawData!$A:$A,0)+ROWS($2:51)-1))</f>
        <v>229</v>
      </c>
      <c r="I51">
        <f>IF(ROWS($2:51)&gt;COUNTIF(Operational_RawData!$A:$A,"5_Operational"),"",INDEX(Operational_RawData!I:I,MATCH("5_Operational",Operational_RawData!$A:$A,0)+ROWS($2:51)-1))</f>
        <v>229</v>
      </c>
      <c r="J51">
        <f>IF(ROWS($2:51)&gt;COUNTIF(Operational_RawData!$A:$A,"5_Operational"),"",INDEX(Operational_RawData!J:J,MATCH("5_Operational",Operational_RawData!$A:$A,0)+ROWS($2:51)-1))</f>
        <v>333.8</v>
      </c>
      <c r="K51">
        <f>IF(ROWS($2:51)&gt;COUNTIF(Operational_RawData!$A:$A,"5_Operational"),"",INDEX(Operational_RawData!K:K,MATCH("5_Operational",Operational_RawData!$A:$A,0)+ROWS($2:51)-1))</f>
        <v>333.8</v>
      </c>
      <c r="L51">
        <f>IF(ROWS($2:51)&gt;COUNTIF(Operational_RawData!$A:$A,"5_Operational"),"",INDEX(Operational_RawData!L:L,MATCH("5_Operational",Operational_RawData!$A:$A,0)+ROWS($2:51)-1))</f>
        <v>333.8</v>
      </c>
      <c r="M51">
        <f>IF(ROWS($2:51)&gt;COUNTIF(Operational_RawData!$A:$A,"5_Operational"),"",INDEX(Operational_RawData!M:M,MATCH("5_Operational",Operational_RawData!$A:$A,0)+ROWS($2:51)-1))</f>
        <v>333.8</v>
      </c>
      <c r="N51">
        <f>IF(ROWS($2:51)&gt;COUNTIF(Operational_RawData!$A:$A,"5_Operational"),"",INDEX(Operational_RawData!N:N,MATCH("5_Operational",Operational_RawData!$A:$A,0)+ROWS($2:51)-1))</f>
        <v>0.1</v>
      </c>
      <c r="O51">
        <f>IF(ROWS($2:51)&gt;COUNTIF(Operational_RawData!$A:$A,"5_Operational"),"",INDEX(Operational_RawData!O:O,MATCH("5_Operational",Operational_RawData!$A:$A,0)+ROWS($2:51)-1))</f>
        <v>0.15</v>
      </c>
      <c r="P51">
        <f>IF(ROWS($2:51)&gt;COUNTIF(Operational_RawData!$A:$A,"5_Operational"),"",INDEX(Operational_RawData!P:P,MATCH("5_Operational",Operational_RawData!$A:$A,0)+ROWS($2:51)-1))</f>
        <v>7.0000000000000007E-2</v>
      </c>
      <c r="Q51">
        <f>IF(ROWS($2:51)&gt;COUNTIF(Operational_RawData!$A:$A,"5_Operational"),"",INDEX(Operational_RawData!Q:Q,MATCH("5_Operational",Operational_RawData!$A:$A,0)+ROWS($2:51)-1))</f>
        <v>0.1</v>
      </c>
      <c r="R51" t="str">
        <f>IF(ROWS($2:51)&gt;COUNTIF(Operational_RawData!$A:$A,"5_Operational"),"",INDEX(Operational_RawData!R:R,MATCH("5_Operational",Operational_RawData!$A:$A,0)+ROWS($2:51)-1))</f>
        <v>Pass</v>
      </c>
      <c r="S51">
        <f>IF(ROWS($2:51)&gt;COUNTIF(Operational_RawData!$A:$A,"5_Operational"),"",INDEX(Operational_RawData!S:S,MATCH("5_Operational",Operational_RawData!$A:$A,0)+ROWS($2:51)-1))</f>
        <v>0</v>
      </c>
      <c r="T51">
        <f>IF(ROWS($2:51)&gt;COUNTIF(Operational_RawData!$A:$A,"5_Operational"),"",INDEX(Operational_RawData!T:T,MATCH("5_Operational",Operational_RawData!$A:$A,0)+ROWS($2:51)-1))</f>
        <v>0</v>
      </c>
    </row>
    <row r="52" spans="1:20">
      <c r="A52" t="str">
        <f>IF(ROWS($2:52)&gt;COUNTIF(Operational_RawData!$A:$A,"5_Operational"),"",INDEX(Operational_RawData!A:A,MATCH("5_Operational",Operational_RawData!$A:$A,0)+ROWS($2:52)-1))</f>
        <v>5_Operational</v>
      </c>
      <c r="B52">
        <f>IF(ROWS($2:52)&gt;COUNTIF(Operational_RawData!$A:$A,"5_Operational"),"",INDEX(Operational_RawData!B:B,MATCH("5_Operational",Operational_RawData!$A:$A,0)+ROWS($2:52)-1))</f>
        <v>144816.88099999999</v>
      </c>
      <c r="C52">
        <f>IF(ROWS($2:52)&gt;COUNTIF(Operational_RawData!$A:$A,"5_Operational"),"",INDEX(Operational_RawData!C:C,MATCH("5_Operational",Operational_RawData!$A:$A,0)+ROWS($2:52)-1))</f>
        <v>37.450000000000003</v>
      </c>
      <c r="D52">
        <f>IF(ROWS($2:52)&gt;COUNTIF(Operational_RawData!$A:$A,"5_Operational"),"",INDEX(Operational_RawData!D:D,MATCH("5_Operational",Operational_RawData!$A:$A,0)+ROWS($2:52)-1))</f>
        <v>1310.605</v>
      </c>
      <c r="E52">
        <f>IF(ROWS($2:52)&gt;COUNTIF(Operational_RawData!$A:$A,"5_Operational"),"",INDEX(Operational_RawData!E:E,MATCH("5_Operational",Operational_RawData!$A:$A,0)+ROWS($2:52)-1))</f>
        <v>0.26</v>
      </c>
      <c r="F52">
        <f>IF(ROWS($2:52)&gt;COUNTIF(Operational_RawData!$A:$A,"5_Operational"),"",INDEX(Operational_RawData!F:F,MATCH("5_Operational",Operational_RawData!$A:$A,0)+ROWS($2:52)-1))</f>
        <v>230.12</v>
      </c>
      <c r="G52">
        <f>IF(ROWS($2:52)&gt;COUNTIF(Operational_RawData!$A:$A,"5_Operational"),"",INDEX(Operational_RawData!G:G,MATCH("5_Operational",Operational_RawData!$A:$A,0)+ROWS($2:52)-1))</f>
        <v>230.12</v>
      </c>
      <c r="H52">
        <f>IF(ROWS($2:52)&gt;COUNTIF(Operational_RawData!$A:$A,"5_Operational"),"",INDEX(Operational_RawData!H:H,MATCH("5_Operational",Operational_RawData!$A:$A,0)+ROWS($2:52)-1))</f>
        <v>230.12</v>
      </c>
      <c r="I52">
        <f>IF(ROWS($2:52)&gt;COUNTIF(Operational_RawData!$A:$A,"5_Operational"),"",INDEX(Operational_RawData!I:I,MATCH("5_Operational",Operational_RawData!$A:$A,0)+ROWS($2:52)-1))</f>
        <v>230.12</v>
      </c>
      <c r="J52">
        <f>IF(ROWS($2:52)&gt;COUNTIF(Operational_RawData!$A:$A,"5_Operational"),"",INDEX(Operational_RawData!J:J,MATCH("5_Operational",Operational_RawData!$A:$A,0)+ROWS($2:52)-1))</f>
        <v>335.92</v>
      </c>
      <c r="K52">
        <f>IF(ROWS($2:52)&gt;COUNTIF(Operational_RawData!$A:$A,"5_Operational"),"",INDEX(Operational_RawData!K:K,MATCH("5_Operational",Operational_RawData!$A:$A,0)+ROWS($2:52)-1))</f>
        <v>335.92</v>
      </c>
      <c r="L52">
        <f>IF(ROWS($2:52)&gt;COUNTIF(Operational_RawData!$A:$A,"5_Operational"),"",INDEX(Operational_RawData!L:L,MATCH("5_Operational",Operational_RawData!$A:$A,0)+ROWS($2:52)-1))</f>
        <v>335.92</v>
      </c>
      <c r="M52">
        <f>IF(ROWS($2:52)&gt;COUNTIF(Operational_RawData!$A:$A,"5_Operational"),"",INDEX(Operational_RawData!M:M,MATCH("5_Operational",Operational_RawData!$A:$A,0)+ROWS($2:52)-1))</f>
        <v>335.92</v>
      </c>
      <c r="N52">
        <f>IF(ROWS($2:52)&gt;COUNTIF(Operational_RawData!$A:$A,"5_Operational"),"",INDEX(Operational_RawData!N:N,MATCH("5_Operational",Operational_RawData!$A:$A,0)+ROWS($2:52)-1))</f>
        <v>0.1</v>
      </c>
      <c r="O52">
        <f>IF(ROWS($2:52)&gt;COUNTIF(Operational_RawData!$A:$A,"5_Operational"),"",INDEX(Operational_RawData!O:O,MATCH("5_Operational",Operational_RawData!$A:$A,0)+ROWS($2:52)-1))</f>
        <v>0.15</v>
      </c>
      <c r="P52">
        <f>IF(ROWS($2:52)&gt;COUNTIF(Operational_RawData!$A:$A,"5_Operational"),"",INDEX(Operational_RawData!P:P,MATCH("5_Operational",Operational_RawData!$A:$A,0)+ROWS($2:52)-1))</f>
        <v>7.0000000000000007E-2</v>
      </c>
      <c r="Q52">
        <f>IF(ROWS($2:52)&gt;COUNTIF(Operational_RawData!$A:$A,"5_Operational"),"",INDEX(Operational_RawData!Q:Q,MATCH("5_Operational",Operational_RawData!$A:$A,0)+ROWS($2:52)-1))</f>
        <v>0.1</v>
      </c>
      <c r="R52" t="str">
        <f>IF(ROWS($2:52)&gt;COUNTIF(Operational_RawData!$A:$A,"5_Operational"),"",INDEX(Operational_RawData!R:R,MATCH("5_Operational",Operational_RawData!$A:$A,0)+ROWS($2:52)-1))</f>
        <v>Pass</v>
      </c>
      <c r="S52">
        <f>IF(ROWS($2:52)&gt;COUNTIF(Operational_RawData!$A:$A,"5_Operational"),"",INDEX(Operational_RawData!S:S,MATCH("5_Operational",Operational_RawData!$A:$A,0)+ROWS($2:52)-1))</f>
        <v>0</v>
      </c>
      <c r="T52">
        <f>IF(ROWS($2:52)&gt;COUNTIF(Operational_RawData!$A:$A,"5_Operational"),"",INDEX(Operational_RawData!T:T,MATCH("5_Operational",Operational_RawData!$A:$A,0)+ROWS($2:52)-1))</f>
        <v>0</v>
      </c>
    </row>
    <row r="53" spans="1:20">
      <c r="A53" t="str">
        <f>IF(ROWS($2:53)&gt;COUNTIF(Operational_RawData!$A:$A,"5_Operational"),"",INDEX(Operational_RawData!A:A,MATCH("5_Operational",Operational_RawData!$A:$A,0)+ROWS($2:53)-1))</f>
        <v>5_Operational</v>
      </c>
      <c r="B53">
        <f>IF(ROWS($2:53)&gt;COUNTIF(Operational_RawData!$A:$A,"5_Operational"),"",INDEX(Operational_RawData!B:B,MATCH("5_Operational",Operational_RawData!$A:$A,0)+ROWS($2:53)-1))</f>
        <v>144821.886</v>
      </c>
      <c r="C53">
        <f>IF(ROWS($2:53)&gt;COUNTIF(Operational_RawData!$A:$A,"5_Operational"),"",INDEX(Operational_RawData!C:C,MATCH("5_Operational",Operational_RawData!$A:$A,0)+ROWS($2:53)-1))</f>
        <v>38.18</v>
      </c>
      <c r="D53">
        <f>IF(ROWS($2:53)&gt;COUNTIF(Operational_RawData!$A:$A,"5_Operational"),"",INDEX(Operational_RawData!D:D,MATCH("5_Operational",Operational_RawData!$A:$A,0)+ROWS($2:53)-1))</f>
        <v>1310.683</v>
      </c>
      <c r="E53">
        <f>IF(ROWS($2:53)&gt;COUNTIF(Operational_RawData!$A:$A,"5_Operational"),"",INDEX(Operational_RawData!E:E,MATCH("5_Operational",Operational_RawData!$A:$A,0)+ROWS($2:53)-1))</f>
        <v>0.34</v>
      </c>
      <c r="F53">
        <f>IF(ROWS($2:53)&gt;COUNTIF(Operational_RawData!$A:$A,"5_Operational"),"",INDEX(Operational_RawData!F:F,MATCH("5_Operational",Operational_RawData!$A:$A,0)+ROWS($2:53)-1))</f>
        <v>231.48</v>
      </c>
      <c r="G53">
        <f>IF(ROWS($2:53)&gt;COUNTIF(Operational_RawData!$A:$A,"5_Operational"),"",INDEX(Operational_RawData!G:G,MATCH("5_Operational",Operational_RawData!$A:$A,0)+ROWS($2:53)-1))</f>
        <v>231.48</v>
      </c>
      <c r="H53">
        <f>IF(ROWS($2:53)&gt;COUNTIF(Operational_RawData!$A:$A,"5_Operational"),"",INDEX(Operational_RawData!H:H,MATCH("5_Operational",Operational_RawData!$A:$A,0)+ROWS($2:53)-1))</f>
        <v>231.48</v>
      </c>
      <c r="I53">
        <f>IF(ROWS($2:53)&gt;COUNTIF(Operational_RawData!$A:$A,"5_Operational"),"",INDEX(Operational_RawData!I:I,MATCH("5_Operational",Operational_RawData!$A:$A,0)+ROWS($2:53)-1))</f>
        <v>231.48</v>
      </c>
      <c r="J53">
        <f>IF(ROWS($2:53)&gt;COUNTIF(Operational_RawData!$A:$A,"5_Operational"),"",INDEX(Operational_RawData!J:J,MATCH("5_Operational",Operational_RawData!$A:$A,0)+ROWS($2:53)-1))</f>
        <v>338.16</v>
      </c>
      <c r="K53">
        <f>IF(ROWS($2:53)&gt;COUNTIF(Operational_RawData!$A:$A,"5_Operational"),"",INDEX(Operational_RawData!K:K,MATCH("5_Operational",Operational_RawData!$A:$A,0)+ROWS($2:53)-1))</f>
        <v>338.16</v>
      </c>
      <c r="L53">
        <f>IF(ROWS($2:53)&gt;COUNTIF(Operational_RawData!$A:$A,"5_Operational"),"",INDEX(Operational_RawData!L:L,MATCH("5_Operational",Operational_RawData!$A:$A,0)+ROWS($2:53)-1))</f>
        <v>338.16</v>
      </c>
      <c r="M53">
        <f>IF(ROWS($2:53)&gt;COUNTIF(Operational_RawData!$A:$A,"5_Operational"),"",INDEX(Operational_RawData!M:M,MATCH("5_Operational",Operational_RawData!$A:$A,0)+ROWS($2:53)-1))</f>
        <v>338.16</v>
      </c>
      <c r="N53">
        <f>IF(ROWS($2:53)&gt;COUNTIF(Operational_RawData!$A:$A,"5_Operational"),"",INDEX(Operational_RawData!N:N,MATCH("5_Operational",Operational_RawData!$A:$A,0)+ROWS($2:53)-1))</f>
        <v>0.11</v>
      </c>
      <c r="O53">
        <f>IF(ROWS($2:53)&gt;COUNTIF(Operational_RawData!$A:$A,"5_Operational"),"",INDEX(Operational_RawData!O:O,MATCH("5_Operational",Operational_RawData!$A:$A,0)+ROWS($2:53)-1))</f>
        <v>0.15</v>
      </c>
      <c r="P53">
        <f>IF(ROWS($2:53)&gt;COUNTIF(Operational_RawData!$A:$A,"5_Operational"),"",INDEX(Operational_RawData!P:P,MATCH("5_Operational",Operational_RawData!$A:$A,0)+ROWS($2:53)-1))</f>
        <v>7.0000000000000007E-2</v>
      </c>
      <c r="Q53">
        <f>IF(ROWS($2:53)&gt;COUNTIF(Operational_RawData!$A:$A,"5_Operational"),"",INDEX(Operational_RawData!Q:Q,MATCH("5_Operational",Operational_RawData!$A:$A,0)+ROWS($2:53)-1))</f>
        <v>0.1</v>
      </c>
      <c r="R53" t="str">
        <f>IF(ROWS($2:53)&gt;COUNTIF(Operational_RawData!$A:$A,"5_Operational"),"",INDEX(Operational_RawData!R:R,MATCH("5_Operational",Operational_RawData!$A:$A,0)+ROWS($2:53)-1))</f>
        <v>Pass</v>
      </c>
      <c r="S53">
        <f>IF(ROWS($2:53)&gt;COUNTIF(Operational_RawData!$A:$A,"5_Operational"),"",INDEX(Operational_RawData!S:S,MATCH("5_Operational",Operational_RawData!$A:$A,0)+ROWS($2:53)-1))</f>
        <v>0</v>
      </c>
      <c r="T53">
        <f>IF(ROWS($2:53)&gt;COUNTIF(Operational_RawData!$A:$A,"5_Operational"),"",INDEX(Operational_RawData!T:T,MATCH("5_Operational",Operational_RawData!$A:$A,0)+ROWS($2:53)-1))</f>
        <v>0</v>
      </c>
    </row>
    <row r="54" spans="1:20">
      <c r="A54" t="str">
        <f>IF(ROWS($2:54)&gt;COUNTIF(Operational_RawData!$A:$A,"5_Operational"),"",INDEX(Operational_RawData!A:A,MATCH("5_Operational",Operational_RawData!$A:$A,0)+ROWS($2:54)-1))</f>
        <v>5_Operational</v>
      </c>
      <c r="B54">
        <f>IF(ROWS($2:54)&gt;COUNTIF(Operational_RawData!$A:$A,"5_Operational"),"",INDEX(Operational_RawData!B:B,MATCH("5_Operational",Operational_RawData!$A:$A,0)+ROWS($2:54)-1))</f>
        <v>144826.88500000001</v>
      </c>
      <c r="C54">
        <f>IF(ROWS($2:54)&gt;COUNTIF(Operational_RawData!$A:$A,"5_Operational"),"",INDEX(Operational_RawData!C:C,MATCH("5_Operational",Operational_RawData!$A:$A,0)+ROWS($2:54)-1))</f>
        <v>38.950000000000003</v>
      </c>
      <c r="D54">
        <f>IF(ROWS($2:54)&gt;COUNTIF(Operational_RawData!$A:$A,"5_Operational"),"",INDEX(Operational_RawData!D:D,MATCH("5_Operational",Operational_RawData!$A:$A,0)+ROWS($2:54)-1))</f>
        <v>1310.7619999999999</v>
      </c>
      <c r="E54">
        <f>IF(ROWS($2:54)&gt;COUNTIF(Operational_RawData!$A:$A,"5_Operational"),"",INDEX(Operational_RawData!E:E,MATCH("5_Operational",Operational_RawData!$A:$A,0)+ROWS($2:54)-1))</f>
        <v>0.45</v>
      </c>
      <c r="F54">
        <f>IF(ROWS($2:54)&gt;COUNTIF(Operational_RawData!$A:$A,"5_Operational"),"",INDEX(Operational_RawData!F:F,MATCH("5_Operational",Operational_RawData!$A:$A,0)+ROWS($2:54)-1))</f>
        <v>232.84</v>
      </c>
      <c r="G54">
        <f>IF(ROWS($2:54)&gt;COUNTIF(Operational_RawData!$A:$A,"5_Operational"),"",INDEX(Operational_RawData!G:G,MATCH("5_Operational",Operational_RawData!$A:$A,0)+ROWS($2:54)-1))</f>
        <v>232.84</v>
      </c>
      <c r="H54">
        <f>IF(ROWS($2:54)&gt;COUNTIF(Operational_RawData!$A:$A,"5_Operational"),"",INDEX(Operational_RawData!H:H,MATCH("5_Operational",Operational_RawData!$A:$A,0)+ROWS($2:54)-1))</f>
        <v>232.84</v>
      </c>
      <c r="I54">
        <f>IF(ROWS($2:54)&gt;COUNTIF(Operational_RawData!$A:$A,"5_Operational"),"",INDEX(Operational_RawData!I:I,MATCH("5_Operational",Operational_RawData!$A:$A,0)+ROWS($2:54)-1))</f>
        <v>232.84</v>
      </c>
      <c r="J54">
        <f>IF(ROWS($2:54)&gt;COUNTIF(Operational_RawData!$A:$A,"5_Operational"),"",INDEX(Operational_RawData!J:J,MATCH("5_Operational",Operational_RawData!$A:$A,0)+ROWS($2:54)-1))</f>
        <v>340.36</v>
      </c>
      <c r="K54">
        <f>IF(ROWS($2:54)&gt;COUNTIF(Operational_RawData!$A:$A,"5_Operational"),"",INDEX(Operational_RawData!K:K,MATCH("5_Operational",Operational_RawData!$A:$A,0)+ROWS($2:54)-1))</f>
        <v>340.36</v>
      </c>
      <c r="L54">
        <f>IF(ROWS($2:54)&gt;COUNTIF(Operational_RawData!$A:$A,"5_Operational"),"",INDEX(Operational_RawData!L:L,MATCH("5_Operational",Operational_RawData!$A:$A,0)+ROWS($2:54)-1))</f>
        <v>340.36</v>
      </c>
      <c r="M54">
        <f>IF(ROWS($2:54)&gt;COUNTIF(Operational_RawData!$A:$A,"5_Operational"),"",INDEX(Operational_RawData!M:M,MATCH("5_Operational",Operational_RawData!$A:$A,0)+ROWS($2:54)-1))</f>
        <v>340.36</v>
      </c>
      <c r="N54">
        <f>IF(ROWS($2:54)&gt;COUNTIF(Operational_RawData!$A:$A,"5_Operational"),"",INDEX(Operational_RawData!N:N,MATCH("5_Operational",Operational_RawData!$A:$A,0)+ROWS($2:54)-1))</f>
        <v>0.1</v>
      </c>
      <c r="O54">
        <f>IF(ROWS($2:54)&gt;COUNTIF(Operational_RawData!$A:$A,"5_Operational"),"",INDEX(Operational_RawData!O:O,MATCH("5_Operational",Operational_RawData!$A:$A,0)+ROWS($2:54)-1))</f>
        <v>0.15</v>
      </c>
      <c r="P54">
        <f>IF(ROWS($2:54)&gt;COUNTIF(Operational_RawData!$A:$A,"5_Operational"),"",INDEX(Operational_RawData!P:P,MATCH("5_Operational",Operational_RawData!$A:$A,0)+ROWS($2:54)-1))</f>
        <v>7.0000000000000007E-2</v>
      </c>
      <c r="Q54">
        <f>IF(ROWS($2:54)&gt;COUNTIF(Operational_RawData!$A:$A,"5_Operational"),"",INDEX(Operational_RawData!Q:Q,MATCH("5_Operational",Operational_RawData!$A:$A,0)+ROWS($2:54)-1))</f>
        <v>0.1</v>
      </c>
      <c r="R54" t="str">
        <f>IF(ROWS($2:54)&gt;COUNTIF(Operational_RawData!$A:$A,"5_Operational"),"",INDEX(Operational_RawData!R:R,MATCH("5_Operational",Operational_RawData!$A:$A,0)+ROWS($2:54)-1))</f>
        <v>Pass</v>
      </c>
      <c r="S54">
        <f>IF(ROWS($2:54)&gt;COUNTIF(Operational_RawData!$A:$A,"5_Operational"),"",INDEX(Operational_RawData!S:S,MATCH("5_Operational",Operational_RawData!$A:$A,0)+ROWS($2:54)-1))</f>
        <v>0</v>
      </c>
      <c r="T54">
        <f>IF(ROWS($2:54)&gt;COUNTIF(Operational_RawData!$A:$A,"5_Operational"),"",INDEX(Operational_RawData!T:T,MATCH("5_Operational",Operational_RawData!$A:$A,0)+ROWS($2:54)-1))</f>
        <v>0</v>
      </c>
    </row>
    <row r="55" spans="1:20">
      <c r="A55" t="str">
        <f>IF(ROWS($2:55)&gt;COUNTIF(Operational_RawData!$A:$A,"5_Operational"),"",INDEX(Operational_RawData!A:A,MATCH("5_Operational",Operational_RawData!$A:$A,0)+ROWS($2:55)-1))</f>
        <v>5_Operational</v>
      </c>
      <c r="B55">
        <f>IF(ROWS($2:55)&gt;COUNTIF(Operational_RawData!$A:$A,"5_Operational"),"",INDEX(Operational_RawData!B:B,MATCH("5_Operational",Operational_RawData!$A:$A,0)+ROWS($2:55)-1))</f>
        <v>144831.88500000001</v>
      </c>
      <c r="C55">
        <f>IF(ROWS($2:55)&gt;COUNTIF(Operational_RawData!$A:$A,"5_Operational"),"",INDEX(Operational_RawData!C:C,MATCH("5_Operational",Operational_RawData!$A:$A,0)+ROWS($2:55)-1))</f>
        <v>39.700000000000003</v>
      </c>
      <c r="D55">
        <f>IF(ROWS($2:55)&gt;COUNTIF(Operational_RawData!$A:$A,"5_Operational"),"",INDEX(Operational_RawData!D:D,MATCH("5_Operational",Operational_RawData!$A:$A,0)+ROWS($2:55)-1))</f>
        <v>1310.8530000000001</v>
      </c>
      <c r="E55">
        <f>IF(ROWS($2:55)&gt;COUNTIF(Operational_RawData!$A:$A,"5_Operational"),"",INDEX(Operational_RawData!E:E,MATCH("5_Operational",Operational_RawData!$A:$A,0)+ROWS($2:55)-1))</f>
        <v>0.46</v>
      </c>
      <c r="F55">
        <f>IF(ROWS($2:55)&gt;COUNTIF(Operational_RawData!$A:$A,"5_Operational"),"",INDEX(Operational_RawData!F:F,MATCH("5_Operational",Operational_RawData!$A:$A,0)+ROWS($2:55)-1))</f>
        <v>234.6</v>
      </c>
      <c r="G55">
        <f>IF(ROWS($2:55)&gt;COUNTIF(Operational_RawData!$A:$A,"5_Operational"),"",INDEX(Operational_RawData!G:G,MATCH("5_Operational",Operational_RawData!$A:$A,0)+ROWS($2:55)-1))</f>
        <v>234.6</v>
      </c>
      <c r="H55">
        <f>IF(ROWS($2:55)&gt;COUNTIF(Operational_RawData!$A:$A,"5_Operational"),"",INDEX(Operational_RawData!H:H,MATCH("5_Operational",Operational_RawData!$A:$A,0)+ROWS($2:55)-1))</f>
        <v>234.6</v>
      </c>
      <c r="I55">
        <f>IF(ROWS($2:55)&gt;COUNTIF(Operational_RawData!$A:$A,"5_Operational"),"",INDEX(Operational_RawData!I:I,MATCH("5_Operational",Operational_RawData!$A:$A,0)+ROWS($2:55)-1))</f>
        <v>234.6</v>
      </c>
      <c r="J55">
        <f>IF(ROWS($2:55)&gt;COUNTIF(Operational_RawData!$A:$A,"5_Operational"),"",INDEX(Operational_RawData!J:J,MATCH("5_Operational",Operational_RawData!$A:$A,0)+ROWS($2:55)-1))</f>
        <v>343</v>
      </c>
      <c r="K55">
        <f>IF(ROWS($2:55)&gt;COUNTIF(Operational_RawData!$A:$A,"5_Operational"),"",INDEX(Operational_RawData!K:K,MATCH("5_Operational",Operational_RawData!$A:$A,0)+ROWS($2:55)-1))</f>
        <v>343</v>
      </c>
      <c r="L55">
        <f>IF(ROWS($2:55)&gt;COUNTIF(Operational_RawData!$A:$A,"5_Operational"),"",INDEX(Operational_RawData!L:L,MATCH("5_Operational",Operational_RawData!$A:$A,0)+ROWS($2:55)-1))</f>
        <v>343</v>
      </c>
      <c r="M55">
        <f>IF(ROWS($2:55)&gt;COUNTIF(Operational_RawData!$A:$A,"5_Operational"),"",INDEX(Operational_RawData!M:M,MATCH("5_Operational",Operational_RawData!$A:$A,0)+ROWS($2:55)-1))</f>
        <v>343</v>
      </c>
      <c r="N55">
        <f>IF(ROWS($2:55)&gt;COUNTIF(Operational_RawData!$A:$A,"5_Operational"),"",INDEX(Operational_RawData!N:N,MATCH("5_Operational",Operational_RawData!$A:$A,0)+ROWS($2:55)-1))</f>
        <v>0.12</v>
      </c>
      <c r="O55">
        <f>IF(ROWS($2:55)&gt;COUNTIF(Operational_RawData!$A:$A,"5_Operational"),"",INDEX(Operational_RawData!O:O,MATCH("5_Operational",Operational_RawData!$A:$A,0)+ROWS($2:55)-1))</f>
        <v>0.15</v>
      </c>
      <c r="P55">
        <f>IF(ROWS($2:55)&gt;COUNTIF(Operational_RawData!$A:$A,"5_Operational"),"",INDEX(Operational_RawData!P:P,MATCH("5_Operational",Operational_RawData!$A:$A,0)+ROWS($2:55)-1))</f>
        <v>7.0000000000000007E-2</v>
      </c>
      <c r="Q55">
        <f>IF(ROWS($2:55)&gt;COUNTIF(Operational_RawData!$A:$A,"5_Operational"),"",INDEX(Operational_RawData!Q:Q,MATCH("5_Operational",Operational_RawData!$A:$A,0)+ROWS($2:55)-1))</f>
        <v>0.1</v>
      </c>
      <c r="R55" t="str">
        <f>IF(ROWS($2:55)&gt;COUNTIF(Operational_RawData!$A:$A,"5_Operational"),"",INDEX(Operational_RawData!R:R,MATCH("5_Operational",Operational_RawData!$A:$A,0)+ROWS($2:55)-1))</f>
        <v>Pass</v>
      </c>
      <c r="S55">
        <f>IF(ROWS($2:55)&gt;COUNTIF(Operational_RawData!$A:$A,"5_Operational"),"",INDEX(Operational_RawData!S:S,MATCH("5_Operational",Operational_RawData!$A:$A,0)+ROWS($2:55)-1))</f>
        <v>0</v>
      </c>
      <c r="T55">
        <f>IF(ROWS($2:55)&gt;COUNTIF(Operational_RawData!$A:$A,"5_Operational"),"",INDEX(Operational_RawData!T:T,MATCH("5_Operational",Operational_RawData!$A:$A,0)+ROWS($2:55)-1))</f>
        <v>0</v>
      </c>
    </row>
    <row r="56" spans="1:20">
      <c r="A56" t="str">
        <f>IF(ROWS($2:56)&gt;COUNTIF(Operational_RawData!$A:$A,"5_Operational"),"",INDEX(Operational_RawData!A:A,MATCH("5_Operational",Operational_RawData!$A:$A,0)+ROWS($2:56)-1))</f>
        <v>5_Operational</v>
      </c>
      <c r="B56">
        <f>IF(ROWS($2:56)&gt;COUNTIF(Operational_RawData!$A:$A,"5_Operational"),"",INDEX(Operational_RawData!B:B,MATCH("5_Operational",Operational_RawData!$A:$A,0)+ROWS($2:56)-1))</f>
        <v>144836.88800000001</v>
      </c>
      <c r="C56">
        <f>IF(ROWS($2:56)&gt;COUNTIF(Operational_RawData!$A:$A,"5_Operational"),"",INDEX(Operational_RawData!C:C,MATCH("5_Operational",Operational_RawData!$A:$A,0)+ROWS($2:56)-1))</f>
        <v>40.44</v>
      </c>
      <c r="D56">
        <f>IF(ROWS($2:56)&gt;COUNTIF(Operational_RawData!$A:$A,"5_Operational"),"",INDEX(Operational_RawData!D:D,MATCH("5_Operational",Operational_RawData!$A:$A,0)+ROWS($2:56)-1))</f>
        <v>1310.933</v>
      </c>
      <c r="E56">
        <f>IF(ROWS($2:56)&gt;COUNTIF(Operational_RawData!$A:$A,"5_Operational"),"",INDEX(Operational_RawData!E:E,MATCH("5_Operational",Operational_RawData!$A:$A,0)+ROWS($2:56)-1))</f>
        <v>0.39</v>
      </c>
      <c r="F56">
        <f>IF(ROWS($2:56)&gt;COUNTIF(Operational_RawData!$A:$A,"5_Operational"),"",INDEX(Operational_RawData!F:F,MATCH("5_Operational",Operational_RawData!$A:$A,0)+ROWS($2:56)-1))</f>
        <v>236.24</v>
      </c>
      <c r="G56">
        <f>IF(ROWS($2:56)&gt;COUNTIF(Operational_RawData!$A:$A,"5_Operational"),"",INDEX(Operational_RawData!G:G,MATCH("5_Operational",Operational_RawData!$A:$A,0)+ROWS($2:56)-1))</f>
        <v>236.24</v>
      </c>
      <c r="H56">
        <f>IF(ROWS($2:56)&gt;COUNTIF(Operational_RawData!$A:$A,"5_Operational"),"",INDEX(Operational_RawData!H:H,MATCH("5_Operational",Operational_RawData!$A:$A,0)+ROWS($2:56)-1))</f>
        <v>236.24</v>
      </c>
      <c r="I56">
        <f>IF(ROWS($2:56)&gt;COUNTIF(Operational_RawData!$A:$A,"5_Operational"),"",INDEX(Operational_RawData!I:I,MATCH("5_Operational",Operational_RawData!$A:$A,0)+ROWS($2:56)-1))</f>
        <v>236.24</v>
      </c>
      <c r="J56">
        <f>IF(ROWS($2:56)&gt;COUNTIF(Operational_RawData!$A:$A,"5_Operational"),"",INDEX(Operational_RawData!J:J,MATCH("5_Operational",Operational_RawData!$A:$A,0)+ROWS($2:56)-1))</f>
        <v>345.6</v>
      </c>
      <c r="K56">
        <f>IF(ROWS($2:56)&gt;COUNTIF(Operational_RawData!$A:$A,"5_Operational"),"",INDEX(Operational_RawData!K:K,MATCH("5_Operational",Operational_RawData!$A:$A,0)+ROWS($2:56)-1))</f>
        <v>345.6</v>
      </c>
      <c r="L56">
        <f>IF(ROWS($2:56)&gt;COUNTIF(Operational_RawData!$A:$A,"5_Operational"),"",INDEX(Operational_RawData!L:L,MATCH("5_Operational",Operational_RawData!$A:$A,0)+ROWS($2:56)-1))</f>
        <v>345.6</v>
      </c>
      <c r="M56">
        <f>IF(ROWS($2:56)&gt;COUNTIF(Operational_RawData!$A:$A,"5_Operational"),"",INDEX(Operational_RawData!M:M,MATCH("5_Operational",Operational_RawData!$A:$A,0)+ROWS($2:56)-1))</f>
        <v>345.6</v>
      </c>
      <c r="N56">
        <f>IF(ROWS($2:56)&gt;COUNTIF(Operational_RawData!$A:$A,"5_Operational"),"",INDEX(Operational_RawData!N:N,MATCH("5_Operational",Operational_RawData!$A:$A,0)+ROWS($2:56)-1))</f>
        <v>0.11</v>
      </c>
      <c r="O56">
        <f>IF(ROWS($2:56)&gt;COUNTIF(Operational_RawData!$A:$A,"5_Operational"),"",INDEX(Operational_RawData!O:O,MATCH("5_Operational",Operational_RawData!$A:$A,0)+ROWS($2:56)-1))</f>
        <v>0.15</v>
      </c>
      <c r="P56">
        <f>IF(ROWS($2:56)&gt;COUNTIF(Operational_RawData!$A:$A,"5_Operational"),"",INDEX(Operational_RawData!P:P,MATCH("5_Operational",Operational_RawData!$A:$A,0)+ROWS($2:56)-1))</f>
        <v>7.0000000000000007E-2</v>
      </c>
      <c r="Q56">
        <f>IF(ROWS($2:56)&gt;COUNTIF(Operational_RawData!$A:$A,"5_Operational"),"",INDEX(Operational_RawData!Q:Q,MATCH("5_Operational",Operational_RawData!$A:$A,0)+ROWS($2:56)-1))</f>
        <v>0.1</v>
      </c>
      <c r="R56" t="str">
        <f>IF(ROWS($2:56)&gt;COUNTIF(Operational_RawData!$A:$A,"5_Operational"),"",INDEX(Operational_RawData!R:R,MATCH("5_Operational",Operational_RawData!$A:$A,0)+ROWS($2:56)-1))</f>
        <v>Pass</v>
      </c>
      <c r="S56">
        <f>IF(ROWS($2:56)&gt;COUNTIF(Operational_RawData!$A:$A,"5_Operational"),"",INDEX(Operational_RawData!S:S,MATCH("5_Operational",Operational_RawData!$A:$A,0)+ROWS($2:56)-1))</f>
        <v>0</v>
      </c>
      <c r="T56">
        <f>IF(ROWS($2:56)&gt;COUNTIF(Operational_RawData!$A:$A,"5_Operational"),"",INDEX(Operational_RawData!T:T,MATCH("5_Operational",Operational_RawData!$A:$A,0)+ROWS($2:56)-1))</f>
        <v>0</v>
      </c>
    </row>
    <row r="57" spans="1:20">
      <c r="A57" t="str">
        <f>IF(ROWS($2:57)&gt;COUNTIF(Operational_RawData!$A:$A,"5_Operational"),"",INDEX(Operational_RawData!A:A,MATCH("5_Operational",Operational_RawData!$A:$A,0)+ROWS($2:57)-1))</f>
        <v>5_Operational</v>
      </c>
      <c r="B57">
        <f>IF(ROWS($2:57)&gt;COUNTIF(Operational_RawData!$A:$A,"5_Operational"),"",INDEX(Operational_RawData!B:B,MATCH("5_Operational",Operational_RawData!$A:$A,0)+ROWS($2:57)-1))</f>
        <v>144841.88500000001</v>
      </c>
      <c r="C57">
        <f>IF(ROWS($2:57)&gt;COUNTIF(Operational_RawData!$A:$A,"5_Operational"),"",INDEX(Operational_RawData!C:C,MATCH("5_Operational",Operational_RawData!$A:$A,0)+ROWS($2:57)-1))</f>
        <v>41.2</v>
      </c>
      <c r="D57">
        <f>IF(ROWS($2:57)&gt;COUNTIF(Operational_RawData!$A:$A,"5_Operational"),"",INDEX(Operational_RawData!D:D,MATCH("5_Operational",Operational_RawData!$A:$A,0)+ROWS($2:57)-1))</f>
        <v>1311.008</v>
      </c>
      <c r="E57">
        <f>IF(ROWS($2:57)&gt;COUNTIF(Operational_RawData!$A:$A,"5_Operational"),"",INDEX(Operational_RawData!E:E,MATCH("5_Operational",Operational_RawData!$A:$A,0)+ROWS($2:57)-1))</f>
        <v>0.39</v>
      </c>
      <c r="F57">
        <f>IF(ROWS($2:57)&gt;COUNTIF(Operational_RawData!$A:$A,"5_Operational"),"",INDEX(Operational_RawData!F:F,MATCH("5_Operational",Operational_RawData!$A:$A,0)+ROWS($2:57)-1))</f>
        <v>238.2</v>
      </c>
      <c r="G57">
        <f>IF(ROWS($2:57)&gt;COUNTIF(Operational_RawData!$A:$A,"5_Operational"),"",INDEX(Operational_RawData!G:G,MATCH("5_Operational",Operational_RawData!$A:$A,0)+ROWS($2:57)-1))</f>
        <v>238.2</v>
      </c>
      <c r="H57">
        <f>IF(ROWS($2:57)&gt;COUNTIF(Operational_RawData!$A:$A,"5_Operational"),"",INDEX(Operational_RawData!H:H,MATCH("5_Operational",Operational_RawData!$A:$A,0)+ROWS($2:57)-1))</f>
        <v>238.2</v>
      </c>
      <c r="I57">
        <f>IF(ROWS($2:57)&gt;COUNTIF(Operational_RawData!$A:$A,"5_Operational"),"",INDEX(Operational_RawData!I:I,MATCH("5_Operational",Operational_RawData!$A:$A,0)+ROWS($2:57)-1))</f>
        <v>238.2</v>
      </c>
      <c r="J57">
        <f>IF(ROWS($2:57)&gt;COUNTIF(Operational_RawData!$A:$A,"5_Operational"),"",INDEX(Operational_RawData!J:J,MATCH("5_Operational",Operational_RawData!$A:$A,0)+ROWS($2:57)-1))</f>
        <v>348.52</v>
      </c>
      <c r="K57">
        <f>IF(ROWS($2:57)&gt;COUNTIF(Operational_RawData!$A:$A,"5_Operational"),"",INDEX(Operational_RawData!K:K,MATCH("5_Operational",Operational_RawData!$A:$A,0)+ROWS($2:57)-1))</f>
        <v>348.52</v>
      </c>
      <c r="L57">
        <f>IF(ROWS($2:57)&gt;COUNTIF(Operational_RawData!$A:$A,"5_Operational"),"",INDEX(Operational_RawData!L:L,MATCH("5_Operational",Operational_RawData!$A:$A,0)+ROWS($2:57)-1))</f>
        <v>348.52</v>
      </c>
      <c r="M57">
        <f>IF(ROWS($2:57)&gt;COUNTIF(Operational_RawData!$A:$A,"5_Operational"),"",INDEX(Operational_RawData!M:M,MATCH("5_Operational",Operational_RawData!$A:$A,0)+ROWS($2:57)-1))</f>
        <v>348.52</v>
      </c>
      <c r="N57">
        <f>IF(ROWS($2:57)&gt;COUNTIF(Operational_RawData!$A:$A,"5_Operational"),"",INDEX(Operational_RawData!N:N,MATCH("5_Operational",Operational_RawData!$A:$A,0)+ROWS($2:57)-1))</f>
        <v>0.1</v>
      </c>
      <c r="O57">
        <f>IF(ROWS($2:57)&gt;COUNTIF(Operational_RawData!$A:$A,"5_Operational"),"",INDEX(Operational_RawData!O:O,MATCH("5_Operational",Operational_RawData!$A:$A,0)+ROWS($2:57)-1))</f>
        <v>0.15</v>
      </c>
      <c r="P57">
        <f>IF(ROWS($2:57)&gt;COUNTIF(Operational_RawData!$A:$A,"5_Operational"),"",INDEX(Operational_RawData!P:P,MATCH("5_Operational",Operational_RawData!$A:$A,0)+ROWS($2:57)-1))</f>
        <v>7.0000000000000007E-2</v>
      </c>
      <c r="Q57">
        <f>IF(ROWS($2:57)&gt;COUNTIF(Operational_RawData!$A:$A,"5_Operational"),"",INDEX(Operational_RawData!Q:Q,MATCH("5_Operational",Operational_RawData!$A:$A,0)+ROWS($2:57)-1))</f>
        <v>0.1</v>
      </c>
      <c r="R57" t="str">
        <f>IF(ROWS($2:57)&gt;COUNTIF(Operational_RawData!$A:$A,"5_Operational"),"",INDEX(Operational_RawData!R:R,MATCH("5_Operational",Operational_RawData!$A:$A,0)+ROWS($2:57)-1))</f>
        <v>Pass</v>
      </c>
      <c r="S57">
        <f>IF(ROWS($2:57)&gt;COUNTIF(Operational_RawData!$A:$A,"5_Operational"),"",INDEX(Operational_RawData!S:S,MATCH("5_Operational",Operational_RawData!$A:$A,0)+ROWS($2:57)-1))</f>
        <v>0</v>
      </c>
      <c r="T57">
        <f>IF(ROWS($2:57)&gt;COUNTIF(Operational_RawData!$A:$A,"5_Operational"),"",INDEX(Operational_RawData!T:T,MATCH("5_Operational",Operational_RawData!$A:$A,0)+ROWS($2:57)-1))</f>
        <v>0</v>
      </c>
    </row>
    <row r="58" spans="1:20">
      <c r="A58" t="str">
        <f>IF(ROWS($2:58)&gt;COUNTIF(Operational_RawData!$A:$A,"5_Operational"),"",INDEX(Operational_RawData!A:A,MATCH("5_Operational",Operational_RawData!$A:$A,0)+ROWS($2:58)-1))</f>
        <v>5_Operational</v>
      </c>
      <c r="B58">
        <f>IF(ROWS($2:58)&gt;COUNTIF(Operational_RawData!$A:$A,"5_Operational"),"",INDEX(Operational_RawData!B:B,MATCH("5_Operational",Operational_RawData!$A:$A,0)+ROWS($2:58)-1))</f>
        <v>144846.88</v>
      </c>
      <c r="C58">
        <f>IF(ROWS($2:58)&gt;COUNTIF(Operational_RawData!$A:$A,"5_Operational"),"",INDEX(Operational_RawData!C:C,MATCH("5_Operational",Operational_RawData!$A:$A,0)+ROWS($2:58)-1))</f>
        <v>41.93</v>
      </c>
      <c r="D58">
        <f>IF(ROWS($2:58)&gt;COUNTIF(Operational_RawData!$A:$A,"5_Operational"),"",INDEX(Operational_RawData!D:D,MATCH("5_Operational",Operational_RawData!$A:$A,0)+ROWS($2:58)-1))</f>
        <v>1311.0909999999999</v>
      </c>
      <c r="E58">
        <f>IF(ROWS($2:58)&gt;COUNTIF(Operational_RawData!$A:$A,"5_Operational"),"",INDEX(Operational_RawData!E:E,MATCH("5_Operational",Operational_RawData!$A:$A,0)+ROWS($2:58)-1))</f>
        <v>0.35</v>
      </c>
      <c r="F58">
        <f>IF(ROWS($2:58)&gt;COUNTIF(Operational_RawData!$A:$A,"5_Operational"),"",INDEX(Operational_RawData!F:F,MATCH("5_Operational",Operational_RawData!$A:$A,0)+ROWS($2:58)-1))</f>
        <v>240.04</v>
      </c>
      <c r="G58">
        <f>IF(ROWS($2:58)&gt;COUNTIF(Operational_RawData!$A:$A,"5_Operational"),"",INDEX(Operational_RawData!G:G,MATCH("5_Operational",Operational_RawData!$A:$A,0)+ROWS($2:58)-1))</f>
        <v>240.04</v>
      </c>
      <c r="H58">
        <f>IF(ROWS($2:58)&gt;COUNTIF(Operational_RawData!$A:$A,"5_Operational"),"",INDEX(Operational_RawData!H:H,MATCH("5_Operational",Operational_RawData!$A:$A,0)+ROWS($2:58)-1))</f>
        <v>240.04</v>
      </c>
      <c r="I58">
        <f>IF(ROWS($2:58)&gt;COUNTIF(Operational_RawData!$A:$A,"5_Operational"),"",INDEX(Operational_RawData!I:I,MATCH("5_Operational",Operational_RawData!$A:$A,0)+ROWS($2:58)-1))</f>
        <v>240.04</v>
      </c>
      <c r="J58">
        <f>IF(ROWS($2:58)&gt;COUNTIF(Operational_RawData!$A:$A,"5_Operational"),"",INDEX(Operational_RawData!J:J,MATCH("5_Operational",Operational_RawData!$A:$A,0)+ROWS($2:58)-1))</f>
        <v>351.32</v>
      </c>
      <c r="K58">
        <f>IF(ROWS($2:58)&gt;COUNTIF(Operational_RawData!$A:$A,"5_Operational"),"",INDEX(Operational_RawData!K:K,MATCH("5_Operational",Operational_RawData!$A:$A,0)+ROWS($2:58)-1))</f>
        <v>351.32</v>
      </c>
      <c r="L58">
        <f>IF(ROWS($2:58)&gt;COUNTIF(Operational_RawData!$A:$A,"5_Operational"),"",INDEX(Operational_RawData!L:L,MATCH("5_Operational",Operational_RawData!$A:$A,0)+ROWS($2:58)-1))</f>
        <v>351.32</v>
      </c>
      <c r="M58">
        <f>IF(ROWS($2:58)&gt;COUNTIF(Operational_RawData!$A:$A,"5_Operational"),"",INDEX(Operational_RawData!M:M,MATCH("5_Operational",Operational_RawData!$A:$A,0)+ROWS($2:58)-1))</f>
        <v>351.32</v>
      </c>
      <c r="N58">
        <f>IF(ROWS($2:58)&gt;COUNTIF(Operational_RawData!$A:$A,"5_Operational"),"",INDEX(Operational_RawData!N:N,MATCH("5_Operational",Operational_RawData!$A:$A,0)+ROWS($2:58)-1))</f>
        <v>0.11</v>
      </c>
      <c r="O58">
        <f>IF(ROWS($2:58)&gt;COUNTIF(Operational_RawData!$A:$A,"5_Operational"),"",INDEX(Operational_RawData!O:O,MATCH("5_Operational",Operational_RawData!$A:$A,0)+ROWS($2:58)-1))</f>
        <v>0.15</v>
      </c>
      <c r="P58">
        <f>IF(ROWS($2:58)&gt;COUNTIF(Operational_RawData!$A:$A,"5_Operational"),"",INDEX(Operational_RawData!P:P,MATCH("5_Operational",Operational_RawData!$A:$A,0)+ROWS($2:58)-1))</f>
        <v>7.0000000000000007E-2</v>
      </c>
      <c r="Q58">
        <f>IF(ROWS($2:58)&gt;COUNTIF(Operational_RawData!$A:$A,"5_Operational"),"",INDEX(Operational_RawData!Q:Q,MATCH("5_Operational",Operational_RawData!$A:$A,0)+ROWS($2:58)-1))</f>
        <v>0.1</v>
      </c>
      <c r="R58" t="str">
        <f>IF(ROWS($2:58)&gt;COUNTIF(Operational_RawData!$A:$A,"5_Operational"),"",INDEX(Operational_RawData!R:R,MATCH("5_Operational",Operational_RawData!$A:$A,0)+ROWS($2:58)-1))</f>
        <v>Pass</v>
      </c>
      <c r="S58">
        <f>IF(ROWS($2:58)&gt;COUNTIF(Operational_RawData!$A:$A,"5_Operational"),"",INDEX(Operational_RawData!S:S,MATCH("5_Operational",Operational_RawData!$A:$A,0)+ROWS($2:58)-1))</f>
        <v>0</v>
      </c>
      <c r="T58">
        <f>IF(ROWS($2:58)&gt;COUNTIF(Operational_RawData!$A:$A,"5_Operational"),"",INDEX(Operational_RawData!T:T,MATCH("5_Operational",Operational_RawData!$A:$A,0)+ROWS($2:58)-1))</f>
        <v>0</v>
      </c>
    </row>
    <row r="59" spans="1:20">
      <c r="A59" t="str">
        <f>IF(ROWS($2:59)&gt;COUNTIF(Operational_RawData!$A:$A,"5_Operational"),"",INDEX(Operational_RawData!A:A,MATCH("5_Operational",Operational_RawData!$A:$A,0)+ROWS($2:59)-1))</f>
        <v>5_Operational</v>
      </c>
      <c r="B59">
        <f>IF(ROWS($2:59)&gt;COUNTIF(Operational_RawData!$A:$A,"5_Operational"),"",INDEX(Operational_RawData!B:B,MATCH("5_Operational",Operational_RawData!$A:$A,0)+ROWS($2:59)-1))</f>
        <v>144851.88399999999</v>
      </c>
      <c r="C59">
        <f>IF(ROWS($2:59)&gt;COUNTIF(Operational_RawData!$A:$A,"5_Operational"),"",INDEX(Operational_RawData!C:C,MATCH("5_Operational",Operational_RawData!$A:$A,0)+ROWS($2:59)-1))</f>
        <v>42.69</v>
      </c>
      <c r="D59">
        <f>IF(ROWS($2:59)&gt;COUNTIF(Operational_RawData!$A:$A,"5_Operational"),"",INDEX(Operational_RawData!D:D,MATCH("5_Operational",Operational_RawData!$A:$A,0)+ROWS($2:59)-1))</f>
        <v>1311.1769999999999</v>
      </c>
      <c r="E59">
        <f>IF(ROWS($2:59)&gt;COUNTIF(Operational_RawData!$A:$A,"5_Operational"),"",INDEX(Operational_RawData!E:E,MATCH("5_Operational",Operational_RawData!$A:$A,0)+ROWS($2:59)-1))</f>
        <v>0.27</v>
      </c>
      <c r="F59">
        <f>IF(ROWS($2:59)&gt;COUNTIF(Operational_RawData!$A:$A,"5_Operational"),"",INDEX(Operational_RawData!F:F,MATCH("5_Operational",Operational_RawData!$A:$A,0)+ROWS($2:59)-1))</f>
        <v>242.2</v>
      </c>
      <c r="G59">
        <f>IF(ROWS($2:59)&gt;COUNTIF(Operational_RawData!$A:$A,"5_Operational"),"",INDEX(Operational_RawData!G:G,MATCH("5_Operational",Operational_RawData!$A:$A,0)+ROWS($2:59)-1))</f>
        <v>242.2</v>
      </c>
      <c r="H59">
        <f>IF(ROWS($2:59)&gt;COUNTIF(Operational_RawData!$A:$A,"5_Operational"),"",INDEX(Operational_RawData!H:H,MATCH("5_Operational",Operational_RawData!$A:$A,0)+ROWS($2:59)-1))</f>
        <v>242.2</v>
      </c>
      <c r="I59">
        <f>IF(ROWS($2:59)&gt;COUNTIF(Operational_RawData!$A:$A,"5_Operational"),"",INDEX(Operational_RawData!I:I,MATCH("5_Operational",Operational_RawData!$A:$A,0)+ROWS($2:59)-1))</f>
        <v>242.2</v>
      </c>
      <c r="J59">
        <f>IF(ROWS($2:59)&gt;COUNTIF(Operational_RawData!$A:$A,"5_Operational"),"",INDEX(Operational_RawData!J:J,MATCH("5_Operational",Operational_RawData!$A:$A,0)+ROWS($2:59)-1))</f>
        <v>354.4</v>
      </c>
      <c r="K59">
        <f>IF(ROWS($2:59)&gt;COUNTIF(Operational_RawData!$A:$A,"5_Operational"),"",INDEX(Operational_RawData!K:K,MATCH("5_Operational",Operational_RawData!$A:$A,0)+ROWS($2:59)-1))</f>
        <v>354.44</v>
      </c>
      <c r="L59">
        <f>IF(ROWS($2:59)&gt;COUNTIF(Operational_RawData!$A:$A,"5_Operational"),"",INDEX(Operational_RawData!L:L,MATCH("5_Operational",Operational_RawData!$A:$A,0)+ROWS($2:59)-1))</f>
        <v>354.44</v>
      </c>
      <c r="M59">
        <f>IF(ROWS($2:59)&gt;COUNTIF(Operational_RawData!$A:$A,"5_Operational"),"",INDEX(Operational_RawData!M:M,MATCH("5_Operational",Operational_RawData!$A:$A,0)+ROWS($2:59)-1))</f>
        <v>354.44</v>
      </c>
      <c r="N59">
        <f>IF(ROWS($2:59)&gt;COUNTIF(Operational_RawData!$A:$A,"5_Operational"),"",INDEX(Operational_RawData!N:N,MATCH("5_Operational",Operational_RawData!$A:$A,0)+ROWS($2:59)-1))</f>
        <v>0.11</v>
      </c>
      <c r="O59">
        <f>IF(ROWS($2:59)&gt;COUNTIF(Operational_RawData!$A:$A,"5_Operational"),"",INDEX(Operational_RawData!O:O,MATCH("5_Operational",Operational_RawData!$A:$A,0)+ROWS($2:59)-1))</f>
        <v>0.15</v>
      </c>
      <c r="P59">
        <f>IF(ROWS($2:59)&gt;COUNTIF(Operational_RawData!$A:$A,"5_Operational"),"",INDEX(Operational_RawData!P:P,MATCH("5_Operational",Operational_RawData!$A:$A,0)+ROWS($2:59)-1))</f>
        <v>7.0000000000000007E-2</v>
      </c>
      <c r="Q59">
        <f>IF(ROWS($2:59)&gt;COUNTIF(Operational_RawData!$A:$A,"5_Operational"),"",INDEX(Operational_RawData!Q:Q,MATCH("5_Operational",Operational_RawData!$A:$A,0)+ROWS($2:59)-1))</f>
        <v>0.1</v>
      </c>
      <c r="R59" t="str">
        <f>IF(ROWS($2:59)&gt;COUNTIF(Operational_RawData!$A:$A,"5_Operational"),"",INDEX(Operational_RawData!R:R,MATCH("5_Operational",Operational_RawData!$A:$A,0)+ROWS($2:59)-1))</f>
        <v>Pass</v>
      </c>
      <c r="S59">
        <f>IF(ROWS($2:59)&gt;COUNTIF(Operational_RawData!$A:$A,"5_Operational"),"",INDEX(Operational_RawData!S:S,MATCH("5_Operational",Operational_RawData!$A:$A,0)+ROWS($2:59)-1))</f>
        <v>0</v>
      </c>
      <c r="T59">
        <f>IF(ROWS($2:59)&gt;COUNTIF(Operational_RawData!$A:$A,"5_Operational"),"",INDEX(Operational_RawData!T:T,MATCH("5_Operational",Operational_RawData!$A:$A,0)+ROWS($2:59)-1))</f>
        <v>0</v>
      </c>
    </row>
    <row r="60" spans="1:20">
      <c r="A60" t="str">
        <f>IF(ROWS($2:60)&gt;COUNTIF(Operational_RawData!$A:$A,"5_Operational"),"",INDEX(Operational_RawData!A:A,MATCH("5_Operational",Operational_RawData!$A:$A,0)+ROWS($2:60)-1))</f>
        <v>5_Operational</v>
      </c>
      <c r="B60">
        <f>IF(ROWS($2:60)&gt;COUNTIF(Operational_RawData!$A:$A,"5_Operational"),"",INDEX(Operational_RawData!B:B,MATCH("5_Operational",Operational_RawData!$A:$A,0)+ROWS($2:60)-1))</f>
        <v>144856.886</v>
      </c>
      <c r="C60">
        <f>IF(ROWS($2:60)&gt;COUNTIF(Operational_RawData!$A:$A,"5_Operational"),"",INDEX(Operational_RawData!C:C,MATCH("5_Operational",Operational_RawData!$A:$A,0)+ROWS($2:60)-1))</f>
        <v>43.42</v>
      </c>
      <c r="D60">
        <f>IF(ROWS($2:60)&gt;COUNTIF(Operational_RawData!$A:$A,"5_Operational"),"",INDEX(Operational_RawData!D:D,MATCH("5_Operational",Operational_RawData!$A:$A,0)+ROWS($2:60)-1))</f>
        <v>1311.2629999999999</v>
      </c>
      <c r="E60">
        <f>IF(ROWS($2:60)&gt;COUNTIF(Operational_RawData!$A:$A,"5_Operational"),"",INDEX(Operational_RawData!E:E,MATCH("5_Operational",Operational_RawData!$A:$A,0)+ROWS($2:60)-1))</f>
        <v>0.3</v>
      </c>
      <c r="F60">
        <f>IF(ROWS($2:60)&gt;COUNTIF(Operational_RawData!$A:$A,"5_Operational"),"",INDEX(Operational_RawData!F:F,MATCH("5_Operational",Operational_RawData!$A:$A,0)+ROWS($2:60)-1))</f>
        <v>244.36</v>
      </c>
      <c r="G60">
        <f>IF(ROWS($2:60)&gt;COUNTIF(Operational_RawData!$A:$A,"5_Operational"),"",INDEX(Operational_RawData!G:G,MATCH("5_Operational",Operational_RawData!$A:$A,0)+ROWS($2:60)-1))</f>
        <v>244.36</v>
      </c>
      <c r="H60">
        <f>IF(ROWS($2:60)&gt;COUNTIF(Operational_RawData!$A:$A,"5_Operational"),"",INDEX(Operational_RawData!H:H,MATCH("5_Operational",Operational_RawData!$A:$A,0)+ROWS($2:60)-1))</f>
        <v>244.36</v>
      </c>
      <c r="I60">
        <f>IF(ROWS($2:60)&gt;COUNTIF(Operational_RawData!$A:$A,"5_Operational"),"",INDEX(Operational_RawData!I:I,MATCH("5_Operational",Operational_RawData!$A:$A,0)+ROWS($2:60)-1))</f>
        <v>244.36</v>
      </c>
      <c r="J60">
        <f>IF(ROWS($2:60)&gt;COUNTIF(Operational_RawData!$A:$A,"5_Operational"),"",INDEX(Operational_RawData!J:J,MATCH("5_Operational",Operational_RawData!$A:$A,0)+ROWS($2:60)-1))</f>
        <v>357.32</v>
      </c>
      <c r="K60">
        <f>IF(ROWS($2:60)&gt;COUNTIF(Operational_RawData!$A:$A,"5_Operational"),"",INDEX(Operational_RawData!K:K,MATCH("5_Operational",Operational_RawData!$A:$A,0)+ROWS($2:60)-1))</f>
        <v>357.32</v>
      </c>
      <c r="L60">
        <f>IF(ROWS($2:60)&gt;COUNTIF(Operational_RawData!$A:$A,"5_Operational"),"",INDEX(Operational_RawData!L:L,MATCH("5_Operational",Operational_RawData!$A:$A,0)+ROWS($2:60)-1))</f>
        <v>357.32</v>
      </c>
      <c r="M60">
        <f>IF(ROWS($2:60)&gt;COUNTIF(Operational_RawData!$A:$A,"5_Operational"),"",INDEX(Operational_RawData!M:M,MATCH("5_Operational",Operational_RawData!$A:$A,0)+ROWS($2:60)-1))</f>
        <v>357.32</v>
      </c>
      <c r="N60">
        <f>IF(ROWS($2:60)&gt;COUNTIF(Operational_RawData!$A:$A,"5_Operational"),"",INDEX(Operational_RawData!N:N,MATCH("5_Operational",Operational_RawData!$A:$A,0)+ROWS($2:60)-1))</f>
        <v>0.12</v>
      </c>
      <c r="O60">
        <f>IF(ROWS($2:60)&gt;COUNTIF(Operational_RawData!$A:$A,"5_Operational"),"",INDEX(Operational_RawData!O:O,MATCH("5_Operational",Operational_RawData!$A:$A,0)+ROWS($2:60)-1))</f>
        <v>0.15</v>
      </c>
      <c r="P60">
        <f>IF(ROWS($2:60)&gt;COUNTIF(Operational_RawData!$A:$A,"5_Operational"),"",INDEX(Operational_RawData!P:P,MATCH("5_Operational",Operational_RawData!$A:$A,0)+ROWS($2:60)-1))</f>
        <v>7.0000000000000007E-2</v>
      </c>
      <c r="Q60">
        <f>IF(ROWS($2:60)&gt;COUNTIF(Operational_RawData!$A:$A,"5_Operational"),"",INDEX(Operational_RawData!Q:Q,MATCH("5_Operational",Operational_RawData!$A:$A,0)+ROWS($2:60)-1))</f>
        <v>0.1</v>
      </c>
      <c r="R60" t="str">
        <f>IF(ROWS($2:60)&gt;COUNTIF(Operational_RawData!$A:$A,"5_Operational"),"",INDEX(Operational_RawData!R:R,MATCH("5_Operational",Operational_RawData!$A:$A,0)+ROWS($2:60)-1))</f>
        <v>Pass</v>
      </c>
      <c r="S60">
        <f>IF(ROWS($2:60)&gt;COUNTIF(Operational_RawData!$A:$A,"5_Operational"),"",INDEX(Operational_RawData!S:S,MATCH("5_Operational",Operational_RawData!$A:$A,0)+ROWS($2:60)-1))</f>
        <v>0</v>
      </c>
      <c r="T60">
        <f>IF(ROWS($2:60)&gt;COUNTIF(Operational_RawData!$A:$A,"5_Operational"),"",INDEX(Operational_RawData!T:T,MATCH("5_Operational",Operational_RawData!$A:$A,0)+ROWS($2:60)-1))</f>
        <v>0</v>
      </c>
    </row>
    <row r="61" spans="1:20">
      <c r="A61" t="str">
        <f>IF(ROWS($2:61)&gt;COUNTIF(Operational_RawData!$A:$A,"5_Operational"),"",INDEX(Operational_RawData!A:A,MATCH("5_Operational",Operational_RawData!$A:$A,0)+ROWS($2:61)-1))</f>
        <v>5_Operational</v>
      </c>
      <c r="B61">
        <f>IF(ROWS($2:61)&gt;COUNTIF(Operational_RawData!$A:$A,"5_Operational"),"",INDEX(Operational_RawData!B:B,MATCH("5_Operational",Operational_RawData!$A:$A,0)+ROWS($2:61)-1))</f>
        <v>144901.89199999999</v>
      </c>
      <c r="C61">
        <f>IF(ROWS($2:61)&gt;COUNTIF(Operational_RawData!$A:$A,"5_Operational"),"",INDEX(Operational_RawData!C:C,MATCH("5_Operational",Operational_RawData!$A:$A,0)+ROWS($2:61)-1))</f>
        <v>44.17</v>
      </c>
      <c r="D61">
        <f>IF(ROWS($2:61)&gt;COUNTIF(Operational_RawData!$A:$A,"5_Operational"),"",INDEX(Operational_RawData!D:D,MATCH("5_Operational",Operational_RawData!$A:$A,0)+ROWS($2:61)-1))</f>
        <v>1311.348</v>
      </c>
      <c r="E61">
        <f>IF(ROWS($2:61)&gt;COUNTIF(Operational_RawData!$A:$A,"5_Operational"),"",INDEX(Operational_RawData!E:E,MATCH("5_Operational",Operational_RawData!$A:$A,0)+ROWS($2:61)-1))</f>
        <v>0.28000000000000003</v>
      </c>
      <c r="F61">
        <f>IF(ROWS($2:61)&gt;COUNTIF(Operational_RawData!$A:$A,"5_Operational"),"",INDEX(Operational_RawData!F:F,MATCH("5_Operational",Operational_RawData!$A:$A,0)+ROWS($2:61)-1))</f>
        <v>246.28</v>
      </c>
      <c r="G61">
        <f>IF(ROWS($2:61)&gt;COUNTIF(Operational_RawData!$A:$A,"5_Operational"),"",INDEX(Operational_RawData!G:G,MATCH("5_Operational",Operational_RawData!$A:$A,0)+ROWS($2:61)-1))</f>
        <v>246.28</v>
      </c>
      <c r="H61">
        <f>IF(ROWS($2:61)&gt;COUNTIF(Operational_RawData!$A:$A,"5_Operational"),"",INDEX(Operational_RawData!H:H,MATCH("5_Operational",Operational_RawData!$A:$A,0)+ROWS($2:61)-1))</f>
        <v>246.28</v>
      </c>
      <c r="I61">
        <f>IF(ROWS($2:61)&gt;COUNTIF(Operational_RawData!$A:$A,"5_Operational"),"",INDEX(Operational_RawData!I:I,MATCH("5_Operational",Operational_RawData!$A:$A,0)+ROWS($2:61)-1))</f>
        <v>246.28</v>
      </c>
      <c r="J61">
        <f>IF(ROWS($2:61)&gt;COUNTIF(Operational_RawData!$A:$A,"5_Operational"),"",INDEX(Operational_RawData!J:J,MATCH("5_Operational",Operational_RawData!$A:$A,0)+ROWS($2:61)-1))</f>
        <v>360.36</v>
      </c>
      <c r="K61">
        <f>IF(ROWS($2:61)&gt;COUNTIF(Operational_RawData!$A:$A,"5_Operational"),"",INDEX(Operational_RawData!K:K,MATCH("5_Operational",Operational_RawData!$A:$A,0)+ROWS($2:61)-1))</f>
        <v>360.36</v>
      </c>
      <c r="L61">
        <f>IF(ROWS($2:61)&gt;COUNTIF(Operational_RawData!$A:$A,"5_Operational"),"",INDEX(Operational_RawData!L:L,MATCH("5_Operational",Operational_RawData!$A:$A,0)+ROWS($2:61)-1))</f>
        <v>360.36</v>
      </c>
      <c r="M61">
        <f>IF(ROWS($2:61)&gt;COUNTIF(Operational_RawData!$A:$A,"5_Operational"),"",INDEX(Operational_RawData!M:M,MATCH("5_Operational",Operational_RawData!$A:$A,0)+ROWS($2:61)-1))</f>
        <v>360.36</v>
      </c>
      <c r="N61">
        <f>IF(ROWS($2:61)&gt;COUNTIF(Operational_RawData!$A:$A,"5_Operational"),"",INDEX(Operational_RawData!N:N,MATCH("5_Operational",Operational_RawData!$A:$A,0)+ROWS($2:61)-1))</f>
        <v>0.11</v>
      </c>
      <c r="O61">
        <f>IF(ROWS($2:61)&gt;COUNTIF(Operational_RawData!$A:$A,"5_Operational"),"",INDEX(Operational_RawData!O:O,MATCH("5_Operational",Operational_RawData!$A:$A,0)+ROWS($2:61)-1))</f>
        <v>0.15</v>
      </c>
      <c r="P61">
        <f>IF(ROWS($2:61)&gt;COUNTIF(Operational_RawData!$A:$A,"5_Operational"),"",INDEX(Operational_RawData!P:P,MATCH("5_Operational",Operational_RawData!$A:$A,0)+ROWS($2:61)-1))</f>
        <v>7.0000000000000007E-2</v>
      </c>
      <c r="Q61">
        <f>IF(ROWS($2:61)&gt;COUNTIF(Operational_RawData!$A:$A,"5_Operational"),"",INDEX(Operational_RawData!Q:Q,MATCH("5_Operational",Operational_RawData!$A:$A,0)+ROWS($2:61)-1))</f>
        <v>0.1</v>
      </c>
      <c r="R61" t="str">
        <f>IF(ROWS($2:61)&gt;COUNTIF(Operational_RawData!$A:$A,"5_Operational"),"",INDEX(Operational_RawData!R:R,MATCH("5_Operational",Operational_RawData!$A:$A,0)+ROWS($2:61)-1))</f>
        <v>Pass</v>
      </c>
      <c r="S61">
        <f>IF(ROWS($2:61)&gt;COUNTIF(Operational_RawData!$A:$A,"5_Operational"),"",INDEX(Operational_RawData!S:S,MATCH("5_Operational",Operational_RawData!$A:$A,0)+ROWS($2:61)-1))</f>
        <v>0</v>
      </c>
      <c r="T61">
        <f>IF(ROWS($2:61)&gt;COUNTIF(Operational_RawData!$A:$A,"5_Operational"),"",INDEX(Operational_RawData!T:T,MATCH("5_Operational",Operational_RawData!$A:$A,0)+ROWS($2:61)-1))</f>
        <v>0</v>
      </c>
    </row>
    <row r="62" spans="1:20">
      <c r="A62" t="str">
        <f>IF(ROWS($2:62)&gt;COUNTIF(Operational_RawData!$A:$A,"5_Operational"),"",INDEX(Operational_RawData!A:A,MATCH("5_Operational",Operational_RawData!$A:$A,0)+ROWS($2:62)-1))</f>
        <v>5_Operational</v>
      </c>
      <c r="B62">
        <f>IF(ROWS($2:62)&gt;COUNTIF(Operational_RawData!$A:$A,"5_Operational"),"",INDEX(Operational_RawData!B:B,MATCH("5_Operational",Operational_RawData!$A:$A,0)+ROWS($2:62)-1))</f>
        <v>144906.889</v>
      </c>
      <c r="C62">
        <f>IF(ROWS($2:62)&gt;COUNTIF(Operational_RawData!$A:$A,"5_Operational"),"",INDEX(Operational_RawData!C:C,MATCH("5_Operational",Operational_RawData!$A:$A,0)+ROWS($2:62)-1))</f>
        <v>44.9</v>
      </c>
      <c r="D62">
        <f>IF(ROWS($2:62)&gt;COUNTIF(Operational_RawData!$A:$A,"5_Operational"),"",INDEX(Operational_RawData!D:D,MATCH("5_Operational",Operational_RawData!$A:$A,0)+ROWS($2:62)-1))</f>
        <v>1311.444</v>
      </c>
      <c r="E62">
        <f>IF(ROWS($2:62)&gt;COUNTIF(Operational_RawData!$A:$A,"5_Operational"),"",INDEX(Operational_RawData!E:E,MATCH("5_Operational",Operational_RawData!$A:$A,0)+ROWS($2:62)-1))</f>
        <v>0.34</v>
      </c>
      <c r="F62">
        <f>IF(ROWS($2:62)&gt;COUNTIF(Operational_RawData!$A:$A,"5_Operational"),"",INDEX(Operational_RawData!F:F,MATCH("5_Operational",Operational_RawData!$A:$A,0)+ROWS($2:62)-1))</f>
        <v>248.72</v>
      </c>
      <c r="G62">
        <f>IF(ROWS($2:62)&gt;COUNTIF(Operational_RawData!$A:$A,"5_Operational"),"",INDEX(Operational_RawData!G:G,MATCH("5_Operational",Operational_RawData!$A:$A,0)+ROWS($2:62)-1))</f>
        <v>248.72</v>
      </c>
      <c r="H62">
        <f>IF(ROWS($2:62)&gt;COUNTIF(Operational_RawData!$A:$A,"5_Operational"),"",INDEX(Operational_RawData!H:H,MATCH("5_Operational",Operational_RawData!$A:$A,0)+ROWS($2:62)-1))</f>
        <v>248.72</v>
      </c>
      <c r="I62">
        <f>IF(ROWS($2:62)&gt;COUNTIF(Operational_RawData!$A:$A,"5_Operational"),"",INDEX(Operational_RawData!I:I,MATCH("5_Operational",Operational_RawData!$A:$A,0)+ROWS($2:62)-1))</f>
        <v>248.72</v>
      </c>
      <c r="J62">
        <f>IF(ROWS($2:62)&gt;COUNTIF(Operational_RawData!$A:$A,"5_Operational"),"",INDEX(Operational_RawData!J:J,MATCH("5_Operational",Operational_RawData!$A:$A,0)+ROWS($2:62)-1))</f>
        <v>364.04</v>
      </c>
      <c r="K62">
        <f>IF(ROWS($2:62)&gt;COUNTIF(Operational_RawData!$A:$A,"5_Operational"),"",INDEX(Operational_RawData!K:K,MATCH("5_Operational",Operational_RawData!$A:$A,0)+ROWS($2:62)-1))</f>
        <v>364.04</v>
      </c>
      <c r="L62">
        <f>IF(ROWS($2:62)&gt;COUNTIF(Operational_RawData!$A:$A,"5_Operational"),"",INDEX(Operational_RawData!L:L,MATCH("5_Operational",Operational_RawData!$A:$A,0)+ROWS($2:62)-1))</f>
        <v>364.04</v>
      </c>
      <c r="M62">
        <f>IF(ROWS($2:62)&gt;COUNTIF(Operational_RawData!$A:$A,"5_Operational"),"",INDEX(Operational_RawData!M:M,MATCH("5_Operational",Operational_RawData!$A:$A,0)+ROWS($2:62)-1))</f>
        <v>364.04</v>
      </c>
      <c r="N62">
        <f>IF(ROWS($2:62)&gt;COUNTIF(Operational_RawData!$A:$A,"5_Operational"),"",INDEX(Operational_RawData!N:N,MATCH("5_Operational",Operational_RawData!$A:$A,0)+ROWS($2:62)-1))</f>
        <v>0.13</v>
      </c>
      <c r="O62">
        <f>IF(ROWS($2:62)&gt;COUNTIF(Operational_RawData!$A:$A,"5_Operational"),"",INDEX(Operational_RawData!O:O,MATCH("5_Operational",Operational_RawData!$A:$A,0)+ROWS($2:62)-1))</f>
        <v>0.15</v>
      </c>
      <c r="P62">
        <f>IF(ROWS($2:62)&gt;COUNTIF(Operational_RawData!$A:$A,"5_Operational"),"",INDEX(Operational_RawData!P:P,MATCH("5_Operational",Operational_RawData!$A:$A,0)+ROWS($2:62)-1))</f>
        <v>7.0000000000000007E-2</v>
      </c>
      <c r="Q62">
        <f>IF(ROWS($2:62)&gt;COUNTIF(Operational_RawData!$A:$A,"5_Operational"),"",INDEX(Operational_RawData!Q:Q,MATCH("5_Operational",Operational_RawData!$A:$A,0)+ROWS($2:62)-1))</f>
        <v>0.1</v>
      </c>
      <c r="R62" t="str">
        <f>IF(ROWS($2:62)&gt;COUNTIF(Operational_RawData!$A:$A,"5_Operational"),"",INDEX(Operational_RawData!R:R,MATCH("5_Operational",Operational_RawData!$A:$A,0)+ROWS($2:62)-1))</f>
        <v>Pass</v>
      </c>
      <c r="S62">
        <f>IF(ROWS($2:62)&gt;COUNTIF(Operational_RawData!$A:$A,"5_Operational"),"",INDEX(Operational_RawData!S:S,MATCH("5_Operational",Operational_RawData!$A:$A,0)+ROWS($2:62)-1))</f>
        <v>0</v>
      </c>
      <c r="T62">
        <f>IF(ROWS($2:62)&gt;COUNTIF(Operational_RawData!$A:$A,"5_Operational"),"",INDEX(Operational_RawData!T:T,MATCH("5_Operational",Operational_RawData!$A:$A,0)+ROWS($2:62)-1))</f>
        <v>0</v>
      </c>
    </row>
    <row r="63" spans="1:20">
      <c r="A63" t="str">
        <f>IF(ROWS($2:63)&gt;COUNTIF(Operational_RawData!$A:$A,"5_Operational"),"",INDEX(Operational_RawData!A:A,MATCH("5_Operational",Operational_RawData!$A:$A,0)+ROWS($2:63)-1))</f>
        <v>5_Operational</v>
      </c>
      <c r="B63">
        <f>IF(ROWS($2:63)&gt;COUNTIF(Operational_RawData!$A:$A,"5_Operational"),"",INDEX(Operational_RawData!B:B,MATCH("5_Operational",Operational_RawData!$A:$A,0)+ROWS($2:63)-1))</f>
        <v>144911.89300000001</v>
      </c>
      <c r="C63">
        <f>IF(ROWS($2:63)&gt;COUNTIF(Operational_RawData!$A:$A,"5_Operational"),"",INDEX(Operational_RawData!C:C,MATCH("5_Operational",Operational_RawData!$A:$A,0)+ROWS($2:63)-1))</f>
        <v>45.63</v>
      </c>
      <c r="D63">
        <f>IF(ROWS($2:63)&gt;COUNTIF(Operational_RawData!$A:$A,"5_Operational"),"",INDEX(Operational_RawData!D:D,MATCH("5_Operational",Operational_RawData!$A:$A,0)+ROWS($2:63)-1))</f>
        <v>1311.5219999999999</v>
      </c>
      <c r="E63">
        <f>IF(ROWS($2:63)&gt;COUNTIF(Operational_RawData!$A:$A,"5_Operational"),"",INDEX(Operational_RawData!E:E,MATCH("5_Operational",Operational_RawData!$A:$A,0)+ROWS($2:63)-1))</f>
        <v>0.26</v>
      </c>
      <c r="F63">
        <f>IF(ROWS($2:63)&gt;COUNTIF(Operational_RawData!$A:$A,"5_Operational"),"",INDEX(Operational_RawData!F:F,MATCH("5_Operational",Operational_RawData!$A:$A,0)+ROWS($2:63)-1))</f>
        <v>251</v>
      </c>
      <c r="G63">
        <f>IF(ROWS($2:63)&gt;COUNTIF(Operational_RawData!$A:$A,"5_Operational"),"",INDEX(Operational_RawData!G:G,MATCH("5_Operational",Operational_RawData!$A:$A,0)+ROWS($2:63)-1))</f>
        <v>251</v>
      </c>
      <c r="H63">
        <f>IF(ROWS($2:63)&gt;COUNTIF(Operational_RawData!$A:$A,"5_Operational"),"",INDEX(Operational_RawData!H:H,MATCH("5_Operational",Operational_RawData!$A:$A,0)+ROWS($2:63)-1))</f>
        <v>251</v>
      </c>
      <c r="I63">
        <f>IF(ROWS($2:63)&gt;COUNTIF(Operational_RawData!$A:$A,"5_Operational"),"",INDEX(Operational_RawData!I:I,MATCH("5_Operational",Operational_RawData!$A:$A,0)+ROWS($2:63)-1))</f>
        <v>251</v>
      </c>
      <c r="J63">
        <f>IF(ROWS($2:63)&gt;COUNTIF(Operational_RawData!$A:$A,"5_Operational"),"",INDEX(Operational_RawData!J:J,MATCH("5_Operational",Operational_RawData!$A:$A,0)+ROWS($2:63)-1))</f>
        <v>367.64</v>
      </c>
      <c r="K63">
        <f>IF(ROWS($2:63)&gt;COUNTIF(Operational_RawData!$A:$A,"5_Operational"),"",INDEX(Operational_RawData!K:K,MATCH("5_Operational",Operational_RawData!$A:$A,0)+ROWS($2:63)-1))</f>
        <v>367.64</v>
      </c>
      <c r="L63">
        <f>IF(ROWS($2:63)&gt;COUNTIF(Operational_RawData!$A:$A,"5_Operational"),"",INDEX(Operational_RawData!L:L,MATCH("5_Operational",Operational_RawData!$A:$A,0)+ROWS($2:63)-1))</f>
        <v>367.64</v>
      </c>
      <c r="M63">
        <f>IF(ROWS($2:63)&gt;COUNTIF(Operational_RawData!$A:$A,"5_Operational"),"",INDEX(Operational_RawData!M:M,MATCH("5_Operational",Operational_RawData!$A:$A,0)+ROWS($2:63)-1))</f>
        <v>367.64</v>
      </c>
      <c r="N63">
        <f>IF(ROWS($2:63)&gt;COUNTIF(Operational_RawData!$A:$A,"5_Operational"),"",INDEX(Operational_RawData!N:N,MATCH("5_Operational",Operational_RawData!$A:$A,0)+ROWS($2:63)-1))</f>
        <v>0.11</v>
      </c>
      <c r="O63">
        <f>IF(ROWS($2:63)&gt;COUNTIF(Operational_RawData!$A:$A,"5_Operational"),"",INDEX(Operational_RawData!O:O,MATCH("5_Operational",Operational_RawData!$A:$A,0)+ROWS($2:63)-1))</f>
        <v>0.15</v>
      </c>
      <c r="P63">
        <f>IF(ROWS($2:63)&gt;COUNTIF(Operational_RawData!$A:$A,"5_Operational"),"",INDEX(Operational_RawData!P:P,MATCH("5_Operational",Operational_RawData!$A:$A,0)+ROWS($2:63)-1))</f>
        <v>7.0000000000000007E-2</v>
      </c>
      <c r="Q63">
        <f>IF(ROWS($2:63)&gt;COUNTIF(Operational_RawData!$A:$A,"5_Operational"),"",INDEX(Operational_RawData!Q:Q,MATCH("5_Operational",Operational_RawData!$A:$A,0)+ROWS($2:63)-1))</f>
        <v>0.1</v>
      </c>
      <c r="R63" t="str">
        <f>IF(ROWS($2:63)&gt;COUNTIF(Operational_RawData!$A:$A,"5_Operational"),"",INDEX(Operational_RawData!R:R,MATCH("5_Operational",Operational_RawData!$A:$A,0)+ROWS($2:63)-1))</f>
        <v>Pass</v>
      </c>
      <c r="S63">
        <f>IF(ROWS($2:63)&gt;COUNTIF(Operational_RawData!$A:$A,"5_Operational"),"",INDEX(Operational_RawData!S:S,MATCH("5_Operational",Operational_RawData!$A:$A,0)+ROWS($2:63)-1))</f>
        <v>0</v>
      </c>
      <c r="T63">
        <f>IF(ROWS($2:63)&gt;COUNTIF(Operational_RawData!$A:$A,"5_Operational"),"",INDEX(Operational_RawData!T:T,MATCH("5_Operational",Operational_RawData!$A:$A,0)+ROWS($2:63)-1))</f>
        <v>0</v>
      </c>
    </row>
    <row r="64" spans="1:20">
      <c r="A64" t="str">
        <f>IF(ROWS($2:64)&gt;COUNTIF(Operational_RawData!$A:$A,"5_Operational"),"",INDEX(Operational_RawData!A:A,MATCH("5_Operational",Operational_RawData!$A:$A,0)+ROWS($2:64)-1))</f>
        <v>5_Operational</v>
      </c>
      <c r="B64">
        <f>IF(ROWS($2:64)&gt;COUNTIF(Operational_RawData!$A:$A,"5_Operational"),"",INDEX(Operational_RawData!B:B,MATCH("5_Operational",Operational_RawData!$A:$A,0)+ROWS($2:64)-1))</f>
        <v>144916.891</v>
      </c>
      <c r="C64">
        <f>IF(ROWS($2:64)&gt;COUNTIF(Operational_RawData!$A:$A,"5_Operational"),"",INDEX(Operational_RawData!C:C,MATCH("5_Operational",Operational_RawData!$A:$A,0)+ROWS($2:64)-1))</f>
        <v>46.38</v>
      </c>
      <c r="D64">
        <f>IF(ROWS($2:64)&gt;COUNTIF(Operational_RawData!$A:$A,"5_Operational"),"",INDEX(Operational_RawData!D:D,MATCH("5_Operational",Operational_RawData!$A:$A,0)+ROWS($2:64)-1))</f>
        <v>1311.614</v>
      </c>
      <c r="E64">
        <f>IF(ROWS($2:64)&gt;COUNTIF(Operational_RawData!$A:$A,"5_Operational"),"",INDEX(Operational_RawData!E:E,MATCH("5_Operational",Operational_RawData!$A:$A,0)+ROWS($2:64)-1))</f>
        <v>0.32</v>
      </c>
      <c r="F64">
        <f>IF(ROWS($2:64)&gt;COUNTIF(Operational_RawData!$A:$A,"5_Operational"),"",INDEX(Operational_RawData!F:F,MATCH("5_Operational",Operational_RawData!$A:$A,0)+ROWS($2:64)-1))</f>
        <v>253.52</v>
      </c>
      <c r="G64">
        <f>IF(ROWS($2:64)&gt;COUNTIF(Operational_RawData!$A:$A,"5_Operational"),"",INDEX(Operational_RawData!G:G,MATCH("5_Operational",Operational_RawData!$A:$A,0)+ROWS($2:64)-1))</f>
        <v>253.52</v>
      </c>
      <c r="H64">
        <f>IF(ROWS($2:64)&gt;COUNTIF(Operational_RawData!$A:$A,"5_Operational"),"",INDEX(Operational_RawData!H:H,MATCH("5_Operational",Operational_RawData!$A:$A,0)+ROWS($2:64)-1))</f>
        <v>253.52</v>
      </c>
      <c r="I64">
        <f>IF(ROWS($2:64)&gt;COUNTIF(Operational_RawData!$A:$A,"5_Operational"),"",INDEX(Operational_RawData!I:I,MATCH("5_Operational",Operational_RawData!$A:$A,0)+ROWS($2:64)-1))</f>
        <v>253.52</v>
      </c>
      <c r="J64">
        <f>IF(ROWS($2:64)&gt;COUNTIF(Operational_RawData!$A:$A,"5_Operational"),"",INDEX(Operational_RawData!J:J,MATCH("5_Operational",Operational_RawData!$A:$A,0)+ROWS($2:64)-1))</f>
        <v>371.6</v>
      </c>
      <c r="K64">
        <f>IF(ROWS($2:64)&gt;COUNTIF(Operational_RawData!$A:$A,"5_Operational"),"",INDEX(Operational_RawData!K:K,MATCH("5_Operational",Operational_RawData!$A:$A,0)+ROWS($2:64)-1))</f>
        <v>371.6</v>
      </c>
      <c r="L64">
        <f>IF(ROWS($2:64)&gt;COUNTIF(Operational_RawData!$A:$A,"5_Operational"),"",INDEX(Operational_RawData!L:L,MATCH("5_Operational",Operational_RawData!$A:$A,0)+ROWS($2:64)-1))</f>
        <v>371.6</v>
      </c>
      <c r="M64">
        <f>IF(ROWS($2:64)&gt;COUNTIF(Operational_RawData!$A:$A,"5_Operational"),"",INDEX(Operational_RawData!M:M,MATCH("5_Operational",Operational_RawData!$A:$A,0)+ROWS($2:64)-1))</f>
        <v>371.6</v>
      </c>
      <c r="N64">
        <f>IF(ROWS($2:64)&gt;COUNTIF(Operational_RawData!$A:$A,"5_Operational"),"",INDEX(Operational_RawData!N:N,MATCH("5_Operational",Operational_RawData!$A:$A,0)+ROWS($2:64)-1))</f>
        <v>0.12</v>
      </c>
      <c r="O64">
        <f>IF(ROWS($2:64)&gt;COUNTIF(Operational_RawData!$A:$A,"5_Operational"),"",INDEX(Operational_RawData!O:O,MATCH("5_Operational",Operational_RawData!$A:$A,0)+ROWS($2:64)-1))</f>
        <v>0.15</v>
      </c>
      <c r="P64">
        <f>IF(ROWS($2:64)&gt;COUNTIF(Operational_RawData!$A:$A,"5_Operational"),"",INDEX(Operational_RawData!P:P,MATCH("5_Operational",Operational_RawData!$A:$A,0)+ROWS($2:64)-1))</f>
        <v>7.0000000000000007E-2</v>
      </c>
      <c r="Q64">
        <f>IF(ROWS($2:64)&gt;COUNTIF(Operational_RawData!$A:$A,"5_Operational"),"",INDEX(Operational_RawData!Q:Q,MATCH("5_Operational",Operational_RawData!$A:$A,0)+ROWS($2:64)-1))</f>
        <v>0.1</v>
      </c>
      <c r="R64" t="str">
        <f>IF(ROWS($2:64)&gt;COUNTIF(Operational_RawData!$A:$A,"5_Operational"),"",INDEX(Operational_RawData!R:R,MATCH("5_Operational",Operational_RawData!$A:$A,0)+ROWS($2:64)-1))</f>
        <v>Pass</v>
      </c>
      <c r="S64">
        <f>IF(ROWS($2:64)&gt;COUNTIF(Operational_RawData!$A:$A,"5_Operational"),"",INDEX(Operational_RawData!S:S,MATCH("5_Operational",Operational_RawData!$A:$A,0)+ROWS($2:64)-1))</f>
        <v>0</v>
      </c>
      <c r="T64">
        <f>IF(ROWS($2:64)&gt;COUNTIF(Operational_RawData!$A:$A,"5_Operational"),"",INDEX(Operational_RawData!T:T,MATCH("5_Operational",Operational_RawData!$A:$A,0)+ROWS($2:64)-1))</f>
        <v>0</v>
      </c>
    </row>
    <row r="65" spans="1:20">
      <c r="A65" t="str">
        <f>IF(ROWS($2:65)&gt;COUNTIF(Operational_RawData!$A:$A,"5_Operational"),"",INDEX(Operational_RawData!A:A,MATCH("5_Operational",Operational_RawData!$A:$A,0)+ROWS($2:65)-1))</f>
        <v>5_Operational</v>
      </c>
      <c r="B65">
        <f>IF(ROWS($2:65)&gt;COUNTIF(Operational_RawData!$A:$A,"5_Operational"),"",INDEX(Operational_RawData!B:B,MATCH("5_Operational",Operational_RawData!$A:$A,0)+ROWS($2:65)-1))</f>
        <v>144921.89300000001</v>
      </c>
      <c r="C65">
        <f>IF(ROWS($2:65)&gt;COUNTIF(Operational_RawData!$A:$A,"5_Operational"),"",INDEX(Operational_RawData!C:C,MATCH("5_Operational",Operational_RawData!$A:$A,0)+ROWS($2:65)-1))</f>
        <v>47.11</v>
      </c>
      <c r="D65">
        <f>IF(ROWS($2:65)&gt;COUNTIF(Operational_RawData!$A:$A,"5_Operational"),"",INDEX(Operational_RawData!D:D,MATCH("5_Operational",Operational_RawData!$A:$A,0)+ROWS($2:65)-1))</f>
        <v>1311.703</v>
      </c>
      <c r="E65">
        <f>IF(ROWS($2:65)&gt;COUNTIF(Operational_RawData!$A:$A,"5_Operational"),"",INDEX(Operational_RawData!E:E,MATCH("5_Operational",Operational_RawData!$A:$A,0)+ROWS($2:65)-1))</f>
        <v>0.36</v>
      </c>
      <c r="F65">
        <f>IF(ROWS($2:65)&gt;COUNTIF(Operational_RawData!$A:$A,"5_Operational"),"",INDEX(Operational_RawData!F:F,MATCH("5_Operational",Operational_RawData!$A:$A,0)+ROWS($2:65)-1))</f>
        <v>255.72</v>
      </c>
      <c r="G65">
        <f>IF(ROWS($2:65)&gt;COUNTIF(Operational_RawData!$A:$A,"5_Operational"),"",INDEX(Operational_RawData!G:G,MATCH("5_Operational",Operational_RawData!$A:$A,0)+ROWS($2:65)-1))</f>
        <v>255.72</v>
      </c>
      <c r="H65">
        <f>IF(ROWS($2:65)&gt;COUNTIF(Operational_RawData!$A:$A,"5_Operational"),"",INDEX(Operational_RawData!H:H,MATCH("5_Operational",Operational_RawData!$A:$A,0)+ROWS($2:65)-1))</f>
        <v>255.72</v>
      </c>
      <c r="I65">
        <f>IF(ROWS($2:65)&gt;COUNTIF(Operational_RawData!$A:$A,"5_Operational"),"",INDEX(Operational_RawData!I:I,MATCH("5_Operational",Operational_RawData!$A:$A,0)+ROWS($2:65)-1))</f>
        <v>255.72</v>
      </c>
      <c r="J65">
        <f>IF(ROWS($2:65)&gt;COUNTIF(Operational_RawData!$A:$A,"5_Operational"),"",INDEX(Operational_RawData!J:J,MATCH("5_Operational",Operational_RawData!$A:$A,0)+ROWS($2:65)-1))</f>
        <v>375.68</v>
      </c>
      <c r="K65">
        <f>IF(ROWS($2:65)&gt;COUNTIF(Operational_RawData!$A:$A,"5_Operational"),"",INDEX(Operational_RawData!K:K,MATCH("5_Operational",Operational_RawData!$A:$A,0)+ROWS($2:65)-1))</f>
        <v>375.68</v>
      </c>
      <c r="L65">
        <f>IF(ROWS($2:65)&gt;COUNTIF(Operational_RawData!$A:$A,"5_Operational"),"",INDEX(Operational_RawData!L:L,MATCH("5_Operational",Operational_RawData!$A:$A,0)+ROWS($2:65)-1))</f>
        <v>375.68</v>
      </c>
      <c r="M65">
        <f>IF(ROWS($2:65)&gt;COUNTIF(Operational_RawData!$A:$A,"5_Operational"),"",INDEX(Operational_RawData!M:M,MATCH("5_Operational",Operational_RawData!$A:$A,0)+ROWS($2:65)-1))</f>
        <v>375.68</v>
      </c>
      <c r="N65">
        <f>IF(ROWS($2:65)&gt;COUNTIF(Operational_RawData!$A:$A,"5_Operational"),"",INDEX(Operational_RawData!N:N,MATCH("5_Operational",Operational_RawData!$A:$A,0)+ROWS($2:65)-1))</f>
        <v>0.12</v>
      </c>
      <c r="O65">
        <f>IF(ROWS($2:65)&gt;COUNTIF(Operational_RawData!$A:$A,"5_Operational"),"",INDEX(Operational_RawData!O:O,MATCH("5_Operational",Operational_RawData!$A:$A,0)+ROWS($2:65)-1))</f>
        <v>0.15</v>
      </c>
      <c r="P65">
        <f>IF(ROWS($2:65)&gt;COUNTIF(Operational_RawData!$A:$A,"5_Operational"),"",INDEX(Operational_RawData!P:P,MATCH("5_Operational",Operational_RawData!$A:$A,0)+ROWS($2:65)-1))</f>
        <v>7.0000000000000007E-2</v>
      </c>
      <c r="Q65">
        <f>IF(ROWS($2:65)&gt;COUNTIF(Operational_RawData!$A:$A,"5_Operational"),"",INDEX(Operational_RawData!Q:Q,MATCH("5_Operational",Operational_RawData!$A:$A,0)+ROWS($2:65)-1))</f>
        <v>0.1</v>
      </c>
      <c r="R65" t="str">
        <f>IF(ROWS($2:65)&gt;COUNTIF(Operational_RawData!$A:$A,"5_Operational"),"",INDEX(Operational_RawData!R:R,MATCH("5_Operational",Operational_RawData!$A:$A,0)+ROWS($2:65)-1))</f>
        <v>Pass</v>
      </c>
      <c r="S65">
        <f>IF(ROWS($2:65)&gt;COUNTIF(Operational_RawData!$A:$A,"5_Operational"),"",INDEX(Operational_RawData!S:S,MATCH("5_Operational",Operational_RawData!$A:$A,0)+ROWS($2:65)-1))</f>
        <v>0</v>
      </c>
      <c r="T65">
        <f>IF(ROWS($2:65)&gt;COUNTIF(Operational_RawData!$A:$A,"5_Operational"),"",INDEX(Operational_RawData!T:T,MATCH("5_Operational",Operational_RawData!$A:$A,0)+ROWS($2:65)-1))</f>
        <v>0</v>
      </c>
    </row>
    <row r="66" spans="1:20">
      <c r="A66" t="str">
        <f>IF(ROWS($2:66)&gt;COUNTIF(Operational_RawData!$A:$A,"5_Operational"),"",INDEX(Operational_RawData!A:A,MATCH("5_Operational",Operational_RawData!$A:$A,0)+ROWS($2:66)-1))</f>
        <v>5_Operational</v>
      </c>
      <c r="B66">
        <f>IF(ROWS($2:66)&gt;COUNTIF(Operational_RawData!$A:$A,"5_Operational"),"",INDEX(Operational_RawData!B:B,MATCH("5_Operational",Operational_RawData!$A:$A,0)+ROWS($2:66)-1))</f>
        <v>144926.89300000001</v>
      </c>
      <c r="C66">
        <f>IF(ROWS($2:66)&gt;COUNTIF(Operational_RawData!$A:$A,"5_Operational"),"",INDEX(Operational_RawData!C:C,MATCH("5_Operational",Operational_RawData!$A:$A,0)+ROWS($2:66)-1))</f>
        <v>47.86</v>
      </c>
      <c r="D66">
        <f>IF(ROWS($2:66)&gt;COUNTIF(Operational_RawData!$A:$A,"5_Operational"),"",INDEX(Operational_RawData!D:D,MATCH("5_Operational",Operational_RawData!$A:$A,0)+ROWS($2:66)-1))</f>
        <v>1311.797</v>
      </c>
      <c r="E66">
        <f>IF(ROWS($2:66)&gt;COUNTIF(Operational_RawData!$A:$A,"5_Operational"),"",INDEX(Operational_RawData!E:E,MATCH("5_Operational",Operational_RawData!$A:$A,0)+ROWS($2:66)-1))</f>
        <v>0.28000000000000003</v>
      </c>
      <c r="F66">
        <f>IF(ROWS($2:66)&gt;COUNTIF(Operational_RawData!$A:$A,"5_Operational"),"",INDEX(Operational_RawData!F:F,MATCH("5_Operational",Operational_RawData!$A:$A,0)+ROWS($2:66)-1))</f>
        <v>258.44</v>
      </c>
      <c r="G66">
        <f>IF(ROWS($2:66)&gt;COUNTIF(Operational_RawData!$A:$A,"5_Operational"),"",INDEX(Operational_RawData!G:G,MATCH("5_Operational",Operational_RawData!$A:$A,0)+ROWS($2:66)-1))</f>
        <v>258.44</v>
      </c>
      <c r="H66">
        <f>IF(ROWS($2:66)&gt;COUNTIF(Operational_RawData!$A:$A,"5_Operational"),"",INDEX(Operational_RawData!H:H,MATCH("5_Operational",Operational_RawData!$A:$A,0)+ROWS($2:66)-1))</f>
        <v>258.44</v>
      </c>
      <c r="I66">
        <f>IF(ROWS($2:66)&gt;COUNTIF(Operational_RawData!$A:$A,"5_Operational"),"",INDEX(Operational_RawData!I:I,MATCH("5_Operational",Operational_RawData!$A:$A,0)+ROWS($2:66)-1))</f>
        <v>258.44</v>
      </c>
      <c r="J66">
        <f>IF(ROWS($2:66)&gt;COUNTIF(Operational_RawData!$A:$A,"5_Operational"),"",INDEX(Operational_RawData!J:J,MATCH("5_Operational",Operational_RawData!$A:$A,0)+ROWS($2:66)-1))</f>
        <v>380.32</v>
      </c>
      <c r="K66">
        <f>IF(ROWS($2:66)&gt;COUNTIF(Operational_RawData!$A:$A,"5_Operational"),"",INDEX(Operational_RawData!K:K,MATCH("5_Operational",Operational_RawData!$A:$A,0)+ROWS($2:66)-1))</f>
        <v>380.32</v>
      </c>
      <c r="L66">
        <f>IF(ROWS($2:66)&gt;COUNTIF(Operational_RawData!$A:$A,"5_Operational"),"",INDEX(Operational_RawData!L:L,MATCH("5_Operational",Operational_RawData!$A:$A,0)+ROWS($2:66)-1))</f>
        <v>380.32</v>
      </c>
      <c r="M66">
        <f>IF(ROWS($2:66)&gt;COUNTIF(Operational_RawData!$A:$A,"5_Operational"),"",INDEX(Operational_RawData!M:M,MATCH("5_Operational",Operational_RawData!$A:$A,0)+ROWS($2:66)-1))</f>
        <v>380.32</v>
      </c>
      <c r="N66">
        <f>IF(ROWS($2:66)&gt;COUNTIF(Operational_RawData!$A:$A,"5_Operational"),"",INDEX(Operational_RawData!N:N,MATCH("5_Operational",Operational_RawData!$A:$A,0)+ROWS($2:66)-1))</f>
        <v>0.13</v>
      </c>
      <c r="O66">
        <f>IF(ROWS($2:66)&gt;COUNTIF(Operational_RawData!$A:$A,"5_Operational"),"",INDEX(Operational_RawData!O:O,MATCH("5_Operational",Operational_RawData!$A:$A,0)+ROWS($2:66)-1))</f>
        <v>0.15</v>
      </c>
      <c r="P66">
        <f>IF(ROWS($2:66)&gt;COUNTIF(Operational_RawData!$A:$A,"5_Operational"),"",INDEX(Operational_RawData!P:P,MATCH("5_Operational",Operational_RawData!$A:$A,0)+ROWS($2:66)-1))</f>
        <v>7.0000000000000007E-2</v>
      </c>
      <c r="Q66">
        <f>IF(ROWS($2:66)&gt;COUNTIF(Operational_RawData!$A:$A,"5_Operational"),"",INDEX(Operational_RawData!Q:Q,MATCH("5_Operational",Operational_RawData!$A:$A,0)+ROWS($2:66)-1))</f>
        <v>0.1</v>
      </c>
      <c r="R66" t="str">
        <f>IF(ROWS($2:66)&gt;COUNTIF(Operational_RawData!$A:$A,"5_Operational"),"",INDEX(Operational_RawData!R:R,MATCH("5_Operational",Operational_RawData!$A:$A,0)+ROWS($2:66)-1))</f>
        <v>Pass</v>
      </c>
      <c r="S66">
        <f>IF(ROWS($2:66)&gt;COUNTIF(Operational_RawData!$A:$A,"5_Operational"),"",INDEX(Operational_RawData!S:S,MATCH("5_Operational",Operational_RawData!$A:$A,0)+ROWS($2:66)-1))</f>
        <v>0</v>
      </c>
      <c r="T66">
        <f>IF(ROWS($2:66)&gt;COUNTIF(Operational_RawData!$A:$A,"5_Operational"),"",INDEX(Operational_RawData!T:T,MATCH("5_Operational",Operational_RawData!$A:$A,0)+ROWS($2:66)-1))</f>
        <v>0</v>
      </c>
    </row>
    <row r="67" spans="1:20">
      <c r="A67" t="str">
        <f>IF(ROWS($2:67)&gt;COUNTIF(Operational_RawData!$A:$A,"5_Operational"),"",INDEX(Operational_RawData!A:A,MATCH("5_Operational",Operational_RawData!$A:$A,0)+ROWS($2:67)-1))</f>
        <v>5_Operational</v>
      </c>
      <c r="B67">
        <f>IF(ROWS($2:67)&gt;COUNTIF(Operational_RawData!$A:$A,"5_Operational"),"",INDEX(Operational_RawData!B:B,MATCH("5_Operational",Operational_RawData!$A:$A,0)+ROWS($2:67)-1))</f>
        <v>144931.891</v>
      </c>
      <c r="C67">
        <f>IF(ROWS($2:67)&gt;COUNTIF(Operational_RawData!$A:$A,"5_Operational"),"",INDEX(Operational_RawData!C:C,MATCH("5_Operational",Operational_RawData!$A:$A,0)+ROWS($2:67)-1))</f>
        <v>48.58</v>
      </c>
      <c r="D67">
        <f>IF(ROWS($2:67)&gt;COUNTIF(Operational_RawData!$A:$A,"5_Operational"),"",INDEX(Operational_RawData!D:D,MATCH("5_Operational",Operational_RawData!$A:$A,0)+ROWS($2:67)-1))</f>
        <v>1311.902</v>
      </c>
      <c r="E67">
        <f>IF(ROWS($2:67)&gt;COUNTIF(Operational_RawData!$A:$A,"5_Operational"),"",INDEX(Operational_RawData!E:E,MATCH("5_Operational",Operational_RawData!$A:$A,0)+ROWS($2:67)-1))</f>
        <v>0.25</v>
      </c>
      <c r="F67">
        <f>IF(ROWS($2:67)&gt;COUNTIF(Operational_RawData!$A:$A,"5_Operational"),"",INDEX(Operational_RawData!F:F,MATCH("5_Operational",Operational_RawData!$A:$A,0)+ROWS($2:67)-1))</f>
        <v>261.27999999999997</v>
      </c>
      <c r="G67">
        <f>IF(ROWS($2:67)&gt;COUNTIF(Operational_RawData!$A:$A,"5_Operational"),"",INDEX(Operational_RawData!G:G,MATCH("5_Operational",Operational_RawData!$A:$A,0)+ROWS($2:67)-1))</f>
        <v>261.27999999999997</v>
      </c>
      <c r="H67">
        <f>IF(ROWS($2:67)&gt;COUNTIF(Operational_RawData!$A:$A,"5_Operational"),"",INDEX(Operational_RawData!H:H,MATCH("5_Operational",Operational_RawData!$A:$A,0)+ROWS($2:67)-1))</f>
        <v>261.27999999999997</v>
      </c>
      <c r="I67">
        <f>IF(ROWS($2:67)&gt;COUNTIF(Operational_RawData!$A:$A,"5_Operational"),"",INDEX(Operational_RawData!I:I,MATCH("5_Operational",Operational_RawData!$A:$A,0)+ROWS($2:67)-1))</f>
        <v>261.27999999999997</v>
      </c>
      <c r="J67">
        <f>IF(ROWS($2:67)&gt;COUNTIF(Operational_RawData!$A:$A,"5_Operational"),"",INDEX(Operational_RawData!J:J,MATCH("5_Operational",Operational_RawData!$A:$A,0)+ROWS($2:67)-1))</f>
        <v>385.36</v>
      </c>
      <c r="K67">
        <f>IF(ROWS($2:67)&gt;COUNTIF(Operational_RawData!$A:$A,"5_Operational"),"",INDEX(Operational_RawData!K:K,MATCH("5_Operational",Operational_RawData!$A:$A,0)+ROWS($2:67)-1))</f>
        <v>385.36</v>
      </c>
      <c r="L67">
        <f>IF(ROWS($2:67)&gt;COUNTIF(Operational_RawData!$A:$A,"5_Operational"),"",INDEX(Operational_RawData!L:L,MATCH("5_Operational",Operational_RawData!$A:$A,0)+ROWS($2:67)-1))</f>
        <v>385.36</v>
      </c>
      <c r="M67">
        <f>IF(ROWS($2:67)&gt;COUNTIF(Operational_RawData!$A:$A,"5_Operational"),"",INDEX(Operational_RawData!M:M,MATCH("5_Operational",Operational_RawData!$A:$A,0)+ROWS($2:67)-1))</f>
        <v>385.36</v>
      </c>
      <c r="N67">
        <f>IF(ROWS($2:67)&gt;COUNTIF(Operational_RawData!$A:$A,"5_Operational"),"",INDEX(Operational_RawData!N:N,MATCH("5_Operational",Operational_RawData!$A:$A,0)+ROWS($2:67)-1))</f>
        <v>0.15</v>
      </c>
      <c r="O67">
        <f>IF(ROWS($2:67)&gt;COUNTIF(Operational_RawData!$A:$A,"5_Operational"),"",INDEX(Operational_RawData!O:O,MATCH("5_Operational",Operational_RawData!$A:$A,0)+ROWS($2:67)-1))</f>
        <v>0.15</v>
      </c>
      <c r="P67">
        <f>IF(ROWS($2:67)&gt;COUNTIF(Operational_RawData!$A:$A,"5_Operational"),"",INDEX(Operational_RawData!P:P,MATCH("5_Operational",Operational_RawData!$A:$A,0)+ROWS($2:67)-1))</f>
        <v>7.0000000000000007E-2</v>
      </c>
      <c r="Q67">
        <f>IF(ROWS($2:67)&gt;COUNTIF(Operational_RawData!$A:$A,"5_Operational"),"",INDEX(Operational_RawData!Q:Q,MATCH("5_Operational",Operational_RawData!$A:$A,0)+ROWS($2:67)-1))</f>
        <v>0.1</v>
      </c>
      <c r="R67" t="str">
        <f>IF(ROWS($2:67)&gt;COUNTIF(Operational_RawData!$A:$A,"5_Operational"),"",INDEX(Operational_RawData!R:R,MATCH("5_Operational",Operational_RawData!$A:$A,0)+ROWS($2:67)-1))</f>
        <v>Pass</v>
      </c>
      <c r="S67">
        <f>IF(ROWS($2:67)&gt;COUNTIF(Operational_RawData!$A:$A,"5_Operational"),"",INDEX(Operational_RawData!S:S,MATCH("5_Operational",Operational_RawData!$A:$A,0)+ROWS($2:67)-1))</f>
        <v>0</v>
      </c>
      <c r="T67">
        <f>IF(ROWS($2:67)&gt;COUNTIF(Operational_RawData!$A:$A,"5_Operational"),"",INDEX(Operational_RawData!T:T,MATCH("5_Operational",Operational_RawData!$A:$A,0)+ROWS($2:67)-1))</f>
        <v>0</v>
      </c>
    </row>
    <row r="68" spans="1:20">
      <c r="A68" t="str">
        <f>IF(ROWS($2:68)&gt;COUNTIF(Operational_RawData!$A:$A,"5_Operational"),"",INDEX(Operational_RawData!A:A,MATCH("5_Operational",Operational_RawData!$A:$A,0)+ROWS($2:68)-1))</f>
        <v>5_Operational</v>
      </c>
      <c r="B68">
        <f>IF(ROWS($2:68)&gt;COUNTIF(Operational_RawData!$A:$A,"5_Operational"),"",INDEX(Operational_RawData!B:B,MATCH("5_Operational",Operational_RawData!$A:$A,0)+ROWS($2:68)-1))</f>
        <v>144936.89799999999</v>
      </c>
      <c r="C68">
        <f>IF(ROWS($2:68)&gt;COUNTIF(Operational_RawData!$A:$A,"5_Operational"),"",INDEX(Operational_RawData!C:C,MATCH("5_Operational",Operational_RawData!$A:$A,0)+ROWS($2:68)-1))</f>
        <v>49.33</v>
      </c>
      <c r="D68">
        <f>IF(ROWS($2:68)&gt;COUNTIF(Operational_RawData!$A:$A,"5_Operational"),"",INDEX(Operational_RawData!D:D,MATCH("5_Operational",Operational_RawData!$A:$A,0)+ROWS($2:68)-1))</f>
        <v>1311.998</v>
      </c>
      <c r="E68">
        <f>IF(ROWS($2:68)&gt;COUNTIF(Operational_RawData!$A:$A,"5_Operational"),"",INDEX(Operational_RawData!E:E,MATCH("5_Operational",Operational_RawData!$A:$A,0)+ROWS($2:68)-1))</f>
        <v>0.17</v>
      </c>
      <c r="F68">
        <f>IF(ROWS($2:68)&gt;COUNTIF(Operational_RawData!$A:$A,"5_Operational"),"",INDEX(Operational_RawData!F:F,MATCH("5_Operational",Operational_RawData!$A:$A,0)+ROWS($2:68)-1))</f>
        <v>264.39999999999998</v>
      </c>
      <c r="G68">
        <f>IF(ROWS($2:68)&gt;COUNTIF(Operational_RawData!$A:$A,"5_Operational"),"",INDEX(Operational_RawData!G:G,MATCH("5_Operational",Operational_RawData!$A:$A,0)+ROWS($2:68)-1))</f>
        <v>264.39999999999998</v>
      </c>
      <c r="H68">
        <f>IF(ROWS($2:68)&gt;COUNTIF(Operational_RawData!$A:$A,"5_Operational"),"",INDEX(Operational_RawData!H:H,MATCH("5_Operational",Operational_RawData!$A:$A,0)+ROWS($2:68)-1))</f>
        <v>264.39999999999998</v>
      </c>
      <c r="I68">
        <f>IF(ROWS($2:68)&gt;COUNTIF(Operational_RawData!$A:$A,"5_Operational"),"",INDEX(Operational_RawData!I:I,MATCH("5_Operational",Operational_RawData!$A:$A,0)+ROWS($2:68)-1))</f>
        <v>264.39999999999998</v>
      </c>
      <c r="J68">
        <f>IF(ROWS($2:68)&gt;COUNTIF(Operational_RawData!$A:$A,"5_Operational"),"",INDEX(Operational_RawData!J:J,MATCH("5_Operational",Operational_RawData!$A:$A,0)+ROWS($2:68)-1))</f>
        <v>390.88</v>
      </c>
      <c r="K68">
        <f>IF(ROWS($2:68)&gt;COUNTIF(Operational_RawData!$A:$A,"5_Operational"),"",INDEX(Operational_RawData!K:K,MATCH("5_Operational",Operational_RawData!$A:$A,0)+ROWS($2:68)-1))</f>
        <v>390.88</v>
      </c>
      <c r="L68">
        <f>IF(ROWS($2:68)&gt;COUNTIF(Operational_RawData!$A:$A,"5_Operational"),"",INDEX(Operational_RawData!L:L,MATCH("5_Operational",Operational_RawData!$A:$A,0)+ROWS($2:68)-1))</f>
        <v>390.88</v>
      </c>
      <c r="M68">
        <f>IF(ROWS($2:68)&gt;COUNTIF(Operational_RawData!$A:$A,"5_Operational"),"",INDEX(Operational_RawData!M:M,MATCH("5_Operational",Operational_RawData!$A:$A,0)+ROWS($2:68)-1))</f>
        <v>390.88</v>
      </c>
      <c r="N68">
        <f>IF(ROWS($2:68)&gt;COUNTIF(Operational_RawData!$A:$A,"5_Operational"),"",INDEX(Operational_RawData!N:N,MATCH("5_Operational",Operational_RawData!$A:$A,0)+ROWS($2:68)-1))</f>
        <v>0.13</v>
      </c>
      <c r="O68">
        <f>IF(ROWS($2:68)&gt;COUNTIF(Operational_RawData!$A:$A,"5_Operational"),"",INDEX(Operational_RawData!O:O,MATCH("5_Operational",Operational_RawData!$A:$A,0)+ROWS($2:68)-1))</f>
        <v>0.15</v>
      </c>
      <c r="P68">
        <f>IF(ROWS($2:68)&gt;COUNTIF(Operational_RawData!$A:$A,"5_Operational"),"",INDEX(Operational_RawData!P:P,MATCH("5_Operational",Operational_RawData!$A:$A,0)+ROWS($2:68)-1))</f>
        <v>7.0000000000000007E-2</v>
      </c>
      <c r="Q68">
        <f>IF(ROWS($2:68)&gt;COUNTIF(Operational_RawData!$A:$A,"5_Operational"),"",INDEX(Operational_RawData!Q:Q,MATCH("5_Operational",Operational_RawData!$A:$A,0)+ROWS($2:68)-1))</f>
        <v>0.1</v>
      </c>
      <c r="R68" t="str">
        <f>IF(ROWS($2:68)&gt;COUNTIF(Operational_RawData!$A:$A,"5_Operational"),"",INDEX(Operational_RawData!R:R,MATCH("5_Operational",Operational_RawData!$A:$A,0)+ROWS($2:68)-1))</f>
        <v>Pass</v>
      </c>
      <c r="S68">
        <f>IF(ROWS($2:68)&gt;COUNTIF(Operational_RawData!$A:$A,"5_Operational"),"",INDEX(Operational_RawData!S:S,MATCH("5_Operational",Operational_RawData!$A:$A,0)+ROWS($2:68)-1))</f>
        <v>0</v>
      </c>
      <c r="T68">
        <f>IF(ROWS($2:68)&gt;COUNTIF(Operational_RawData!$A:$A,"5_Operational"),"",INDEX(Operational_RawData!T:T,MATCH("5_Operational",Operational_RawData!$A:$A,0)+ROWS($2:68)-1))</f>
        <v>0</v>
      </c>
    </row>
    <row r="69" spans="1:20">
      <c r="A69" t="str">
        <f>IF(ROWS($2:69)&gt;COUNTIF(Operational_RawData!$A:$A,"5_Operational"),"",INDEX(Operational_RawData!A:A,MATCH("5_Operational",Operational_RawData!$A:$A,0)+ROWS($2:69)-1))</f>
        <v>5_Operational</v>
      </c>
      <c r="B69">
        <f>IF(ROWS($2:69)&gt;COUNTIF(Operational_RawData!$A:$A,"5_Operational"),"",INDEX(Operational_RawData!B:B,MATCH("5_Operational",Operational_RawData!$A:$A,0)+ROWS($2:69)-1))</f>
        <v>144941.894</v>
      </c>
      <c r="C69">
        <f>IF(ROWS($2:69)&gt;COUNTIF(Operational_RawData!$A:$A,"5_Operational"),"",INDEX(Operational_RawData!C:C,MATCH("5_Operational",Operational_RawData!$A:$A,0)+ROWS($2:69)-1))</f>
        <v>50.06</v>
      </c>
      <c r="D69">
        <f>IF(ROWS($2:69)&gt;COUNTIF(Operational_RawData!$A:$A,"5_Operational"),"",INDEX(Operational_RawData!D:D,MATCH("5_Operational",Operational_RawData!$A:$A,0)+ROWS($2:69)-1))</f>
        <v>1312.09</v>
      </c>
      <c r="E69">
        <f>IF(ROWS($2:69)&gt;COUNTIF(Operational_RawData!$A:$A,"5_Operational"),"",INDEX(Operational_RawData!E:E,MATCH("5_Operational",Operational_RawData!$A:$A,0)+ROWS($2:69)-1))</f>
        <v>0.2</v>
      </c>
      <c r="F69">
        <f>IF(ROWS($2:69)&gt;COUNTIF(Operational_RawData!$A:$A,"5_Operational"),"",INDEX(Operational_RawData!F:F,MATCH("5_Operational",Operational_RawData!$A:$A,0)+ROWS($2:69)-1))</f>
        <v>267.76</v>
      </c>
      <c r="G69">
        <f>IF(ROWS($2:69)&gt;COUNTIF(Operational_RawData!$A:$A,"5_Operational"),"",INDEX(Operational_RawData!G:G,MATCH("5_Operational",Operational_RawData!$A:$A,0)+ROWS($2:69)-1))</f>
        <v>267.76</v>
      </c>
      <c r="H69">
        <f>IF(ROWS($2:69)&gt;COUNTIF(Operational_RawData!$A:$A,"5_Operational"),"",INDEX(Operational_RawData!H:H,MATCH("5_Operational",Operational_RawData!$A:$A,0)+ROWS($2:69)-1))</f>
        <v>267.76</v>
      </c>
      <c r="I69">
        <f>IF(ROWS($2:69)&gt;COUNTIF(Operational_RawData!$A:$A,"5_Operational"),"",INDEX(Operational_RawData!I:I,MATCH("5_Operational",Operational_RawData!$A:$A,0)+ROWS($2:69)-1))</f>
        <v>267.76</v>
      </c>
      <c r="J69">
        <f>IF(ROWS($2:69)&gt;COUNTIF(Operational_RawData!$A:$A,"5_Operational"),"",INDEX(Operational_RawData!J:J,MATCH("5_Operational",Operational_RawData!$A:$A,0)+ROWS($2:69)-1))</f>
        <v>396.44</v>
      </c>
      <c r="K69">
        <f>IF(ROWS($2:69)&gt;COUNTIF(Operational_RawData!$A:$A,"5_Operational"),"",INDEX(Operational_RawData!K:K,MATCH("5_Operational",Operational_RawData!$A:$A,0)+ROWS($2:69)-1))</f>
        <v>396.44</v>
      </c>
      <c r="L69">
        <f>IF(ROWS($2:69)&gt;COUNTIF(Operational_RawData!$A:$A,"5_Operational"),"",INDEX(Operational_RawData!L:L,MATCH("5_Operational",Operational_RawData!$A:$A,0)+ROWS($2:69)-1))</f>
        <v>396.44</v>
      </c>
      <c r="M69">
        <f>IF(ROWS($2:69)&gt;COUNTIF(Operational_RawData!$A:$A,"5_Operational"),"",INDEX(Operational_RawData!M:M,MATCH("5_Operational",Operational_RawData!$A:$A,0)+ROWS($2:69)-1))</f>
        <v>396.44</v>
      </c>
      <c r="N69">
        <f>IF(ROWS($2:69)&gt;COUNTIF(Operational_RawData!$A:$A,"5_Operational"),"",INDEX(Operational_RawData!N:N,MATCH("5_Operational",Operational_RawData!$A:$A,0)+ROWS($2:69)-1))</f>
        <v>0.13</v>
      </c>
      <c r="O69">
        <f>IF(ROWS($2:69)&gt;COUNTIF(Operational_RawData!$A:$A,"5_Operational"),"",INDEX(Operational_RawData!O:O,MATCH("5_Operational",Operational_RawData!$A:$A,0)+ROWS($2:69)-1))</f>
        <v>0.15</v>
      </c>
      <c r="P69">
        <f>IF(ROWS($2:69)&gt;COUNTIF(Operational_RawData!$A:$A,"5_Operational"),"",INDEX(Operational_RawData!P:P,MATCH("5_Operational",Operational_RawData!$A:$A,0)+ROWS($2:69)-1))</f>
        <v>7.0000000000000007E-2</v>
      </c>
      <c r="Q69">
        <f>IF(ROWS($2:69)&gt;COUNTIF(Operational_RawData!$A:$A,"5_Operational"),"",INDEX(Operational_RawData!Q:Q,MATCH("5_Operational",Operational_RawData!$A:$A,0)+ROWS($2:69)-1))</f>
        <v>0.1</v>
      </c>
      <c r="R69" t="str">
        <f>IF(ROWS($2:69)&gt;COUNTIF(Operational_RawData!$A:$A,"5_Operational"),"",INDEX(Operational_RawData!R:R,MATCH("5_Operational",Operational_RawData!$A:$A,0)+ROWS($2:69)-1))</f>
        <v>Pass</v>
      </c>
      <c r="S69">
        <f>IF(ROWS($2:69)&gt;COUNTIF(Operational_RawData!$A:$A,"5_Operational"),"",INDEX(Operational_RawData!S:S,MATCH("5_Operational",Operational_RawData!$A:$A,0)+ROWS($2:69)-1))</f>
        <v>0</v>
      </c>
      <c r="T69">
        <f>IF(ROWS($2:69)&gt;COUNTIF(Operational_RawData!$A:$A,"5_Operational"),"",INDEX(Operational_RawData!T:T,MATCH("5_Operational",Operational_RawData!$A:$A,0)+ROWS($2:69)-1))</f>
        <v>0</v>
      </c>
    </row>
    <row r="70" spans="1:20">
      <c r="A70" t="str">
        <f>IF(ROWS($2:70)&gt;COUNTIF(Operational_RawData!$A:$A,"5_Operational"),"",INDEX(Operational_RawData!A:A,MATCH("5_Operational",Operational_RawData!$A:$A,0)+ROWS($2:70)-1))</f>
        <v>5_Operational</v>
      </c>
      <c r="B70">
        <f>IF(ROWS($2:70)&gt;COUNTIF(Operational_RawData!$A:$A,"5_Operational"),"",INDEX(Operational_RawData!B:B,MATCH("5_Operational",Operational_RawData!$A:$A,0)+ROWS($2:70)-1))</f>
        <v>144946.89300000001</v>
      </c>
      <c r="C70">
        <f>IF(ROWS($2:70)&gt;COUNTIF(Operational_RawData!$A:$A,"5_Operational"),"",INDEX(Operational_RawData!C:C,MATCH("5_Operational",Operational_RawData!$A:$A,0)+ROWS($2:70)-1))</f>
        <v>50.83</v>
      </c>
      <c r="D70">
        <f>IF(ROWS($2:70)&gt;COUNTIF(Operational_RawData!$A:$A,"5_Operational"),"",INDEX(Operational_RawData!D:D,MATCH("5_Operational",Operational_RawData!$A:$A,0)+ROWS($2:70)-1))</f>
        <v>1312.193</v>
      </c>
      <c r="E70">
        <f>IF(ROWS($2:70)&gt;COUNTIF(Operational_RawData!$A:$A,"5_Operational"),"",INDEX(Operational_RawData!E:E,MATCH("5_Operational",Operational_RawData!$A:$A,0)+ROWS($2:70)-1))</f>
        <v>0.17</v>
      </c>
      <c r="F70">
        <f>IF(ROWS($2:70)&gt;COUNTIF(Operational_RawData!$A:$A,"5_Operational"),"",INDEX(Operational_RawData!F:F,MATCH("5_Operational",Operational_RawData!$A:$A,0)+ROWS($2:70)-1))</f>
        <v>270.95999999999998</v>
      </c>
      <c r="G70">
        <f>IF(ROWS($2:70)&gt;COUNTIF(Operational_RawData!$A:$A,"5_Operational"),"",INDEX(Operational_RawData!G:G,MATCH("5_Operational",Operational_RawData!$A:$A,0)+ROWS($2:70)-1))</f>
        <v>270.95999999999998</v>
      </c>
      <c r="H70">
        <f>IF(ROWS($2:70)&gt;COUNTIF(Operational_RawData!$A:$A,"5_Operational"),"",INDEX(Operational_RawData!H:H,MATCH("5_Operational",Operational_RawData!$A:$A,0)+ROWS($2:70)-1))</f>
        <v>270.95999999999998</v>
      </c>
      <c r="I70">
        <f>IF(ROWS($2:70)&gt;COUNTIF(Operational_RawData!$A:$A,"5_Operational"),"",INDEX(Operational_RawData!I:I,MATCH("5_Operational",Operational_RawData!$A:$A,0)+ROWS($2:70)-1))</f>
        <v>270.95999999999998</v>
      </c>
      <c r="J70">
        <f>IF(ROWS($2:70)&gt;COUNTIF(Operational_RawData!$A:$A,"5_Operational"),"",INDEX(Operational_RawData!J:J,MATCH("5_Operational",Operational_RawData!$A:$A,0)+ROWS($2:70)-1))</f>
        <v>399</v>
      </c>
      <c r="K70">
        <f>IF(ROWS($2:70)&gt;COUNTIF(Operational_RawData!$A:$A,"5_Operational"),"",INDEX(Operational_RawData!K:K,MATCH("5_Operational",Operational_RawData!$A:$A,0)+ROWS($2:70)-1))</f>
        <v>399</v>
      </c>
      <c r="L70">
        <f>IF(ROWS($2:70)&gt;COUNTIF(Operational_RawData!$A:$A,"5_Operational"),"",INDEX(Operational_RawData!L:L,MATCH("5_Operational",Operational_RawData!$A:$A,0)+ROWS($2:70)-1))</f>
        <v>399</v>
      </c>
      <c r="M70">
        <f>IF(ROWS($2:70)&gt;COUNTIF(Operational_RawData!$A:$A,"5_Operational"),"",INDEX(Operational_RawData!M:M,MATCH("5_Operational",Operational_RawData!$A:$A,0)+ROWS($2:70)-1))</f>
        <v>399</v>
      </c>
      <c r="N70">
        <f>IF(ROWS($2:70)&gt;COUNTIF(Operational_RawData!$A:$A,"5_Operational"),"",INDEX(Operational_RawData!N:N,MATCH("5_Operational",Operational_RawData!$A:$A,0)+ROWS($2:70)-1))</f>
        <v>0.13</v>
      </c>
      <c r="O70">
        <f>IF(ROWS($2:70)&gt;COUNTIF(Operational_RawData!$A:$A,"5_Operational"),"",INDEX(Operational_RawData!O:O,MATCH("5_Operational",Operational_RawData!$A:$A,0)+ROWS($2:70)-1))</f>
        <v>0.15</v>
      </c>
      <c r="P70">
        <f>IF(ROWS($2:70)&gt;COUNTIF(Operational_RawData!$A:$A,"5_Operational"),"",INDEX(Operational_RawData!P:P,MATCH("5_Operational",Operational_RawData!$A:$A,0)+ROWS($2:70)-1))</f>
        <v>7.0000000000000007E-2</v>
      </c>
      <c r="Q70">
        <f>IF(ROWS($2:70)&gt;COUNTIF(Operational_RawData!$A:$A,"5_Operational"),"",INDEX(Operational_RawData!Q:Q,MATCH("5_Operational",Operational_RawData!$A:$A,0)+ROWS($2:70)-1))</f>
        <v>0.1</v>
      </c>
      <c r="R70" t="str">
        <f>IF(ROWS($2:70)&gt;COUNTIF(Operational_RawData!$A:$A,"5_Operational"),"",INDEX(Operational_RawData!R:R,MATCH("5_Operational",Operational_RawData!$A:$A,0)+ROWS($2:70)-1))</f>
        <v>Pass</v>
      </c>
      <c r="S70">
        <f>IF(ROWS($2:70)&gt;COUNTIF(Operational_RawData!$A:$A,"5_Operational"),"",INDEX(Operational_RawData!S:S,MATCH("5_Operational",Operational_RawData!$A:$A,0)+ROWS($2:70)-1))</f>
        <v>0</v>
      </c>
      <c r="T70">
        <f>IF(ROWS($2:70)&gt;COUNTIF(Operational_RawData!$A:$A,"5_Operational"),"",INDEX(Operational_RawData!T:T,MATCH("5_Operational",Operational_RawData!$A:$A,0)+ROWS($2:70)-1))</f>
        <v>0</v>
      </c>
    </row>
    <row r="71" spans="1:20">
      <c r="A71" t="str">
        <f>IF(ROWS($2:71)&gt;COUNTIF(Operational_RawData!$A:$A,"5_Operational"),"",INDEX(Operational_RawData!A:A,MATCH("5_Operational",Operational_RawData!$A:$A,0)+ROWS($2:71)-1))</f>
        <v>5_Operational</v>
      </c>
      <c r="B71">
        <f>IF(ROWS($2:71)&gt;COUNTIF(Operational_RawData!$A:$A,"5_Operational"),"",INDEX(Operational_RawData!B:B,MATCH("5_Operational",Operational_RawData!$A:$A,0)+ROWS($2:71)-1))</f>
        <v>144951.9</v>
      </c>
      <c r="C71">
        <f>IF(ROWS($2:71)&gt;COUNTIF(Operational_RawData!$A:$A,"5_Operational"),"",INDEX(Operational_RawData!C:C,MATCH("5_Operational",Operational_RawData!$A:$A,0)+ROWS($2:71)-1))</f>
        <v>51.56</v>
      </c>
      <c r="D71">
        <f>IF(ROWS($2:71)&gt;COUNTIF(Operational_RawData!$A:$A,"5_Operational"),"",INDEX(Operational_RawData!D:D,MATCH("5_Operational",Operational_RawData!$A:$A,0)+ROWS($2:71)-1))</f>
        <v>1312.296</v>
      </c>
      <c r="E71">
        <f>IF(ROWS($2:71)&gt;COUNTIF(Operational_RawData!$A:$A,"5_Operational"),"",INDEX(Operational_RawData!E:E,MATCH("5_Operational",Operational_RawData!$A:$A,0)+ROWS($2:71)-1))</f>
        <v>0.19</v>
      </c>
      <c r="F71">
        <f>IF(ROWS($2:71)&gt;COUNTIF(Operational_RawData!$A:$A,"5_Operational"),"",INDEX(Operational_RawData!F:F,MATCH("5_Operational",Operational_RawData!$A:$A,0)+ROWS($2:71)-1))</f>
        <v>274.60000000000002</v>
      </c>
      <c r="G71">
        <f>IF(ROWS($2:71)&gt;COUNTIF(Operational_RawData!$A:$A,"5_Operational"),"",INDEX(Operational_RawData!G:G,MATCH("5_Operational",Operational_RawData!$A:$A,0)+ROWS($2:71)-1))</f>
        <v>274.60000000000002</v>
      </c>
      <c r="H71">
        <f>IF(ROWS($2:71)&gt;COUNTIF(Operational_RawData!$A:$A,"5_Operational"),"",INDEX(Operational_RawData!H:H,MATCH("5_Operational",Operational_RawData!$A:$A,0)+ROWS($2:71)-1))</f>
        <v>274.60000000000002</v>
      </c>
      <c r="I71">
        <f>IF(ROWS($2:71)&gt;COUNTIF(Operational_RawData!$A:$A,"5_Operational"),"",INDEX(Operational_RawData!I:I,MATCH("5_Operational",Operational_RawData!$A:$A,0)+ROWS($2:71)-1))</f>
        <v>274.60000000000002</v>
      </c>
      <c r="J71">
        <f>IF(ROWS($2:71)&gt;COUNTIF(Operational_RawData!$A:$A,"5_Operational"),"",INDEX(Operational_RawData!J:J,MATCH("5_Operational",Operational_RawData!$A:$A,0)+ROWS($2:71)-1))</f>
        <v>399</v>
      </c>
      <c r="K71">
        <f>IF(ROWS($2:71)&gt;COUNTIF(Operational_RawData!$A:$A,"5_Operational"),"",INDEX(Operational_RawData!K:K,MATCH("5_Operational",Operational_RawData!$A:$A,0)+ROWS($2:71)-1))</f>
        <v>399</v>
      </c>
      <c r="L71">
        <f>IF(ROWS($2:71)&gt;COUNTIF(Operational_RawData!$A:$A,"5_Operational"),"",INDEX(Operational_RawData!L:L,MATCH("5_Operational",Operational_RawData!$A:$A,0)+ROWS($2:71)-1))</f>
        <v>399</v>
      </c>
      <c r="M71">
        <f>IF(ROWS($2:71)&gt;COUNTIF(Operational_RawData!$A:$A,"5_Operational"),"",INDEX(Operational_RawData!M:M,MATCH("5_Operational",Operational_RawData!$A:$A,0)+ROWS($2:71)-1))</f>
        <v>399</v>
      </c>
      <c r="N71">
        <f>IF(ROWS($2:71)&gt;COUNTIF(Operational_RawData!$A:$A,"5_Operational"),"",INDEX(Operational_RawData!N:N,MATCH("5_Operational",Operational_RawData!$A:$A,0)+ROWS($2:71)-1))</f>
        <v>0.14000000000000001</v>
      </c>
      <c r="O71">
        <f>IF(ROWS($2:71)&gt;COUNTIF(Operational_RawData!$A:$A,"5_Operational"),"",INDEX(Operational_RawData!O:O,MATCH("5_Operational",Operational_RawData!$A:$A,0)+ROWS($2:71)-1))</f>
        <v>0.15</v>
      </c>
      <c r="P71">
        <f>IF(ROWS($2:71)&gt;COUNTIF(Operational_RawData!$A:$A,"5_Operational"),"",INDEX(Operational_RawData!P:P,MATCH("5_Operational",Operational_RawData!$A:$A,0)+ROWS($2:71)-1))</f>
        <v>7.0000000000000007E-2</v>
      </c>
      <c r="Q71">
        <f>IF(ROWS($2:71)&gt;COUNTIF(Operational_RawData!$A:$A,"5_Operational"),"",INDEX(Operational_RawData!Q:Q,MATCH("5_Operational",Operational_RawData!$A:$A,0)+ROWS($2:71)-1))</f>
        <v>0.1</v>
      </c>
      <c r="R71" t="str">
        <f>IF(ROWS($2:71)&gt;COUNTIF(Operational_RawData!$A:$A,"5_Operational"),"",INDEX(Operational_RawData!R:R,MATCH("5_Operational",Operational_RawData!$A:$A,0)+ROWS($2:71)-1))</f>
        <v>Pass</v>
      </c>
      <c r="S71">
        <f>IF(ROWS($2:71)&gt;COUNTIF(Operational_RawData!$A:$A,"5_Operational"),"",INDEX(Operational_RawData!S:S,MATCH("5_Operational",Operational_RawData!$A:$A,0)+ROWS($2:71)-1))</f>
        <v>0</v>
      </c>
      <c r="T71">
        <f>IF(ROWS($2:71)&gt;COUNTIF(Operational_RawData!$A:$A,"5_Operational"),"",INDEX(Operational_RawData!T:T,MATCH("5_Operational",Operational_RawData!$A:$A,0)+ROWS($2:71)-1))</f>
        <v>0</v>
      </c>
    </row>
    <row r="72" spans="1:20">
      <c r="A72" t="str">
        <f>IF(ROWS($2:72)&gt;COUNTIF(Operational_RawData!$A:$A,"5_Operational"),"",INDEX(Operational_RawData!A:A,MATCH("5_Operational",Operational_RawData!$A:$A,0)+ROWS($2:72)-1))</f>
        <v>5_Operational</v>
      </c>
      <c r="B72">
        <f>IF(ROWS($2:72)&gt;COUNTIF(Operational_RawData!$A:$A,"5_Operational"),"",INDEX(Operational_RawData!B:B,MATCH("5_Operational",Operational_RawData!$A:$A,0)+ROWS($2:72)-1))</f>
        <v>144956.90700000001</v>
      </c>
      <c r="C72">
        <f>IF(ROWS($2:72)&gt;COUNTIF(Operational_RawData!$A:$A,"5_Operational"),"",INDEX(Operational_RawData!C:C,MATCH("5_Operational",Operational_RawData!$A:$A,0)+ROWS($2:72)-1))</f>
        <v>52.32</v>
      </c>
      <c r="D72">
        <f>IF(ROWS($2:72)&gt;COUNTIF(Operational_RawData!$A:$A,"5_Operational"),"",INDEX(Operational_RawData!D:D,MATCH("5_Operational",Operational_RawData!$A:$A,0)+ROWS($2:72)-1))</f>
        <v>1312.376</v>
      </c>
      <c r="E72">
        <f>IF(ROWS($2:72)&gt;COUNTIF(Operational_RawData!$A:$A,"5_Operational"),"",INDEX(Operational_RawData!E:E,MATCH("5_Operational",Operational_RawData!$A:$A,0)+ROWS($2:72)-1))</f>
        <v>0.23</v>
      </c>
      <c r="F72">
        <f>IF(ROWS($2:72)&gt;COUNTIF(Operational_RawData!$A:$A,"5_Operational"),"",INDEX(Operational_RawData!F:F,MATCH("5_Operational",Operational_RawData!$A:$A,0)+ROWS($2:72)-1))</f>
        <v>278.24</v>
      </c>
      <c r="G72">
        <f>IF(ROWS($2:72)&gt;COUNTIF(Operational_RawData!$A:$A,"5_Operational"),"",INDEX(Operational_RawData!G:G,MATCH("5_Operational",Operational_RawData!$A:$A,0)+ROWS($2:72)-1))</f>
        <v>278.24</v>
      </c>
      <c r="H72">
        <f>IF(ROWS($2:72)&gt;COUNTIF(Operational_RawData!$A:$A,"5_Operational"),"",INDEX(Operational_RawData!H:H,MATCH("5_Operational",Operational_RawData!$A:$A,0)+ROWS($2:72)-1))</f>
        <v>278.24</v>
      </c>
      <c r="I72">
        <f>IF(ROWS($2:72)&gt;COUNTIF(Operational_RawData!$A:$A,"5_Operational"),"",INDEX(Operational_RawData!I:I,MATCH("5_Operational",Operational_RawData!$A:$A,0)+ROWS($2:72)-1))</f>
        <v>278.24</v>
      </c>
      <c r="J72">
        <f>IF(ROWS($2:72)&gt;COUNTIF(Operational_RawData!$A:$A,"5_Operational"),"",INDEX(Operational_RawData!J:J,MATCH("5_Operational",Operational_RawData!$A:$A,0)+ROWS($2:72)-1))</f>
        <v>399</v>
      </c>
      <c r="K72">
        <f>IF(ROWS($2:72)&gt;COUNTIF(Operational_RawData!$A:$A,"5_Operational"),"",INDEX(Operational_RawData!K:K,MATCH("5_Operational",Operational_RawData!$A:$A,0)+ROWS($2:72)-1))</f>
        <v>399</v>
      </c>
      <c r="L72">
        <f>IF(ROWS($2:72)&gt;COUNTIF(Operational_RawData!$A:$A,"5_Operational"),"",INDEX(Operational_RawData!L:L,MATCH("5_Operational",Operational_RawData!$A:$A,0)+ROWS($2:72)-1))</f>
        <v>399</v>
      </c>
      <c r="M72">
        <f>IF(ROWS($2:72)&gt;COUNTIF(Operational_RawData!$A:$A,"5_Operational"),"",INDEX(Operational_RawData!M:M,MATCH("5_Operational",Operational_RawData!$A:$A,0)+ROWS($2:72)-1))</f>
        <v>399</v>
      </c>
      <c r="N72">
        <f>IF(ROWS($2:72)&gt;COUNTIF(Operational_RawData!$A:$A,"5_Operational"),"",INDEX(Operational_RawData!N:N,MATCH("5_Operational",Operational_RawData!$A:$A,0)+ROWS($2:72)-1))</f>
        <v>0.11</v>
      </c>
      <c r="O72">
        <f>IF(ROWS($2:72)&gt;COUNTIF(Operational_RawData!$A:$A,"5_Operational"),"",INDEX(Operational_RawData!O:O,MATCH("5_Operational",Operational_RawData!$A:$A,0)+ROWS($2:72)-1))</f>
        <v>0.15</v>
      </c>
      <c r="P72">
        <f>IF(ROWS($2:72)&gt;COUNTIF(Operational_RawData!$A:$A,"5_Operational"),"",INDEX(Operational_RawData!P:P,MATCH("5_Operational",Operational_RawData!$A:$A,0)+ROWS($2:72)-1))</f>
        <v>7.0000000000000007E-2</v>
      </c>
      <c r="Q72">
        <f>IF(ROWS($2:72)&gt;COUNTIF(Operational_RawData!$A:$A,"5_Operational"),"",INDEX(Operational_RawData!Q:Q,MATCH("5_Operational",Operational_RawData!$A:$A,0)+ROWS($2:72)-1))</f>
        <v>0.1</v>
      </c>
      <c r="R72" t="str">
        <f>IF(ROWS($2:72)&gt;COUNTIF(Operational_RawData!$A:$A,"5_Operational"),"",INDEX(Operational_RawData!R:R,MATCH("5_Operational",Operational_RawData!$A:$A,0)+ROWS($2:72)-1))</f>
        <v>Pass</v>
      </c>
      <c r="S72">
        <f>IF(ROWS($2:72)&gt;COUNTIF(Operational_RawData!$A:$A,"5_Operational"),"",INDEX(Operational_RawData!S:S,MATCH("5_Operational",Operational_RawData!$A:$A,0)+ROWS($2:72)-1))</f>
        <v>0</v>
      </c>
      <c r="T72">
        <f>IF(ROWS($2:72)&gt;COUNTIF(Operational_RawData!$A:$A,"5_Operational"),"",INDEX(Operational_RawData!T:T,MATCH("5_Operational",Operational_RawData!$A:$A,0)+ROWS($2:72)-1))</f>
        <v>0</v>
      </c>
    </row>
    <row r="73" spans="1:20">
      <c r="A73" t="str">
        <f>IF(ROWS($2:73)&gt;COUNTIF(Operational_RawData!$A:$A,"5_Operational"),"",INDEX(Operational_RawData!A:A,MATCH("5_Operational",Operational_RawData!$A:$A,0)+ROWS($2:73)-1))</f>
        <v>5_Operational</v>
      </c>
      <c r="B73">
        <f>IF(ROWS($2:73)&gt;COUNTIF(Operational_RawData!$A:$A,"5_Operational"),"",INDEX(Operational_RawData!B:B,MATCH("5_Operational",Operational_RawData!$A:$A,0)+ROWS($2:73)-1))</f>
        <v>145001.902</v>
      </c>
      <c r="C73">
        <f>IF(ROWS($2:73)&gt;COUNTIF(Operational_RawData!$A:$A,"5_Operational"),"",INDEX(Operational_RawData!C:C,MATCH("5_Operational",Operational_RawData!$A:$A,0)+ROWS($2:73)-1))</f>
        <v>53.09</v>
      </c>
      <c r="D73">
        <f>IF(ROWS($2:73)&gt;COUNTIF(Operational_RawData!$A:$A,"5_Operational"),"",INDEX(Operational_RawData!D:D,MATCH("5_Operational",Operational_RawData!$A:$A,0)+ROWS($2:73)-1))</f>
        <v>1312.4490000000001</v>
      </c>
      <c r="E73">
        <f>IF(ROWS($2:73)&gt;COUNTIF(Operational_RawData!$A:$A,"5_Operational"),"",INDEX(Operational_RawData!E:E,MATCH("5_Operational",Operational_RawData!$A:$A,0)+ROWS($2:73)-1))</f>
        <v>0.16</v>
      </c>
      <c r="F73">
        <f>IF(ROWS($2:73)&gt;COUNTIF(Operational_RawData!$A:$A,"5_Operational"),"",INDEX(Operational_RawData!F:F,MATCH("5_Operational",Operational_RawData!$A:$A,0)+ROWS($2:73)-1))</f>
        <v>282.04000000000002</v>
      </c>
      <c r="G73">
        <f>IF(ROWS($2:73)&gt;COUNTIF(Operational_RawData!$A:$A,"5_Operational"),"",INDEX(Operational_RawData!G:G,MATCH("5_Operational",Operational_RawData!$A:$A,0)+ROWS($2:73)-1))</f>
        <v>282.04000000000002</v>
      </c>
      <c r="H73">
        <f>IF(ROWS($2:73)&gt;COUNTIF(Operational_RawData!$A:$A,"5_Operational"),"",INDEX(Operational_RawData!H:H,MATCH("5_Operational",Operational_RawData!$A:$A,0)+ROWS($2:73)-1))</f>
        <v>282.04000000000002</v>
      </c>
      <c r="I73">
        <f>IF(ROWS($2:73)&gt;COUNTIF(Operational_RawData!$A:$A,"5_Operational"),"",INDEX(Operational_RawData!I:I,MATCH("5_Operational",Operational_RawData!$A:$A,0)+ROWS($2:73)-1))</f>
        <v>282.04000000000002</v>
      </c>
      <c r="J73">
        <f>IF(ROWS($2:73)&gt;COUNTIF(Operational_RawData!$A:$A,"5_Operational"),"",INDEX(Operational_RawData!J:J,MATCH("5_Operational",Operational_RawData!$A:$A,0)+ROWS($2:73)-1))</f>
        <v>399</v>
      </c>
      <c r="K73">
        <f>IF(ROWS($2:73)&gt;COUNTIF(Operational_RawData!$A:$A,"5_Operational"),"",INDEX(Operational_RawData!K:K,MATCH("5_Operational",Operational_RawData!$A:$A,0)+ROWS($2:73)-1))</f>
        <v>399</v>
      </c>
      <c r="L73">
        <f>IF(ROWS($2:73)&gt;COUNTIF(Operational_RawData!$A:$A,"5_Operational"),"",INDEX(Operational_RawData!L:L,MATCH("5_Operational",Operational_RawData!$A:$A,0)+ROWS($2:73)-1))</f>
        <v>399</v>
      </c>
      <c r="M73">
        <f>IF(ROWS($2:73)&gt;COUNTIF(Operational_RawData!$A:$A,"5_Operational"),"",INDEX(Operational_RawData!M:M,MATCH("5_Operational",Operational_RawData!$A:$A,0)+ROWS($2:73)-1))</f>
        <v>399</v>
      </c>
      <c r="N73">
        <f>IF(ROWS($2:73)&gt;COUNTIF(Operational_RawData!$A:$A,"5_Operational"),"",INDEX(Operational_RawData!N:N,MATCH("5_Operational",Operational_RawData!$A:$A,0)+ROWS($2:73)-1))</f>
        <v>0.09</v>
      </c>
      <c r="O73">
        <f>IF(ROWS($2:73)&gt;COUNTIF(Operational_RawData!$A:$A,"5_Operational"),"",INDEX(Operational_RawData!O:O,MATCH("5_Operational",Operational_RawData!$A:$A,0)+ROWS($2:73)-1))</f>
        <v>0.15</v>
      </c>
      <c r="P73">
        <f>IF(ROWS($2:73)&gt;COUNTIF(Operational_RawData!$A:$A,"5_Operational"),"",INDEX(Operational_RawData!P:P,MATCH("5_Operational",Operational_RawData!$A:$A,0)+ROWS($2:73)-1))</f>
        <v>7.0000000000000007E-2</v>
      </c>
      <c r="Q73">
        <f>IF(ROWS($2:73)&gt;COUNTIF(Operational_RawData!$A:$A,"5_Operational"),"",INDEX(Operational_RawData!Q:Q,MATCH("5_Operational",Operational_RawData!$A:$A,0)+ROWS($2:73)-1))</f>
        <v>0.1</v>
      </c>
      <c r="R73" t="str">
        <f>IF(ROWS($2:73)&gt;COUNTIF(Operational_RawData!$A:$A,"5_Operational"),"",INDEX(Operational_RawData!R:R,MATCH("5_Operational",Operational_RawData!$A:$A,0)+ROWS($2:73)-1))</f>
        <v>Pass</v>
      </c>
      <c r="S73">
        <f>IF(ROWS($2:73)&gt;COUNTIF(Operational_RawData!$A:$A,"5_Operational"),"",INDEX(Operational_RawData!S:S,MATCH("5_Operational",Operational_RawData!$A:$A,0)+ROWS($2:73)-1))</f>
        <v>0</v>
      </c>
      <c r="T73">
        <f>IF(ROWS($2:73)&gt;COUNTIF(Operational_RawData!$A:$A,"5_Operational"),"",INDEX(Operational_RawData!T:T,MATCH("5_Operational",Operational_RawData!$A:$A,0)+ROWS($2:73)-1))</f>
        <v>0</v>
      </c>
    </row>
    <row r="74" spans="1:20">
      <c r="A74" t="str">
        <f>IF(ROWS($2:74)&gt;COUNTIF(Operational_RawData!$A:$A,"5_Operational"),"",INDEX(Operational_RawData!A:A,MATCH("5_Operational",Operational_RawData!$A:$A,0)+ROWS($2:74)-1))</f>
        <v>5_Operational</v>
      </c>
      <c r="B74">
        <f>IF(ROWS($2:74)&gt;COUNTIF(Operational_RawData!$A:$A,"5_Operational"),"",INDEX(Operational_RawData!B:B,MATCH("5_Operational",Operational_RawData!$A:$A,0)+ROWS($2:74)-1))</f>
        <v>145006.90100000001</v>
      </c>
      <c r="C74">
        <f>IF(ROWS($2:74)&gt;COUNTIF(Operational_RawData!$A:$A,"5_Operational"),"",INDEX(Operational_RawData!C:C,MATCH("5_Operational",Operational_RawData!$A:$A,0)+ROWS($2:74)-1))</f>
        <v>53.84</v>
      </c>
      <c r="D74">
        <f>IF(ROWS($2:74)&gt;COUNTIF(Operational_RawData!$A:$A,"5_Operational"),"",INDEX(Operational_RawData!D:D,MATCH("5_Operational",Operational_RawData!$A:$A,0)+ROWS($2:74)-1))</f>
        <v>1312.5239999999999</v>
      </c>
      <c r="E74">
        <f>IF(ROWS($2:74)&gt;COUNTIF(Operational_RawData!$A:$A,"5_Operational"),"",INDEX(Operational_RawData!E:E,MATCH("5_Operational",Operational_RawData!$A:$A,0)+ROWS($2:74)-1))</f>
        <v>0.14000000000000001</v>
      </c>
      <c r="F74">
        <f>IF(ROWS($2:74)&gt;COUNTIF(Operational_RawData!$A:$A,"5_Operational"),"",INDEX(Operational_RawData!F:F,MATCH("5_Operational",Operational_RawData!$A:$A,0)+ROWS($2:74)-1))</f>
        <v>285.95999999999998</v>
      </c>
      <c r="G74">
        <f>IF(ROWS($2:74)&gt;COUNTIF(Operational_RawData!$A:$A,"5_Operational"),"",INDEX(Operational_RawData!G:G,MATCH("5_Operational",Operational_RawData!$A:$A,0)+ROWS($2:74)-1))</f>
        <v>285.95999999999998</v>
      </c>
      <c r="H74">
        <f>IF(ROWS($2:74)&gt;COUNTIF(Operational_RawData!$A:$A,"5_Operational"),"",INDEX(Operational_RawData!H:H,MATCH("5_Operational",Operational_RawData!$A:$A,0)+ROWS($2:74)-1))</f>
        <v>285.95999999999998</v>
      </c>
      <c r="I74">
        <f>IF(ROWS($2:74)&gt;COUNTIF(Operational_RawData!$A:$A,"5_Operational"),"",INDEX(Operational_RawData!I:I,MATCH("5_Operational",Operational_RawData!$A:$A,0)+ROWS($2:74)-1))</f>
        <v>285.95999999999998</v>
      </c>
      <c r="J74">
        <f>IF(ROWS($2:74)&gt;COUNTIF(Operational_RawData!$A:$A,"5_Operational"),"",INDEX(Operational_RawData!J:J,MATCH("5_Operational",Operational_RawData!$A:$A,0)+ROWS($2:74)-1))</f>
        <v>399</v>
      </c>
      <c r="K74">
        <f>IF(ROWS($2:74)&gt;COUNTIF(Operational_RawData!$A:$A,"5_Operational"),"",INDEX(Operational_RawData!K:K,MATCH("5_Operational",Operational_RawData!$A:$A,0)+ROWS($2:74)-1))</f>
        <v>399</v>
      </c>
      <c r="L74">
        <f>IF(ROWS($2:74)&gt;COUNTIF(Operational_RawData!$A:$A,"5_Operational"),"",INDEX(Operational_RawData!L:L,MATCH("5_Operational",Operational_RawData!$A:$A,0)+ROWS($2:74)-1))</f>
        <v>399</v>
      </c>
      <c r="M74">
        <f>IF(ROWS($2:74)&gt;COUNTIF(Operational_RawData!$A:$A,"5_Operational"),"",INDEX(Operational_RawData!M:M,MATCH("5_Operational",Operational_RawData!$A:$A,0)+ROWS($2:74)-1))</f>
        <v>399</v>
      </c>
      <c r="N74">
        <f>IF(ROWS($2:74)&gt;COUNTIF(Operational_RawData!$A:$A,"5_Operational"),"",INDEX(Operational_RawData!N:N,MATCH("5_Operational",Operational_RawData!$A:$A,0)+ROWS($2:74)-1))</f>
        <v>0.1</v>
      </c>
      <c r="O74">
        <f>IF(ROWS($2:74)&gt;COUNTIF(Operational_RawData!$A:$A,"5_Operational"),"",INDEX(Operational_RawData!O:O,MATCH("5_Operational",Operational_RawData!$A:$A,0)+ROWS($2:74)-1))</f>
        <v>0.15</v>
      </c>
      <c r="P74">
        <f>IF(ROWS($2:74)&gt;COUNTIF(Operational_RawData!$A:$A,"5_Operational"),"",INDEX(Operational_RawData!P:P,MATCH("5_Operational",Operational_RawData!$A:$A,0)+ROWS($2:74)-1))</f>
        <v>7.0000000000000007E-2</v>
      </c>
      <c r="Q74">
        <f>IF(ROWS($2:74)&gt;COUNTIF(Operational_RawData!$A:$A,"5_Operational"),"",INDEX(Operational_RawData!Q:Q,MATCH("5_Operational",Operational_RawData!$A:$A,0)+ROWS($2:74)-1))</f>
        <v>0.1</v>
      </c>
      <c r="R74" t="str">
        <f>IF(ROWS($2:74)&gt;COUNTIF(Operational_RawData!$A:$A,"5_Operational"),"",INDEX(Operational_RawData!R:R,MATCH("5_Operational",Operational_RawData!$A:$A,0)+ROWS($2:74)-1))</f>
        <v>Pass</v>
      </c>
      <c r="S74">
        <f>IF(ROWS($2:74)&gt;COUNTIF(Operational_RawData!$A:$A,"5_Operational"),"",INDEX(Operational_RawData!S:S,MATCH("5_Operational",Operational_RawData!$A:$A,0)+ROWS($2:74)-1))</f>
        <v>0</v>
      </c>
      <c r="T74">
        <f>IF(ROWS($2:74)&gt;COUNTIF(Operational_RawData!$A:$A,"5_Operational"),"",INDEX(Operational_RawData!T:T,MATCH("5_Operational",Operational_RawData!$A:$A,0)+ROWS($2:74)-1))</f>
        <v>0</v>
      </c>
    </row>
    <row r="75" spans="1:20">
      <c r="A75" t="str">
        <f>IF(ROWS($2:75)&gt;COUNTIF(Operational_RawData!$A:$A,"5_Operational"),"",INDEX(Operational_RawData!A:A,MATCH("5_Operational",Operational_RawData!$A:$A,0)+ROWS($2:75)-1))</f>
        <v>5_Operational</v>
      </c>
      <c r="B75">
        <f>IF(ROWS($2:75)&gt;COUNTIF(Operational_RawData!$A:$A,"5_Operational"),"",INDEX(Operational_RawData!B:B,MATCH("5_Operational",Operational_RawData!$A:$A,0)+ROWS($2:75)-1))</f>
        <v>145011.90299999999</v>
      </c>
      <c r="C75">
        <f>IF(ROWS($2:75)&gt;COUNTIF(Operational_RawData!$A:$A,"5_Operational"),"",INDEX(Operational_RawData!C:C,MATCH("5_Operational",Operational_RawData!$A:$A,0)+ROWS($2:75)-1))</f>
        <v>54.6</v>
      </c>
      <c r="D75">
        <f>IF(ROWS($2:75)&gt;COUNTIF(Operational_RawData!$A:$A,"5_Operational"),"",INDEX(Operational_RawData!D:D,MATCH("5_Operational",Operational_RawData!$A:$A,0)+ROWS($2:75)-1))</f>
        <v>1312.597</v>
      </c>
      <c r="E75">
        <f>IF(ROWS($2:75)&gt;COUNTIF(Operational_RawData!$A:$A,"5_Operational"),"",INDEX(Operational_RawData!E:E,MATCH("5_Operational",Operational_RawData!$A:$A,0)+ROWS($2:75)-1))</f>
        <v>-0.04</v>
      </c>
      <c r="F75">
        <f>IF(ROWS($2:75)&gt;COUNTIF(Operational_RawData!$A:$A,"5_Operational"),"",INDEX(Operational_RawData!F:F,MATCH("5_Operational",Operational_RawData!$A:$A,0)+ROWS($2:75)-1))</f>
        <v>290.16000000000003</v>
      </c>
      <c r="G75">
        <f>IF(ROWS($2:75)&gt;COUNTIF(Operational_RawData!$A:$A,"5_Operational"),"",INDEX(Operational_RawData!G:G,MATCH("5_Operational",Operational_RawData!$A:$A,0)+ROWS($2:75)-1))</f>
        <v>290.16000000000003</v>
      </c>
      <c r="H75">
        <f>IF(ROWS($2:75)&gt;COUNTIF(Operational_RawData!$A:$A,"5_Operational"),"",INDEX(Operational_RawData!H:H,MATCH("5_Operational",Operational_RawData!$A:$A,0)+ROWS($2:75)-1))</f>
        <v>290.16000000000003</v>
      </c>
      <c r="I75">
        <f>IF(ROWS($2:75)&gt;COUNTIF(Operational_RawData!$A:$A,"5_Operational"),"",INDEX(Operational_RawData!I:I,MATCH("5_Operational",Operational_RawData!$A:$A,0)+ROWS($2:75)-1))</f>
        <v>290.16000000000003</v>
      </c>
      <c r="J75">
        <f>IF(ROWS($2:75)&gt;COUNTIF(Operational_RawData!$A:$A,"5_Operational"),"",INDEX(Operational_RawData!J:J,MATCH("5_Operational",Operational_RawData!$A:$A,0)+ROWS($2:75)-1))</f>
        <v>399</v>
      </c>
      <c r="K75">
        <f>IF(ROWS($2:75)&gt;COUNTIF(Operational_RawData!$A:$A,"5_Operational"),"",INDEX(Operational_RawData!K:K,MATCH("5_Operational",Operational_RawData!$A:$A,0)+ROWS($2:75)-1))</f>
        <v>399</v>
      </c>
      <c r="L75">
        <f>IF(ROWS($2:75)&gt;COUNTIF(Operational_RawData!$A:$A,"5_Operational"),"",INDEX(Operational_RawData!L:L,MATCH("5_Operational",Operational_RawData!$A:$A,0)+ROWS($2:75)-1))</f>
        <v>399</v>
      </c>
      <c r="M75">
        <f>IF(ROWS($2:75)&gt;COUNTIF(Operational_RawData!$A:$A,"5_Operational"),"",INDEX(Operational_RawData!M:M,MATCH("5_Operational",Operational_RawData!$A:$A,0)+ROWS($2:75)-1))</f>
        <v>399</v>
      </c>
      <c r="N75">
        <f>IF(ROWS($2:75)&gt;COUNTIF(Operational_RawData!$A:$A,"5_Operational"),"",INDEX(Operational_RawData!N:N,MATCH("5_Operational",Operational_RawData!$A:$A,0)+ROWS($2:75)-1))</f>
        <v>0.1</v>
      </c>
      <c r="O75">
        <f>IF(ROWS($2:75)&gt;COUNTIF(Operational_RawData!$A:$A,"5_Operational"),"",INDEX(Operational_RawData!O:O,MATCH("5_Operational",Operational_RawData!$A:$A,0)+ROWS($2:75)-1))</f>
        <v>0.15</v>
      </c>
      <c r="P75">
        <f>IF(ROWS($2:75)&gt;COUNTIF(Operational_RawData!$A:$A,"5_Operational"),"",INDEX(Operational_RawData!P:P,MATCH("5_Operational",Operational_RawData!$A:$A,0)+ROWS($2:75)-1))</f>
        <v>7.0000000000000007E-2</v>
      </c>
      <c r="Q75">
        <f>IF(ROWS($2:75)&gt;COUNTIF(Operational_RawData!$A:$A,"5_Operational"),"",INDEX(Operational_RawData!Q:Q,MATCH("5_Operational",Operational_RawData!$A:$A,0)+ROWS($2:75)-1))</f>
        <v>0.1</v>
      </c>
      <c r="R75" t="str">
        <f>IF(ROWS($2:75)&gt;COUNTIF(Operational_RawData!$A:$A,"5_Operational"),"",INDEX(Operational_RawData!R:R,MATCH("5_Operational",Operational_RawData!$A:$A,0)+ROWS($2:75)-1))</f>
        <v>Pass</v>
      </c>
      <c r="S75">
        <f>IF(ROWS($2:75)&gt;COUNTIF(Operational_RawData!$A:$A,"5_Operational"),"",INDEX(Operational_RawData!S:S,MATCH("5_Operational",Operational_RawData!$A:$A,0)+ROWS($2:75)-1))</f>
        <v>0</v>
      </c>
      <c r="T75">
        <f>IF(ROWS($2:75)&gt;COUNTIF(Operational_RawData!$A:$A,"5_Operational"),"",INDEX(Operational_RawData!T:T,MATCH("5_Operational",Operational_RawData!$A:$A,0)+ROWS($2:75)-1))</f>
        <v>0</v>
      </c>
    </row>
    <row r="76" spans="1:20">
      <c r="A76" t="str">
        <f>IF(ROWS($2:76)&gt;COUNTIF(Operational_RawData!$A:$A,"5_Operational"),"",INDEX(Operational_RawData!A:A,MATCH("5_Operational",Operational_RawData!$A:$A,0)+ROWS($2:76)-1))</f>
        <v>5_Operational</v>
      </c>
      <c r="B76">
        <f>IF(ROWS($2:76)&gt;COUNTIF(Operational_RawData!$A:$A,"5_Operational"),"",INDEX(Operational_RawData!B:B,MATCH("5_Operational",Operational_RawData!$A:$A,0)+ROWS($2:76)-1))</f>
        <v>145016.908</v>
      </c>
      <c r="C76">
        <f>IF(ROWS($2:76)&gt;COUNTIF(Operational_RawData!$A:$A,"5_Operational"),"",INDEX(Operational_RawData!C:C,MATCH("5_Operational",Operational_RawData!$A:$A,0)+ROWS($2:76)-1))</f>
        <v>55.33</v>
      </c>
      <c r="D76">
        <f>IF(ROWS($2:76)&gt;COUNTIF(Operational_RawData!$A:$A,"5_Operational"),"",INDEX(Operational_RawData!D:D,MATCH("5_Operational",Operational_RawData!$A:$A,0)+ROWS($2:76)-1))</f>
        <v>1312.671</v>
      </c>
      <c r="E76">
        <f>IF(ROWS($2:76)&gt;COUNTIF(Operational_RawData!$A:$A,"5_Operational"),"",INDEX(Operational_RawData!E:E,MATCH("5_Operational",Operational_RawData!$A:$A,0)+ROWS($2:76)-1))</f>
        <v>-0.13</v>
      </c>
      <c r="F76">
        <f>IF(ROWS($2:76)&gt;COUNTIF(Operational_RawData!$A:$A,"5_Operational"),"",INDEX(Operational_RawData!F:F,MATCH("5_Operational",Operational_RawData!$A:$A,0)+ROWS($2:76)-1))</f>
        <v>294.64</v>
      </c>
      <c r="G76">
        <f>IF(ROWS($2:76)&gt;COUNTIF(Operational_RawData!$A:$A,"5_Operational"),"",INDEX(Operational_RawData!G:G,MATCH("5_Operational",Operational_RawData!$A:$A,0)+ROWS($2:76)-1))</f>
        <v>294.64</v>
      </c>
      <c r="H76">
        <f>IF(ROWS($2:76)&gt;COUNTIF(Operational_RawData!$A:$A,"5_Operational"),"",INDEX(Operational_RawData!H:H,MATCH("5_Operational",Operational_RawData!$A:$A,0)+ROWS($2:76)-1))</f>
        <v>294.64</v>
      </c>
      <c r="I76">
        <f>IF(ROWS($2:76)&gt;COUNTIF(Operational_RawData!$A:$A,"5_Operational"),"",INDEX(Operational_RawData!I:I,MATCH("5_Operational",Operational_RawData!$A:$A,0)+ROWS($2:76)-1))</f>
        <v>294.64</v>
      </c>
      <c r="J76">
        <f>IF(ROWS($2:76)&gt;COUNTIF(Operational_RawData!$A:$A,"5_Operational"),"",INDEX(Operational_RawData!J:J,MATCH("5_Operational",Operational_RawData!$A:$A,0)+ROWS($2:76)-1))</f>
        <v>399</v>
      </c>
      <c r="K76">
        <f>IF(ROWS($2:76)&gt;COUNTIF(Operational_RawData!$A:$A,"5_Operational"),"",INDEX(Operational_RawData!K:K,MATCH("5_Operational",Operational_RawData!$A:$A,0)+ROWS($2:76)-1))</f>
        <v>399</v>
      </c>
      <c r="L76">
        <f>IF(ROWS($2:76)&gt;COUNTIF(Operational_RawData!$A:$A,"5_Operational"),"",INDEX(Operational_RawData!L:L,MATCH("5_Operational",Operational_RawData!$A:$A,0)+ROWS($2:76)-1))</f>
        <v>399</v>
      </c>
      <c r="M76">
        <f>IF(ROWS($2:76)&gt;COUNTIF(Operational_RawData!$A:$A,"5_Operational"),"",INDEX(Operational_RawData!M:M,MATCH("5_Operational",Operational_RawData!$A:$A,0)+ROWS($2:76)-1))</f>
        <v>399</v>
      </c>
      <c r="N76">
        <f>IF(ROWS($2:76)&gt;COUNTIF(Operational_RawData!$A:$A,"5_Operational"),"",INDEX(Operational_RawData!N:N,MATCH("5_Operational",Operational_RawData!$A:$A,0)+ROWS($2:76)-1))</f>
        <v>0.1</v>
      </c>
      <c r="O76">
        <f>IF(ROWS($2:76)&gt;COUNTIF(Operational_RawData!$A:$A,"5_Operational"),"",INDEX(Operational_RawData!O:O,MATCH("5_Operational",Operational_RawData!$A:$A,0)+ROWS($2:76)-1))</f>
        <v>0.15</v>
      </c>
      <c r="P76">
        <f>IF(ROWS($2:76)&gt;COUNTIF(Operational_RawData!$A:$A,"5_Operational"),"",INDEX(Operational_RawData!P:P,MATCH("5_Operational",Operational_RawData!$A:$A,0)+ROWS($2:76)-1))</f>
        <v>7.0000000000000007E-2</v>
      </c>
      <c r="Q76">
        <f>IF(ROWS($2:76)&gt;COUNTIF(Operational_RawData!$A:$A,"5_Operational"),"",INDEX(Operational_RawData!Q:Q,MATCH("5_Operational",Operational_RawData!$A:$A,0)+ROWS($2:76)-1))</f>
        <v>0.1</v>
      </c>
      <c r="R76" t="str">
        <f>IF(ROWS($2:76)&gt;COUNTIF(Operational_RawData!$A:$A,"5_Operational"),"",INDEX(Operational_RawData!R:R,MATCH("5_Operational",Operational_RawData!$A:$A,0)+ROWS($2:76)-1))</f>
        <v>Pass</v>
      </c>
      <c r="S76">
        <f>IF(ROWS($2:76)&gt;COUNTIF(Operational_RawData!$A:$A,"5_Operational"),"",INDEX(Operational_RawData!S:S,MATCH("5_Operational",Operational_RawData!$A:$A,0)+ROWS($2:76)-1))</f>
        <v>0</v>
      </c>
      <c r="T76">
        <f>IF(ROWS($2:76)&gt;COUNTIF(Operational_RawData!$A:$A,"5_Operational"),"",INDEX(Operational_RawData!T:T,MATCH("5_Operational",Operational_RawData!$A:$A,0)+ROWS($2:76)-1))</f>
        <v>0</v>
      </c>
    </row>
    <row r="77" spans="1:20">
      <c r="A77" t="str">
        <f>IF(ROWS($2:77)&gt;COUNTIF(Operational_RawData!$A:$A,"5_Operational"),"",INDEX(Operational_RawData!A:A,MATCH("5_Operational",Operational_RawData!$A:$A,0)+ROWS($2:77)-1))</f>
        <v>5_Operational</v>
      </c>
      <c r="B77">
        <f>IF(ROWS($2:77)&gt;COUNTIF(Operational_RawData!$A:$A,"5_Operational"),"",INDEX(Operational_RawData!B:B,MATCH("5_Operational",Operational_RawData!$A:$A,0)+ROWS($2:77)-1))</f>
        <v>145021.913</v>
      </c>
      <c r="C77">
        <f>IF(ROWS($2:77)&gt;COUNTIF(Operational_RawData!$A:$A,"5_Operational"),"",INDEX(Operational_RawData!C:C,MATCH("5_Operational",Operational_RawData!$A:$A,0)+ROWS($2:77)-1))</f>
        <v>56.08</v>
      </c>
      <c r="D77">
        <f>IF(ROWS($2:77)&gt;COUNTIF(Operational_RawData!$A:$A,"5_Operational"),"",INDEX(Operational_RawData!D:D,MATCH("5_Operational",Operational_RawData!$A:$A,0)+ROWS($2:77)-1))</f>
        <v>1312.752</v>
      </c>
      <c r="E77">
        <f>IF(ROWS($2:77)&gt;COUNTIF(Operational_RawData!$A:$A,"5_Operational"),"",INDEX(Operational_RawData!E:E,MATCH("5_Operational",Operational_RawData!$A:$A,0)+ROWS($2:77)-1))</f>
        <v>-0.15</v>
      </c>
      <c r="F77">
        <f>IF(ROWS($2:77)&gt;COUNTIF(Operational_RawData!$A:$A,"5_Operational"),"",INDEX(Operational_RawData!F:F,MATCH("5_Operational",Operational_RawData!$A:$A,0)+ROWS($2:77)-1))</f>
        <v>299.12</v>
      </c>
      <c r="G77">
        <f>IF(ROWS($2:77)&gt;COUNTIF(Operational_RawData!$A:$A,"5_Operational"),"",INDEX(Operational_RawData!G:G,MATCH("5_Operational",Operational_RawData!$A:$A,0)+ROWS($2:77)-1))</f>
        <v>299.12</v>
      </c>
      <c r="H77">
        <f>IF(ROWS($2:77)&gt;COUNTIF(Operational_RawData!$A:$A,"5_Operational"),"",INDEX(Operational_RawData!H:H,MATCH("5_Operational",Operational_RawData!$A:$A,0)+ROWS($2:77)-1))</f>
        <v>299.12</v>
      </c>
      <c r="I77">
        <f>IF(ROWS($2:77)&gt;COUNTIF(Operational_RawData!$A:$A,"5_Operational"),"",INDEX(Operational_RawData!I:I,MATCH("5_Operational",Operational_RawData!$A:$A,0)+ROWS($2:77)-1))</f>
        <v>299.12</v>
      </c>
      <c r="J77">
        <f>IF(ROWS($2:77)&gt;COUNTIF(Operational_RawData!$A:$A,"5_Operational"),"",INDEX(Operational_RawData!J:J,MATCH("5_Operational",Operational_RawData!$A:$A,0)+ROWS($2:77)-1))</f>
        <v>399</v>
      </c>
      <c r="K77">
        <f>IF(ROWS($2:77)&gt;COUNTIF(Operational_RawData!$A:$A,"5_Operational"),"",INDEX(Operational_RawData!K:K,MATCH("5_Operational",Operational_RawData!$A:$A,0)+ROWS($2:77)-1))</f>
        <v>399</v>
      </c>
      <c r="L77">
        <f>IF(ROWS($2:77)&gt;COUNTIF(Operational_RawData!$A:$A,"5_Operational"),"",INDEX(Operational_RawData!L:L,MATCH("5_Operational",Operational_RawData!$A:$A,0)+ROWS($2:77)-1))</f>
        <v>399</v>
      </c>
      <c r="M77">
        <f>IF(ROWS($2:77)&gt;COUNTIF(Operational_RawData!$A:$A,"5_Operational"),"",INDEX(Operational_RawData!M:M,MATCH("5_Operational",Operational_RawData!$A:$A,0)+ROWS($2:77)-1))</f>
        <v>399</v>
      </c>
      <c r="N77">
        <f>IF(ROWS($2:77)&gt;COUNTIF(Operational_RawData!$A:$A,"5_Operational"),"",INDEX(Operational_RawData!N:N,MATCH("5_Operational",Operational_RawData!$A:$A,0)+ROWS($2:77)-1))</f>
        <v>0.11</v>
      </c>
      <c r="O77">
        <f>IF(ROWS($2:77)&gt;COUNTIF(Operational_RawData!$A:$A,"5_Operational"),"",INDEX(Operational_RawData!O:O,MATCH("5_Operational",Operational_RawData!$A:$A,0)+ROWS($2:77)-1))</f>
        <v>0.15</v>
      </c>
      <c r="P77">
        <f>IF(ROWS($2:77)&gt;COUNTIF(Operational_RawData!$A:$A,"5_Operational"),"",INDEX(Operational_RawData!P:P,MATCH("5_Operational",Operational_RawData!$A:$A,0)+ROWS($2:77)-1))</f>
        <v>7.0000000000000007E-2</v>
      </c>
      <c r="Q77">
        <f>IF(ROWS($2:77)&gt;COUNTIF(Operational_RawData!$A:$A,"5_Operational"),"",INDEX(Operational_RawData!Q:Q,MATCH("5_Operational",Operational_RawData!$A:$A,0)+ROWS($2:77)-1))</f>
        <v>0.1</v>
      </c>
      <c r="R77" t="str">
        <f>IF(ROWS($2:77)&gt;COUNTIF(Operational_RawData!$A:$A,"5_Operational"),"",INDEX(Operational_RawData!R:R,MATCH("5_Operational",Operational_RawData!$A:$A,0)+ROWS($2:77)-1))</f>
        <v>Pass</v>
      </c>
      <c r="S77">
        <f>IF(ROWS($2:77)&gt;COUNTIF(Operational_RawData!$A:$A,"5_Operational"),"",INDEX(Operational_RawData!S:S,MATCH("5_Operational",Operational_RawData!$A:$A,0)+ROWS($2:77)-1))</f>
        <v>0</v>
      </c>
      <c r="T77">
        <f>IF(ROWS($2:77)&gt;COUNTIF(Operational_RawData!$A:$A,"5_Operational"),"",INDEX(Operational_RawData!T:T,MATCH("5_Operational",Operational_RawData!$A:$A,0)+ROWS($2:77)-1))</f>
        <v>0</v>
      </c>
    </row>
    <row r="78" spans="1:20">
      <c r="A78" t="str">
        <f>IF(ROWS($2:78)&gt;COUNTIF(Operational_RawData!$A:$A,"5_Operational"),"",INDEX(Operational_RawData!A:A,MATCH("5_Operational",Operational_RawData!$A:$A,0)+ROWS($2:78)-1))</f>
        <v>5_Operational</v>
      </c>
      <c r="B78">
        <f>IF(ROWS($2:78)&gt;COUNTIF(Operational_RawData!$A:$A,"5_Operational"),"",INDEX(Operational_RawData!B:B,MATCH("5_Operational",Operational_RawData!$A:$A,0)+ROWS($2:78)-1))</f>
        <v>145026.91</v>
      </c>
      <c r="C78">
        <f>IF(ROWS($2:78)&gt;COUNTIF(Operational_RawData!$A:$A,"5_Operational"),"",INDEX(Operational_RawData!C:C,MATCH("5_Operational",Operational_RawData!$A:$A,0)+ROWS($2:78)-1))</f>
        <v>56.82</v>
      </c>
      <c r="D78">
        <f>IF(ROWS($2:78)&gt;COUNTIF(Operational_RawData!$A:$A,"5_Operational"),"",INDEX(Operational_RawData!D:D,MATCH("5_Operational",Operational_RawData!$A:$A,0)+ROWS($2:78)-1))</f>
        <v>1312.819</v>
      </c>
      <c r="E78">
        <f>IF(ROWS($2:78)&gt;COUNTIF(Operational_RawData!$A:$A,"5_Operational"),"",INDEX(Operational_RawData!E:E,MATCH("5_Operational",Operational_RawData!$A:$A,0)+ROWS($2:78)-1))</f>
        <v>-0.23</v>
      </c>
      <c r="F78">
        <f>IF(ROWS($2:78)&gt;COUNTIF(Operational_RawData!$A:$A,"5_Operational"),"",INDEX(Operational_RawData!F:F,MATCH("5_Operational",Operational_RawData!$A:$A,0)+ROWS($2:78)-1))</f>
        <v>304.27999999999997</v>
      </c>
      <c r="G78">
        <f>IF(ROWS($2:78)&gt;COUNTIF(Operational_RawData!$A:$A,"5_Operational"),"",INDEX(Operational_RawData!G:G,MATCH("5_Operational",Operational_RawData!$A:$A,0)+ROWS($2:78)-1))</f>
        <v>304.27999999999997</v>
      </c>
      <c r="H78">
        <f>IF(ROWS($2:78)&gt;COUNTIF(Operational_RawData!$A:$A,"5_Operational"),"",INDEX(Operational_RawData!H:H,MATCH("5_Operational",Operational_RawData!$A:$A,0)+ROWS($2:78)-1))</f>
        <v>304.27999999999997</v>
      </c>
      <c r="I78">
        <f>IF(ROWS($2:78)&gt;COUNTIF(Operational_RawData!$A:$A,"5_Operational"),"",INDEX(Operational_RawData!I:I,MATCH("5_Operational",Operational_RawData!$A:$A,0)+ROWS($2:78)-1))</f>
        <v>304.27999999999997</v>
      </c>
      <c r="J78">
        <f>IF(ROWS($2:78)&gt;COUNTIF(Operational_RawData!$A:$A,"5_Operational"),"",INDEX(Operational_RawData!J:J,MATCH("5_Operational",Operational_RawData!$A:$A,0)+ROWS($2:78)-1))</f>
        <v>399</v>
      </c>
      <c r="K78">
        <f>IF(ROWS($2:78)&gt;COUNTIF(Operational_RawData!$A:$A,"5_Operational"),"",INDEX(Operational_RawData!K:K,MATCH("5_Operational",Operational_RawData!$A:$A,0)+ROWS($2:78)-1))</f>
        <v>399</v>
      </c>
      <c r="L78">
        <f>IF(ROWS($2:78)&gt;COUNTIF(Operational_RawData!$A:$A,"5_Operational"),"",INDEX(Operational_RawData!L:L,MATCH("5_Operational",Operational_RawData!$A:$A,0)+ROWS($2:78)-1))</f>
        <v>399</v>
      </c>
      <c r="M78">
        <f>IF(ROWS($2:78)&gt;COUNTIF(Operational_RawData!$A:$A,"5_Operational"),"",INDEX(Operational_RawData!M:M,MATCH("5_Operational",Operational_RawData!$A:$A,0)+ROWS($2:78)-1))</f>
        <v>399</v>
      </c>
      <c r="N78">
        <f>IF(ROWS($2:78)&gt;COUNTIF(Operational_RawData!$A:$A,"5_Operational"),"",INDEX(Operational_RawData!N:N,MATCH("5_Operational",Operational_RawData!$A:$A,0)+ROWS($2:78)-1))</f>
        <v>0.09</v>
      </c>
      <c r="O78">
        <f>IF(ROWS($2:78)&gt;COUNTIF(Operational_RawData!$A:$A,"5_Operational"),"",INDEX(Operational_RawData!O:O,MATCH("5_Operational",Operational_RawData!$A:$A,0)+ROWS($2:78)-1))</f>
        <v>0.15</v>
      </c>
      <c r="P78">
        <f>IF(ROWS($2:78)&gt;COUNTIF(Operational_RawData!$A:$A,"5_Operational"),"",INDEX(Operational_RawData!P:P,MATCH("5_Operational",Operational_RawData!$A:$A,0)+ROWS($2:78)-1))</f>
        <v>7.0000000000000007E-2</v>
      </c>
      <c r="Q78">
        <f>IF(ROWS($2:78)&gt;COUNTIF(Operational_RawData!$A:$A,"5_Operational"),"",INDEX(Operational_RawData!Q:Q,MATCH("5_Operational",Operational_RawData!$A:$A,0)+ROWS($2:78)-1))</f>
        <v>0.1</v>
      </c>
      <c r="R78" t="str">
        <f>IF(ROWS($2:78)&gt;COUNTIF(Operational_RawData!$A:$A,"5_Operational"),"",INDEX(Operational_RawData!R:R,MATCH("5_Operational",Operational_RawData!$A:$A,0)+ROWS($2:78)-1))</f>
        <v>Pass</v>
      </c>
      <c r="S78">
        <f>IF(ROWS($2:78)&gt;COUNTIF(Operational_RawData!$A:$A,"5_Operational"),"",INDEX(Operational_RawData!S:S,MATCH("5_Operational",Operational_RawData!$A:$A,0)+ROWS($2:78)-1))</f>
        <v>0</v>
      </c>
      <c r="T78">
        <f>IF(ROWS($2:78)&gt;COUNTIF(Operational_RawData!$A:$A,"5_Operational"),"",INDEX(Operational_RawData!T:T,MATCH("5_Operational",Operational_RawData!$A:$A,0)+ROWS($2:78)-1))</f>
        <v>0</v>
      </c>
    </row>
    <row r="79" spans="1:20">
      <c r="A79" t="str">
        <f>IF(ROWS($2:79)&gt;COUNTIF(Operational_RawData!$A:$A,"5_Operational"),"",INDEX(Operational_RawData!A:A,MATCH("5_Operational",Operational_RawData!$A:$A,0)+ROWS($2:79)-1))</f>
        <v>5_Operational</v>
      </c>
      <c r="B79">
        <f>IF(ROWS($2:79)&gt;COUNTIF(Operational_RawData!$A:$A,"5_Operational"),"",INDEX(Operational_RawData!B:B,MATCH("5_Operational",Operational_RawData!$A:$A,0)+ROWS($2:79)-1))</f>
        <v>145031.91200000001</v>
      </c>
      <c r="C79">
        <f>IF(ROWS($2:79)&gt;COUNTIF(Operational_RawData!$A:$A,"5_Operational"),"",INDEX(Operational_RawData!C:C,MATCH("5_Operational",Operational_RawData!$A:$A,0)+ROWS($2:79)-1))</f>
        <v>57.57</v>
      </c>
      <c r="D79">
        <f>IF(ROWS($2:79)&gt;COUNTIF(Operational_RawData!$A:$A,"5_Operational"),"",INDEX(Operational_RawData!D:D,MATCH("5_Operational",Operational_RawData!$A:$A,0)+ROWS($2:79)-1))</f>
        <v>1312.893</v>
      </c>
      <c r="E79">
        <f>IF(ROWS($2:79)&gt;COUNTIF(Operational_RawData!$A:$A,"5_Operational"),"",INDEX(Operational_RawData!E:E,MATCH("5_Operational",Operational_RawData!$A:$A,0)+ROWS($2:79)-1))</f>
        <v>-0.46</v>
      </c>
      <c r="F79">
        <f>IF(ROWS($2:79)&gt;COUNTIF(Operational_RawData!$A:$A,"5_Operational"),"",INDEX(Operational_RawData!F:F,MATCH("5_Operational",Operational_RawData!$A:$A,0)+ROWS($2:79)-1))</f>
        <v>309.36</v>
      </c>
      <c r="G79">
        <f>IF(ROWS($2:79)&gt;COUNTIF(Operational_RawData!$A:$A,"5_Operational"),"",INDEX(Operational_RawData!G:G,MATCH("5_Operational",Operational_RawData!$A:$A,0)+ROWS($2:79)-1))</f>
        <v>309.36</v>
      </c>
      <c r="H79">
        <f>IF(ROWS($2:79)&gt;COUNTIF(Operational_RawData!$A:$A,"5_Operational"),"",INDEX(Operational_RawData!H:H,MATCH("5_Operational",Operational_RawData!$A:$A,0)+ROWS($2:79)-1))</f>
        <v>309.36</v>
      </c>
      <c r="I79">
        <f>IF(ROWS($2:79)&gt;COUNTIF(Operational_RawData!$A:$A,"5_Operational"),"",INDEX(Operational_RawData!I:I,MATCH("5_Operational",Operational_RawData!$A:$A,0)+ROWS($2:79)-1))</f>
        <v>309.36</v>
      </c>
      <c r="J79">
        <f>IF(ROWS($2:79)&gt;COUNTIF(Operational_RawData!$A:$A,"5_Operational"),"",INDEX(Operational_RawData!J:J,MATCH("5_Operational",Operational_RawData!$A:$A,0)+ROWS($2:79)-1))</f>
        <v>399</v>
      </c>
      <c r="K79">
        <f>IF(ROWS($2:79)&gt;COUNTIF(Operational_RawData!$A:$A,"5_Operational"),"",INDEX(Operational_RawData!K:K,MATCH("5_Operational",Operational_RawData!$A:$A,0)+ROWS($2:79)-1))</f>
        <v>399</v>
      </c>
      <c r="L79">
        <f>IF(ROWS($2:79)&gt;COUNTIF(Operational_RawData!$A:$A,"5_Operational"),"",INDEX(Operational_RawData!L:L,MATCH("5_Operational",Operational_RawData!$A:$A,0)+ROWS($2:79)-1))</f>
        <v>399</v>
      </c>
      <c r="M79">
        <f>IF(ROWS($2:79)&gt;COUNTIF(Operational_RawData!$A:$A,"5_Operational"),"",INDEX(Operational_RawData!M:M,MATCH("5_Operational",Operational_RawData!$A:$A,0)+ROWS($2:79)-1))</f>
        <v>399</v>
      </c>
      <c r="N79">
        <f>IF(ROWS($2:79)&gt;COUNTIF(Operational_RawData!$A:$A,"5_Operational"),"",INDEX(Operational_RawData!N:N,MATCH("5_Operational",Operational_RawData!$A:$A,0)+ROWS($2:79)-1))</f>
        <v>0.1</v>
      </c>
      <c r="O79">
        <f>IF(ROWS($2:79)&gt;COUNTIF(Operational_RawData!$A:$A,"5_Operational"),"",INDEX(Operational_RawData!O:O,MATCH("5_Operational",Operational_RawData!$A:$A,0)+ROWS($2:79)-1))</f>
        <v>0.15</v>
      </c>
      <c r="P79">
        <f>IF(ROWS($2:79)&gt;COUNTIF(Operational_RawData!$A:$A,"5_Operational"),"",INDEX(Operational_RawData!P:P,MATCH("5_Operational",Operational_RawData!$A:$A,0)+ROWS($2:79)-1))</f>
        <v>7.0000000000000007E-2</v>
      </c>
      <c r="Q79">
        <f>IF(ROWS($2:79)&gt;COUNTIF(Operational_RawData!$A:$A,"5_Operational"),"",INDEX(Operational_RawData!Q:Q,MATCH("5_Operational",Operational_RawData!$A:$A,0)+ROWS($2:79)-1))</f>
        <v>0.1</v>
      </c>
      <c r="R79" t="str">
        <f>IF(ROWS($2:79)&gt;COUNTIF(Operational_RawData!$A:$A,"5_Operational"),"",INDEX(Operational_RawData!R:R,MATCH("5_Operational",Operational_RawData!$A:$A,0)+ROWS($2:79)-1))</f>
        <v>Pass</v>
      </c>
      <c r="S79">
        <f>IF(ROWS($2:79)&gt;COUNTIF(Operational_RawData!$A:$A,"5_Operational"),"",INDEX(Operational_RawData!S:S,MATCH("5_Operational",Operational_RawData!$A:$A,0)+ROWS($2:79)-1))</f>
        <v>0</v>
      </c>
      <c r="T79">
        <f>IF(ROWS($2:79)&gt;COUNTIF(Operational_RawData!$A:$A,"5_Operational"),"",INDEX(Operational_RawData!T:T,MATCH("5_Operational",Operational_RawData!$A:$A,0)+ROWS($2:79)-1))</f>
        <v>0</v>
      </c>
    </row>
    <row r="80" spans="1:20">
      <c r="A80" t="str">
        <f>IF(ROWS($2:80)&gt;COUNTIF(Operational_RawData!$A:$A,"5_Operational"),"",INDEX(Operational_RawData!A:A,MATCH("5_Operational",Operational_RawData!$A:$A,0)+ROWS($2:80)-1))</f>
        <v>5_Operational</v>
      </c>
      <c r="B80">
        <f>IF(ROWS($2:80)&gt;COUNTIF(Operational_RawData!$A:$A,"5_Operational"),"",INDEX(Operational_RawData!B:B,MATCH("5_Operational",Operational_RawData!$A:$A,0)+ROWS($2:80)-1))</f>
        <v>145036.921</v>
      </c>
      <c r="C80">
        <f>IF(ROWS($2:80)&gt;COUNTIF(Operational_RawData!$A:$A,"5_Operational"),"",INDEX(Operational_RawData!C:C,MATCH("5_Operational",Operational_RawData!$A:$A,0)+ROWS($2:80)-1))</f>
        <v>58.3</v>
      </c>
      <c r="D80">
        <f>IF(ROWS($2:80)&gt;COUNTIF(Operational_RawData!$A:$A,"5_Operational"),"",INDEX(Operational_RawData!D:D,MATCH("5_Operational",Operational_RawData!$A:$A,0)+ROWS($2:80)-1))</f>
        <v>1312.9659999999999</v>
      </c>
      <c r="E80">
        <f>IF(ROWS($2:80)&gt;COUNTIF(Operational_RawData!$A:$A,"5_Operational"),"",INDEX(Operational_RawData!E:E,MATCH("5_Operational",Operational_RawData!$A:$A,0)+ROWS($2:80)-1))</f>
        <v>-0.5</v>
      </c>
      <c r="F80">
        <f>IF(ROWS($2:80)&gt;COUNTIF(Operational_RawData!$A:$A,"5_Operational"),"",INDEX(Operational_RawData!F:F,MATCH("5_Operational",Operational_RawData!$A:$A,0)+ROWS($2:80)-1))</f>
        <v>314.88</v>
      </c>
      <c r="G80">
        <f>IF(ROWS($2:80)&gt;COUNTIF(Operational_RawData!$A:$A,"5_Operational"),"",INDEX(Operational_RawData!G:G,MATCH("5_Operational",Operational_RawData!$A:$A,0)+ROWS($2:80)-1))</f>
        <v>314.88</v>
      </c>
      <c r="H80">
        <f>IF(ROWS($2:80)&gt;COUNTIF(Operational_RawData!$A:$A,"5_Operational"),"",INDEX(Operational_RawData!H:H,MATCH("5_Operational",Operational_RawData!$A:$A,0)+ROWS($2:80)-1))</f>
        <v>314.88</v>
      </c>
      <c r="I80">
        <f>IF(ROWS($2:80)&gt;COUNTIF(Operational_RawData!$A:$A,"5_Operational"),"",INDEX(Operational_RawData!I:I,MATCH("5_Operational",Operational_RawData!$A:$A,0)+ROWS($2:80)-1))</f>
        <v>314.88</v>
      </c>
      <c r="J80">
        <f>IF(ROWS($2:80)&gt;COUNTIF(Operational_RawData!$A:$A,"5_Operational"),"",INDEX(Operational_RawData!J:J,MATCH("5_Operational",Operational_RawData!$A:$A,0)+ROWS($2:80)-1))</f>
        <v>399</v>
      </c>
      <c r="K80">
        <f>IF(ROWS($2:80)&gt;COUNTIF(Operational_RawData!$A:$A,"5_Operational"),"",INDEX(Operational_RawData!K:K,MATCH("5_Operational",Operational_RawData!$A:$A,0)+ROWS($2:80)-1))</f>
        <v>399</v>
      </c>
      <c r="L80">
        <f>IF(ROWS($2:80)&gt;COUNTIF(Operational_RawData!$A:$A,"5_Operational"),"",INDEX(Operational_RawData!L:L,MATCH("5_Operational",Operational_RawData!$A:$A,0)+ROWS($2:80)-1))</f>
        <v>399</v>
      </c>
      <c r="M80">
        <f>IF(ROWS($2:80)&gt;COUNTIF(Operational_RawData!$A:$A,"5_Operational"),"",INDEX(Operational_RawData!M:M,MATCH("5_Operational",Operational_RawData!$A:$A,0)+ROWS($2:80)-1))</f>
        <v>399</v>
      </c>
      <c r="N80">
        <f>IF(ROWS($2:80)&gt;COUNTIF(Operational_RawData!$A:$A,"5_Operational"),"",INDEX(Operational_RawData!N:N,MATCH("5_Operational",Operational_RawData!$A:$A,0)+ROWS($2:80)-1))</f>
        <v>0.1</v>
      </c>
      <c r="O80">
        <f>IF(ROWS($2:80)&gt;COUNTIF(Operational_RawData!$A:$A,"5_Operational"),"",INDEX(Operational_RawData!O:O,MATCH("5_Operational",Operational_RawData!$A:$A,0)+ROWS($2:80)-1))</f>
        <v>0.15</v>
      </c>
      <c r="P80">
        <f>IF(ROWS($2:80)&gt;COUNTIF(Operational_RawData!$A:$A,"5_Operational"),"",INDEX(Operational_RawData!P:P,MATCH("5_Operational",Operational_RawData!$A:$A,0)+ROWS($2:80)-1))</f>
        <v>7.0000000000000007E-2</v>
      </c>
      <c r="Q80">
        <f>IF(ROWS($2:80)&gt;COUNTIF(Operational_RawData!$A:$A,"5_Operational"),"",INDEX(Operational_RawData!Q:Q,MATCH("5_Operational",Operational_RawData!$A:$A,0)+ROWS($2:80)-1))</f>
        <v>0.1</v>
      </c>
      <c r="R80" t="str">
        <f>IF(ROWS($2:80)&gt;COUNTIF(Operational_RawData!$A:$A,"5_Operational"),"",INDEX(Operational_RawData!R:R,MATCH("5_Operational",Operational_RawData!$A:$A,0)+ROWS($2:80)-1))</f>
        <v>Pass</v>
      </c>
      <c r="S80">
        <f>IF(ROWS($2:80)&gt;COUNTIF(Operational_RawData!$A:$A,"5_Operational"),"",INDEX(Operational_RawData!S:S,MATCH("5_Operational",Operational_RawData!$A:$A,0)+ROWS($2:80)-1))</f>
        <v>0</v>
      </c>
      <c r="T80">
        <f>IF(ROWS($2:80)&gt;COUNTIF(Operational_RawData!$A:$A,"5_Operational"),"",INDEX(Operational_RawData!T:T,MATCH("5_Operational",Operational_RawData!$A:$A,0)+ROWS($2:80)-1))</f>
        <v>0</v>
      </c>
    </row>
    <row r="81" spans="1:20">
      <c r="A81" t="str">
        <f>IF(ROWS($2:81)&gt;COUNTIF(Operational_RawData!$A:$A,"5_Operational"),"",INDEX(Operational_RawData!A:A,MATCH("5_Operational",Operational_RawData!$A:$A,0)+ROWS($2:81)-1))</f>
        <v>5_Operational</v>
      </c>
      <c r="B81">
        <f>IF(ROWS($2:81)&gt;COUNTIF(Operational_RawData!$A:$A,"5_Operational"),"",INDEX(Operational_RawData!B:B,MATCH("5_Operational",Operational_RawData!$A:$A,0)+ROWS($2:81)-1))</f>
        <v>145041.921</v>
      </c>
      <c r="C81">
        <f>IF(ROWS($2:81)&gt;COUNTIF(Operational_RawData!$A:$A,"5_Operational"),"",INDEX(Operational_RawData!C:C,MATCH("5_Operational",Operational_RawData!$A:$A,0)+ROWS($2:81)-1))</f>
        <v>59.05</v>
      </c>
      <c r="D81">
        <f>IF(ROWS($2:81)&gt;COUNTIF(Operational_RawData!$A:$A,"5_Operational"),"",INDEX(Operational_RawData!D:D,MATCH("5_Operational",Operational_RawData!$A:$A,0)+ROWS($2:81)-1))</f>
        <v>1313.047</v>
      </c>
      <c r="E81">
        <f>IF(ROWS($2:81)&gt;COUNTIF(Operational_RawData!$A:$A,"5_Operational"),"",INDEX(Operational_RawData!E:E,MATCH("5_Operational",Operational_RawData!$A:$A,0)+ROWS($2:81)-1))</f>
        <v>-0.54</v>
      </c>
      <c r="F81">
        <f>IF(ROWS($2:81)&gt;COUNTIF(Operational_RawData!$A:$A,"5_Operational"),"",INDEX(Operational_RawData!F:F,MATCH("5_Operational",Operational_RawData!$A:$A,0)+ROWS($2:81)-1))</f>
        <v>320.88</v>
      </c>
      <c r="G81">
        <f>IF(ROWS($2:81)&gt;COUNTIF(Operational_RawData!$A:$A,"5_Operational"),"",INDEX(Operational_RawData!G:G,MATCH("5_Operational",Operational_RawData!$A:$A,0)+ROWS($2:81)-1))</f>
        <v>320.88</v>
      </c>
      <c r="H81">
        <f>IF(ROWS($2:81)&gt;COUNTIF(Operational_RawData!$A:$A,"5_Operational"),"",INDEX(Operational_RawData!H:H,MATCH("5_Operational",Operational_RawData!$A:$A,0)+ROWS($2:81)-1))</f>
        <v>320.88</v>
      </c>
      <c r="I81">
        <f>IF(ROWS($2:81)&gt;COUNTIF(Operational_RawData!$A:$A,"5_Operational"),"",INDEX(Operational_RawData!I:I,MATCH("5_Operational",Operational_RawData!$A:$A,0)+ROWS($2:81)-1))</f>
        <v>320.88</v>
      </c>
      <c r="J81">
        <f>IF(ROWS($2:81)&gt;COUNTIF(Operational_RawData!$A:$A,"5_Operational"),"",INDEX(Operational_RawData!J:J,MATCH("5_Operational",Operational_RawData!$A:$A,0)+ROWS($2:81)-1))</f>
        <v>399</v>
      </c>
      <c r="K81">
        <f>IF(ROWS($2:81)&gt;COUNTIF(Operational_RawData!$A:$A,"5_Operational"),"",INDEX(Operational_RawData!K:K,MATCH("5_Operational",Operational_RawData!$A:$A,0)+ROWS($2:81)-1))</f>
        <v>399</v>
      </c>
      <c r="L81">
        <f>IF(ROWS($2:81)&gt;COUNTIF(Operational_RawData!$A:$A,"5_Operational"),"",INDEX(Operational_RawData!L:L,MATCH("5_Operational",Operational_RawData!$A:$A,0)+ROWS($2:81)-1))</f>
        <v>399</v>
      </c>
      <c r="M81">
        <f>IF(ROWS($2:81)&gt;COUNTIF(Operational_RawData!$A:$A,"5_Operational"),"",INDEX(Operational_RawData!M:M,MATCH("5_Operational",Operational_RawData!$A:$A,0)+ROWS($2:81)-1))</f>
        <v>399</v>
      </c>
      <c r="N81">
        <f>IF(ROWS($2:81)&gt;COUNTIF(Operational_RawData!$A:$A,"5_Operational"),"",INDEX(Operational_RawData!N:N,MATCH("5_Operational",Operational_RawData!$A:$A,0)+ROWS($2:81)-1))</f>
        <v>0.11</v>
      </c>
      <c r="O81">
        <f>IF(ROWS($2:81)&gt;COUNTIF(Operational_RawData!$A:$A,"5_Operational"),"",INDEX(Operational_RawData!O:O,MATCH("5_Operational",Operational_RawData!$A:$A,0)+ROWS($2:81)-1))</f>
        <v>0.15</v>
      </c>
      <c r="P81">
        <f>IF(ROWS($2:81)&gt;COUNTIF(Operational_RawData!$A:$A,"5_Operational"),"",INDEX(Operational_RawData!P:P,MATCH("5_Operational",Operational_RawData!$A:$A,0)+ROWS($2:81)-1))</f>
        <v>7.0000000000000007E-2</v>
      </c>
      <c r="Q81">
        <f>IF(ROWS($2:81)&gt;COUNTIF(Operational_RawData!$A:$A,"5_Operational"),"",INDEX(Operational_RawData!Q:Q,MATCH("5_Operational",Operational_RawData!$A:$A,0)+ROWS($2:81)-1))</f>
        <v>0.1</v>
      </c>
      <c r="R81" t="str">
        <f>IF(ROWS($2:81)&gt;COUNTIF(Operational_RawData!$A:$A,"5_Operational"),"",INDEX(Operational_RawData!R:R,MATCH("5_Operational",Operational_RawData!$A:$A,0)+ROWS($2:81)-1))</f>
        <v>Pass</v>
      </c>
      <c r="S81">
        <f>IF(ROWS($2:81)&gt;COUNTIF(Operational_RawData!$A:$A,"5_Operational"),"",INDEX(Operational_RawData!S:S,MATCH("5_Operational",Operational_RawData!$A:$A,0)+ROWS($2:81)-1))</f>
        <v>0</v>
      </c>
      <c r="T81">
        <f>IF(ROWS($2:81)&gt;COUNTIF(Operational_RawData!$A:$A,"5_Operational"),"",INDEX(Operational_RawData!T:T,MATCH("5_Operational",Operational_RawData!$A:$A,0)+ROWS($2:81)-1))</f>
        <v>0</v>
      </c>
    </row>
    <row r="82" spans="1:20">
      <c r="A82" t="str">
        <f>IF(ROWS($2:82)&gt;COUNTIF(Operational_RawData!$A:$A,"5_Operational"),"",INDEX(Operational_RawData!A:A,MATCH("5_Operational",Operational_RawData!$A:$A,0)+ROWS($2:82)-1))</f>
        <v>5_Operational</v>
      </c>
      <c r="B82">
        <f>IF(ROWS($2:82)&gt;COUNTIF(Operational_RawData!$A:$A,"5_Operational"),"",INDEX(Operational_RawData!B:B,MATCH("5_Operational",Operational_RawData!$A:$A,0)+ROWS($2:82)-1))</f>
        <v>145046.91399999999</v>
      </c>
      <c r="C82">
        <f>IF(ROWS($2:82)&gt;COUNTIF(Operational_RawData!$A:$A,"5_Operational"),"",INDEX(Operational_RawData!C:C,MATCH("5_Operational",Operational_RawData!$A:$A,0)+ROWS($2:82)-1))</f>
        <v>59.81</v>
      </c>
      <c r="D82">
        <f>IF(ROWS($2:82)&gt;COUNTIF(Operational_RawData!$A:$A,"5_Operational"),"",INDEX(Operational_RawData!D:D,MATCH("5_Operational",Operational_RawData!$A:$A,0)+ROWS($2:82)-1))</f>
        <v>1313.114</v>
      </c>
      <c r="E82">
        <f>IF(ROWS($2:82)&gt;COUNTIF(Operational_RawData!$A:$A,"5_Operational"),"",INDEX(Operational_RawData!E:E,MATCH("5_Operational",Operational_RawData!$A:$A,0)+ROWS($2:82)-1))</f>
        <v>-0.56999999999999995</v>
      </c>
      <c r="F82">
        <f>IF(ROWS($2:82)&gt;COUNTIF(Operational_RawData!$A:$A,"5_Operational"),"",INDEX(Operational_RawData!F:F,MATCH("5_Operational",Operational_RawData!$A:$A,0)+ROWS($2:82)-1))</f>
        <v>326.83999999999997</v>
      </c>
      <c r="G82">
        <f>IF(ROWS($2:82)&gt;COUNTIF(Operational_RawData!$A:$A,"5_Operational"),"",INDEX(Operational_RawData!G:G,MATCH("5_Operational",Operational_RawData!$A:$A,0)+ROWS($2:82)-1))</f>
        <v>326.83999999999997</v>
      </c>
      <c r="H82">
        <f>IF(ROWS($2:82)&gt;COUNTIF(Operational_RawData!$A:$A,"5_Operational"),"",INDEX(Operational_RawData!H:H,MATCH("5_Operational",Operational_RawData!$A:$A,0)+ROWS($2:82)-1))</f>
        <v>326.83999999999997</v>
      </c>
      <c r="I82">
        <f>IF(ROWS($2:82)&gt;COUNTIF(Operational_RawData!$A:$A,"5_Operational"),"",INDEX(Operational_RawData!I:I,MATCH("5_Operational",Operational_RawData!$A:$A,0)+ROWS($2:82)-1))</f>
        <v>326.83999999999997</v>
      </c>
      <c r="J82">
        <f>IF(ROWS($2:82)&gt;COUNTIF(Operational_RawData!$A:$A,"5_Operational"),"",INDEX(Operational_RawData!J:J,MATCH("5_Operational",Operational_RawData!$A:$A,0)+ROWS($2:82)-1))</f>
        <v>399</v>
      </c>
      <c r="K82">
        <f>IF(ROWS($2:82)&gt;COUNTIF(Operational_RawData!$A:$A,"5_Operational"),"",INDEX(Operational_RawData!K:K,MATCH("5_Operational",Operational_RawData!$A:$A,0)+ROWS($2:82)-1))</f>
        <v>399</v>
      </c>
      <c r="L82">
        <f>IF(ROWS($2:82)&gt;COUNTIF(Operational_RawData!$A:$A,"5_Operational"),"",INDEX(Operational_RawData!L:L,MATCH("5_Operational",Operational_RawData!$A:$A,0)+ROWS($2:82)-1))</f>
        <v>399</v>
      </c>
      <c r="M82">
        <f>IF(ROWS($2:82)&gt;COUNTIF(Operational_RawData!$A:$A,"5_Operational"),"",INDEX(Operational_RawData!M:M,MATCH("5_Operational",Operational_RawData!$A:$A,0)+ROWS($2:82)-1))</f>
        <v>399</v>
      </c>
      <c r="N82">
        <f>IF(ROWS($2:82)&gt;COUNTIF(Operational_RawData!$A:$A,"5_Operational"),"",INDEX(Operational_RawData!N:N,MATCH("5_Operational",Operational_RawData!$A:$A,0)+ROWS($2:82)-1))</f>
        <v>0.09</v>
      </c>
      <c r="O82">
        <f>IF(ROWS($2:82)&gt;COUNTIF(Operational_RawData!$A:$A,"5_Operational"),"",INDEX(Operational_RawData!O:O,MATCH("5_Operational",Operational_RawData!$A:$A,0)+ROWS($2:82)-1))</f>
        <v>0.15</v>
      </c>
      <c r="P82">
        <f>IF(ROWS($2:82)&gt;COUNTIF(Operational_RawData!$A:$A,"5_Operational"),"",INDEX(Operational_RawData!P:P,MATCH("5_Operational",Operational_RawData!$A:$A,0)+ROWS($2:82)-1))</f>
        <v>7.0000000000000007E-2</v>
      </c>
      <c r="Q82">
        <f>IF(ROWS($2:82)&gt;COUNTIF(Operational_RawData!$A:$A,"5_Operational"),"",INDEX(Operational_RawData!Q:Q,MATCH("5_Operational",Operational_RawData!$A:$A,0)+ROWS($2:82)-1))</f>
        <v>0.1</v>
      </c>
      <c r="R82" t="str">
        <f>IF(ROWS($2:82)&gt;COUNTIF(Operational_RawData!$A:$A,"5_Operational"),"",INDEX(Operational_RawData!R:R,MATCH("5_Operational",Operational_RawData!$A:$A,0)+ROWS($2:82)-1))</f>
        <v>Pass</v>
      </c>
      <c r="S82">
        <f>IF(ROWS($2:82)&gt;COUNTIF(Operational_RawData!$A:$A,"5_Operational"),"",INDEX(Operational_RawData!S:S,MATCH("5_Operational",Operational_RawData!$A:$A,0)+ROWS($2:82)-1))</f>
        <v>0</v>
      </c>
      <c r="T82">
        <f>IF(ROWS($2:82)&gt;COUNTIF(Operational_RawData!$A:$A,"5_Operational"),"",INDEX(Operational_RawData!T:T,MATCH("5_Operational",Operational_RawData!$A:$A,0)+ROWS($2:82)-1))</f>
        <v>0</v>
      </c>
    </row>
    <row r="83" spans="1:20">
      <c r="A83" t="str">
        <f>IF(ROWS($2:83)&gt;COUNTIF(Operational_RawData!$A:$A,"5_Operational"),"",INDEX(Operational_RawData!A:A,MATCH("5_Operational",Operational_RawData!$A:$A,0)+ROWS($2:83)-1))</f>
        <v>5_Operational</v>
      </c>
      <c r="B83">
        <f>IF(ROWS($2:83)&gt;COUNTIF(Operational_RawData!$A:$A,"5_Operational"),"",INDEX(Operational_RawData!B:B,MATCH("5_Operational",Operational_RawData!$A:$A,0)+ROWS($2:83)-1))</f>
        <v>145051.91699999999</v>
      </c>
      <c r="C83">
        <f>IF(ROWS($2:83)&gt;COUNTIF(Operational_RawData!$A:$A,"5_Operational"),"",INDEX(Operational_RawData!C:C,MATCH("5_Operational",Operational_RawData!$A:$A,0)+ROWS($2:83)-1))</f>
        <v>60.55</v>
      </c>
      <c r="D83">
        <f>IF(ROWS($2:83)&gt;COUNTIF(Operational_RawData!$A:$A,"5_Operational"),"",INDEX(Operational_RawData!D:D,MATCH("5_Operational",Operational_RawData!$A:$A,0)+ROWS($2:83)-1))</f>
        <v>1313.1949999999999</v>
      </c>
      <c r="E83">
        <f>IF(ROWS($2:83)&gt;COUNTIF(Operational_RawData!$A:$A,"5_Operational"),"",INDEX(Operational_RawData!E:E,MATCH("5_Operational",Operational_RawData!$A:$A,0)+ROWS($2:83)-1))</f>
        <v>-0.68</v>
      </c>
      <c r="F83">
        <f>IF(ROWS($2:83)&gt;COUNTIF(Operational_RawData!$A:$A,"5_Operational"),"",INDEX(Operational_RawData!F:F,MATCH("5_Operational",Operational_RawData!$A:$A,0)+ROWS($2:83)-1))</f>
        <v>333.64</v>
      </c>
      <c r="G83">
        <f>IF(ROWS($2:83)&gt;COUNTIF(Operational_RawData!$A:$A,"5_Operational"),"",INDEX(Operational_RawData!G:G,MATCH("5_Operational",Operational_RawData!$A:$A,0)+ROWS($2:83)-1))</f>
        <v>333.64</v>
      </c>
      <c r="H83">
        <f>IF(ROWS($2:83)&gt;COUNTIF(Operational_RawData!$A:$A,"5_Operational"),"",INDEX(Operational_RawData!H:H,MATCH("5_Operational",Operational_RawData!$A:$A,0)+ROWS($2:83)-1))</f>
        <v>333.64</v>
      </c>
      <c r="I83">
        <f>IF(ROWS($2:83)&gt;COUNTIF(Operational_RawData!$A:$A,"5_Operational"),"",INDEX(Operational_RawData!I:I,MATCH("5_Operational",Operational_RawData!$A:$A,0)+ROWS($2:83)-1))</f>
        <v>333.64</v>
      </c>
      <c r="J83">
        <f>IF(ROWS($2:83)&gt;COUNTIF(Operational_RawData!$A:$A,"5_Operational"),"",INDEX(Operational_RawData!J:J,MATCH("5_Operational",Operational_RawData!$A:$A,0)+ROWS($2:83)-1))</f>
        <v>399</v>
      </c>
      <c r="K83">
        <f>IF(ROWS($2:83)&gt;COUNTIF(Operational_RawData!$A:$A,"5_Operational"),"",INDEX(Operational_RawData!K:K,MATCH("5_Operational",Operational_RawData!$A:$A,0)+ROWS($2:83)-1))</f>
        <v>399</v>
      </c>
      <c r="L83">
        <f>IF(ROWS($2:83)&gt;COUNTIF(Operational_RawData!$A:$A,"5_Operational"),"",INDEX(Operational_RawData!L:L,MATCH("5_Operational",Operational_RawData!$A:$A,0)+ROWS($2:83)-1))</f>
        <v>399</v>
      </c>
      <c r="M83">
        <f>IF(ROWS($2:83)&gt;COUNTIF(Operational_RawData!$A:$A,"5_Operational"),"",INDEX(Operational_RawData!M:M,MATCH("5_Operational",Operational_RawData!$A:$A,0)+ROWS($2:83)-1))</f>
        <v>399</v>
      </c>
      <c r="N83">
        <f>IF(ROWS($2:83)&gt;COUNTIF(Operational_RawData!$A:$A,"5_Operational"),"",INDEX(Operational_RawData!N:N,MATCH("5_Operational",Operational_RawData!$A:$A,0)+ROWS($2:83)-1))</f>
        <v>0.11</v>
      </c>
      <c r="O83">
        <f>IF(ROWS($2:83)&gt;COUNTIF(Operational_RawData!$A:$A,"5_Operational"),"",INDEX(Operational_RawData!O:O,MATCH("5_Operational",Operational_RawData!$A:$A,0)+ROWS($2:83)-1))</f>
        <v>0.15</v>
      </c>
      <c r="P83">
        <f>IF(ROWS($2:83)&gt;COUNTIF(Operational_RawData!$A:$A,"5_Operational"),"",INDEX(Operational_RawData!P:P,MATCH("5_Operational",Operational_RawData!$A:$A,0)+ROWS($2:83)-1))</f>
        <v>7.0000000000000007E-2</v>
      </c>
      <c r="Q83">
        <f>IF(ROWS($2:83)&gt;COUNTIF(Operational_RawData!$A:$A,"5_Operational"),"",INDEX(Operational_RawData!Q:Q,MATCH("5_Operational",Operational_RawData!$A:$A,0)+ROWS($2:83)-1))</f>
        <v>0.1</v>
      </c>
      <c r="R83" t="str">
        <f>IF(ROWS($2:83)&gt;COUNTIF(Operational_RawData!$A:$A,"5_Operational"),"",INDEX(Operational_RawData!R:R,MATCH("5_Operational",Operational_RawData!$A:$A,0)+ROWS($2:83)-1))</f>
        <v>Pass</v>
      </c>
      <c r="S83">
        <f>IF(ROWS($2:83)&gt;COUNTIF(Operational_RawData!$A:$A,"5_Operational"),"",INDEX(Operational_RawData!S:S,MATCH("5_Operational",Operational_RawData!$A:$A,0)+ROWS($2:83)-1))</f>
        <v>0</v>
      </c>
      <c r="T83">
        <f>IF(ROWS($2:83)&gt;COUNTIF(Operational_RawData!$A:$A,"5_Operational"),"",INDEX(Operational_RawData!T:T,MATCH("5_Operational",Operational_RawData!$A:$A,0)+ROWS($2:83)-1))</f>
        <v>0</v>
      </c>
    </row>
    <row r="84" spans="1:20">
      <c r="A84" t="str">
        <f>IF(ROWS($2:84)&gt;COUNTIF(Operational_RawData!$A:$A,"5_Operational"),"",INDEX(Operational_RawData!A:A,MATCH("5_Operational",Operational_RawData!$A:$A,0)+ROWS($2:84)-1))</f>
        <v>5_Operational</v>
      </c>
      <c r="B84">
        <f>IF(ROWS($2:84)&gt;COUNTIF(Operational_RawData!$A:$A,"5_Operational"),"",INDEX(Operational_RawData!B:B,MATCH("5_Operational",Operational_RawData!$A:$A,0)+ROWS($2:84)-1))</f>
        <v>145056.913</v>
      </c>
      <c r="C84">
        <f>IF(ROWS($2:84)&gt;COUNTIF(Operational_RawData!$A:$A,"5_Operational"),"",INDEX(Operational_RawData!C:C,MATCH("5_Operational",Operational_RawData!$A:$A,0)+ROWS($2:84)-1))</f>
        <v>61.3</v>
      </c>
      <c r="D84">
        <f>IF(ROWS($2:84)&gt;COUNTIF(Operational_RawData!$A:$A,"5_Operational"),"",INDEX(Operational_RawData!D:D,MATCH("5_Operational",Operational_RawData!$A:$A,0)+ROWS($2:84)-1))</f>
        <v>1313.2629999999999</v>
      </c>
      <c r="E84">
        <f>IF(ROWS($2:84)&gt;COUNTIF(Operational_RawData!$A:$A,"5_Operational"),"",INDEX(Operational_RawData!E:E,MATCH("5_Operational",Operational_RawData!$A:$A,0)+ROWS($2:84)-1))</f>
        <v>-0.7</v>
      </c>
      <c r="F84">
        <f>IF(ROWS($2:84)&gt;COUNTIF(Operational_RawData!$A:$A,"5_Operational"),"",INDEX(Operational_RawData!F:F,MATCH("5_Operational",Operational_RawData!$A:$A,0)+ROWS($2:84)-1))</f>
        <v>340.76</v>
      </c>
      <c r="G84">
        <f>IF(ROWS($2:84)&gt;COUNTIF(Operational_RawData!$A:$A,"5_Operational"),"",INDEX(Operational_RawData!G:G,MATCH("5_Operational",Operational_RawData!$A:$A,0)+ROWS($2:84)-1))</f>
        <v>340.76</v>
      </c>
      <c r="H84">
        <f>IF(ROWS($2:84)&gt;COUNTIF(Operational_RawData!$A:$A,"5_Operational"),"",INDEX(Operational_RawData!H:H,MATCH("5_Operational",Operational_RawData!$A:$A,0)+ROWS($2:84)-1))</f>
        <v>340.76</v>
      </c>
      <c r="I84">
        <f>IF(ROWS($2:84)&gt;COUNTIF(Operational_RawData!$A:$A,"5_Operational"),"",INDEX(Operational_RawData!I:I,MATCH("5_Operational",Operational_RawData!$A:$A,0)+ROWS($2:84)-1))</f>
        <v>340.76</v>
      </c>
      <c r="J84">
        <f>IF(ROWS($2:84)&gt;COUNTIF(Operational_RawData!$A:$A,"5_Operational"),"",INDEX(Operational_RawData!J:J,MATCH("5_Operational",Operational_RawData!$A:$A,0)+ROWS($2:84)-1))</f>
        <v>399</v>
      </c>
      <c r="K84">
        <f>IF(ROWS($2:84)&gt;COUNTIF(Operational_RawData!$A:$A,"5_Operational"),"",INDEX(Operational_RawData!K:K,MATCH("5_Operational",Operational_RawData!$A:$A,0)+ROWS($2:84)-1))</f>
        <v>399</v>
      </c>
      <c r="L84">
        <f>IF(ROWS($2:84)&gt;COUNTIF(Operational_RawData!$A:$A,"5_Operational"),"",INDEX(Operational_RawData!L:L,MATCH("5_Operational",Operational_RawData!$A:$A,0)+ROWS($2:84)-1))</f>
        <v>399</v>
      </c>
      <c r="M84">
        <f>IF(ROWS($2:84)&gt;COUNTIF(Operational_RawData!$A:$A,"5_Operational"),"",INDEX(Operational_RawData!M:M,MATCH("5_Operational",Operational_RawData!$A:$A,0)+ROWS($2:84)-1))</f>
        <v>399</v>
      </c>
      <c r="N84">
        <f>IF(ROWS($2:84)&gt;COUNTIF(Operational_RawData!$A:$A,"5_Operational"),"",INDEX(Operational_RawData!N:N,MATCH("5_Operational",Operational_RawData!$A:$A,0)+ROWS($2:84)-1))</f>
        <v>0.09</v>
      </c>
      <c r="O84">
        <f>IF(ROWS($2:84)&gt;COUNTIF(Operational_RawData!$A:$A,"5_Operational"),"",INDEX(Operational_RawData!O:O,MATCH("5_Operational",Operational_RawData!$A:$A,0)+ROWS($2:84)-1))</f>
        <v>0.15</v>
      </c>
      <c r="P84">
        <f>IF(ROWS($2:84)&gt;COUNTIF(Operational_RawData!$A:$A,"5_Operational"),"",INDEX(Operational_RawData!P:P,MATCH("5_Operational",Operational_RawData!$A:$A,0)+ROWS($2:84)-1))</f>
        <v>7.0000000000000007E-2</v>
      </c>
      <c r="Q84">
        <f>IF(ROWS($2:84)&gt;COUNTIF(Operational_RawData!$A:$A,"5_Operational"),"",INDEX(Operational_RawData!Q:Q,MATCH("5_Operational",Operational_RawData!$A:$A,0)+ROWS($2:84)-1))</f>
        <v>0.1</v>
      </c>
      <c r="R84" t="str">
        <f>IF(ROWS($2:84)&gt;COUNTIF(Operational_RawData!$A:$A,"5_Operational"),"",INDEX(Operational_RawData!R:R,MATCH("5_Operational",Operational_RawData!$A:$A,0)+ROWS($2:84)-1))</f>
        <v>Pass</v>
      </c>
      <c r="S84">
        <f>IF(ROWS($2:84)&gt;COUNTIF(Operational_RawData!$A:$A,"5_Operational"),"",INDEX(Operational_RawData!S:S,MATCH("5_Operational",Operational_RawData!$A:$A,0)+ROWS($2:84)-1))</f>
        <v>0</v>
      </c>
      <c r="T84">
        <f>IF(ROWS($2:84)&gt;COUNTIF(Operational_RawData!$A:$A,"5_Operational"),"",INDEX(Operational_RawData!T:T,MATCH("5_Operational",Operational_RawData!$A:$A,0)+ROWS($2:84)-1))</f>
        <v>0</v>
      </c>
    </row>
    <row r="85" spans="1:20">
      <c r="A85" t="str">
        <f>IF(ROWS($2:85)&gt;COUNTIF(Operational_RawData!$A:$A,"5_Operational"),"",INDEX(Operational_RawData!A:A,MATCH("5_Operational",Operational_RawData!$A:$A,0)+ROWS($2:85)-1))</f>
        <v>5_Operational</v>
      </c>
      <c r="B85">
        <f>IF(ROWS($2:85)&gt;COUNTIF(Operational_RawData!$A:$A,"5_Operational"),"",INDEX(Operational_RawData!B:B,MATCH("5_Operational",Operational_RawData!$A:$A,0)+ROWS($2:85)-1))</f>
        <v>145101.91699999999</v>
      </c>
      <c r="C85">
        <f>IF(ROWS($2:85)&gt;COUNTIF(Operational_RawData!$A:$A,"5_Operational"),"",INDEX(Operational_RawData!C:C,MATCH("5_Operational",Operational_RawData!$A:$A,0)+ROWS($2:85)-1))</f>
        <v>62.03</v>
      </c>
      <c r="D85">
        <f>IF(ROWS($2:85)&gt;COUNTIF(Operational_RawData!$A:$A,"5_Operational"),"",INDEX(Operational_RawData!D:D,MATCH("5_Operational",Operational_RawData!$A:$A,0)+ROWS($2:85)-1))</f>
        <v>1313.337</v>
      </c>
      <c r="E85">
        <f>IF(ROWS($2:85)&gt;COUNTIF(Operational_RawData!$A:$A,"5_Operational"),"",INDEX(Operational_RawData!E:E,MATCH("5_Operational",Operational_RawData!$A:$A,0)+ROWS($2:85)-1))</f>
        <v>-0.73</v>
      </c>
      <c r="F85">
        <f>IF(ROWS($2:85)&gt;COUNTIF(Operational_RawData!$A:$A,"5_Operational"),"",INDEX(Operational_RawData!F:F,MATCH("5_Operational",Operational_RawData!$A:$A,0)+ROWS($2:85)-1))</f>
        <v>348.56</v>
      </c>
      <c r="G85">
        <f>IF(ROWS($2:85)&gt;COUNTIF(Operational_RawData!$A:$A,"5_Operational"),"",INDEX(Operational_RawData!G:G,MATCH("5_Operational",Operational_RawData!$A:$A,0)+ROWS($2:85)-1))</f>
        <v>348.56</v>
      </c>
      <c r="H85">
        <f>IF(ROWS($2:85)&gt;COUNTIF(Operational_RawData!$A:$A,"5_Operational"),"",INDEX(Operational_RawData!H:H,MATCH("5_Operational",Operational_RawData!$A:$A,0)+ROWS($2:85)-1))</f>
        <v>348.56</v>
      </c>
      <c r="I85">
        <f>IF(ROWS($2:85)&gt;COUNTIF(Operational_RawData!$A:$A,"5_Operational"),"",INDEX(Operational_RawData!I:I,MATCH("5_Operational",Operational_RawData!$A:$A,0)+ROWS($2:85)-1))</f>
        <v>348.56</v>
      </c>
      <c r="J85">
        <f>IF(ROWS($2:85)&gt;COUNTIF(Operational_RawData!$A:$A,"5_Operational"),"",INDEX(Operational_RawData!J:J,MATCH("5_Operational",Operational_RawData!$A:$A,0)+ROWS($2:85)-1))</f>
        <v>399</v>
      </c>
      <c r="K85">
        <f>IF(ROWS($2:85)&gt;COUNTIF(Operational_RawData!$A:$A,"5_Operational"),"",INDEX(Operational_RawData!K:K,MATCH("5_Operational",Operational_RawData!$A:$A,0)+ROWS($2:85)-1))</f>
        <v>399</v>
      </c>
      <c r="L85">
        <f>IF(ROWS($2:85)&gt;COUNTIF(Operational_RawData!$A:$A,"5_Operational"),"",INDEX(Operational_RawData!L:L,MATCH("5_Operational",Operational_RawData!$A:$A,0)+ROWS($2:85)-1))</f>
        <v>399</v>
      </c>
      <c r="M85">
        <f>IF(ROWS($2:85)&gt;COUNTIF(Operational_RawData!$A:$A,"5_Operational"),"",INDEX(Operational_RawData!M:M,MATCH("5_Operational",Operational_RawData!$A:$A,0)+ROWS($2:85)-1))</f>
        <v>399</v>
      </c>
      <c r="N85">
        <f>IF(ROWS($2:85)&gt;COUNTIF(Operational_RawData!$A:$A,"5_Operational"),"",INDEX(Operational_RawData!N:N,MATCH("5_Operational",Operational_RawData!$A:$A,0)+ROWS($2:85)-1))</f>
        <v>0.1</v>
      </c>
      <c r="O85">
        <f>IF(ROWS($2:85)&gt;COUNTIF(Operational_RawData!$A:$A,"5_Operational"),"",INDEX(Operational_RawData!O:O,MATCH("5_Operational",Operational_RawData!$A:$A,0)+ROWS($2:85)-1))</f>
        <v>0.15</v>
      </c>
      <c r="P85">
        <f>IF(ROWS($2:85)&gt;COUNTIF(Operational_RawData!$A:$A,"5_Operational"),"",INDEX(Operational_RawData!P:P,MATCH("5_Operational",Operational_RawData!$A:$A,0)+ROWS($2:85)-1))</f>
        <v>7.0000000000000007E-2</v>
      </c>
      <c r="Q85">
        <f>IF(ROWS($2:85)&gt;COUNTIF(Operational_RawData!$A:$A,"5_Operational"),"",INDEX(Operational_RawData!Q:Q,MATCH("5_Operational",Operational_RawData!$A:$A,0)+ROWS($2:85)-1))</f>
        <v>0.1</v>
      </c>
      <c r="R85" t="str">
        <f>IF(ROWS($2:85)&gt;COUNTIF(Operational_RawData!$A:$A,"5_Operational"),"",INDEX(Operational_RawData!R:R,MATCH("5_Operational",Operational_RawData!$A:$A,0)+ROWS($2:85)-1))</f>
        <v>Pass</v>
      </c>
      <c r="S85">
        <f>IF(ROWS($2:85)&gt;COUNTIF(Operational_RawData!$A:$A,"5_Operational"),"",INDEX(Operational_RawData!S:S,MATCH("5_Operational",Operational_RawData!$A:$A,0)+ROWS($2:85)-1))</f>
        <v>0</v>
      </c>
      <c r="T85">
        <f>IF(ROWS($2:85)&gt;COUNTIF(Operational_RawData!$A:$A,"5_Operational"),"",INDEX(Operational_RawData!T:T,MATCH("5_Operational",Operational_RawData!$A:$A,0)+ROWS($2:85)-1))</f>
        <v>0</v>
      </c>
    </row>
    <row r="86" spans="1:20">
      <c r="A86" t="str">
        <f>IF(ROWS($2:86)&gt;COUNTIF(Operational_RawData!$A:$A,"5_Operational"),"",INDEX(Operational_RawData!A:A,MATCH("5_Operational",Operational_RawData!$A:$A,0)+ROWS($2:86)-1))</f>
        <v>5_Operational</v>
      </c>
      <c r="B86">
        <f>IF(ROWS($2:86)&gt;COUNTIF(Operational_RawData!$A:$A,"5_Operational"),"",INDEX(Operational_RawData!B:B,MATCH("5_Operational",Operational_RawData!$A:$A,0)+ROWS($2:86)-1))</f>
        <v>145106.92499999999</v>
      </c>
      <c r="C86">
        <f>IF(ROWS($2:86)&gt;COUNTIF(Operational_RawData!$A:$A,"5_Operational"),"",INDEX(Operational_RawData!C:C,MATCH("5_Operational",Operational_RawData!$A:$A,0)+ROWS($2:86)-1))</f>
        <v>62.78</v>
      </c>
      <c r="D86">
        <f>IF(ROWS($2:86)&gt;COUNTIF(Operational_RawData!$A:$A,"5_Operational"),"",INDEX(Operational_RawData!D:D,MATCH("5_Operational",Operational_RawData!$A:$A,0)+ROWS($2:86)-1))</f>
        <v>1313.413</v>
      </c>
      <c r="E86">
        <f>IF(ROWS($2:86)&gt;COUNTIF(Operational_RawData!$A:$A,"5_Operational"),"",INDEX(Operational_RawData!E:E,MATCH("5_Operational",Operational_RawData!$A:$A,0)+ROWS($2:86)-1))</f>
        <v>-0.96</v>
      </c>
      <c r="F86">
        <f>IF(ROWS($2:86)&gt;COUNTIF(Operational_RawData!$A:$A,"5_Operational"),"",INDEX(Operational_RawData!F:F,MATCH("5_Operational",Operational_RawData!$A:$A,0)+ROWS($2:86)-1))</f>
        <v>356.36</v>
      </c>
      <c r="G86">
        <f>IF(ROWS($2:86)&gt;COUNTIF(Operational_RawData!$A:$A,"5_Operational"),"",INDEX(Operational_RawData!G:G,MATCH("5_Operational",Operational_RawData!$A:$A,0)+ROWS($2:86)-1))</f>
        <v>356.36</v>
      </c>
      <c r="H86">
        <f>IF(ROWS($2:86)&gt;COUNTIF(Operational_RawData!$A:$A,"5_Operational"),"",INDEX(Operational_RawData!H:H,MATCH("5_Operational",Operational_RawData!$A:$A,0)+ROWS($2:86)-1))</f>
        <v>356.36</v>
      </c>
      <c r="I86">
        <f>IF(ROWS($2:86)&gt;COUNTIF(Operational_RawData!$A:$A,"5_Operational"),"",INDEX(Operational_RawData!I:I,MATCH("5_Operational",Operational_RawData!$A:$A,0)+ROWS($2:86)-1))</f>
        <v>356.36</v>
      </c>
      <c r="J86">
        <f>IF(ROWS($2:86)&gt;COUNTIF(Operational_RawData!$A:$A,"5_Operational"),"",INDEX(Operational_RawData!J:J,MATCH("5_Operational",Operational_RawData!$A:$A,0)+ROWS($2:86)-1))</f>
        <v>399</v>
      </c>
      <c r="K86">
        <f>IF(ROWS($2:86)&gt;COUNTIF(Operational_RawData!$A:$A,"5_Operational"),"",INDEX(Operational_RawData!K:K,MATCH("5_Operational",Operational_RawData!$A:$A,0)+ROWS($2:86)-1))</f>
        <v>399</v>
      </c>
      <c r="L86">
        <f>IF(ROWS($2:86)&gt;COUNTIF(Operational_RawData!$A:$A,"5_Operational"),"",INDEX(Operational_RawData!L:L,MATCH("5_Operational",Operational_RawData!$A:$A,0)+ROWS($2:86)-1))</f>
        <v>399</v>
      </c>
      <c r="M86">
        <f>IF(ROWS($2:86)&gt;COUNTIF(Operational_RawData!$A:$A,"5_Operational"),"",INDEX(Operational_RawData!M:M,MATCH("5_Operational",Operational_RawData!$A:$A,0)+ROWS($2:86)-1))</f>
        <v>399</v>
      </c>
      <c r="N86">
        <f>IF(ROWS($2:86)&gt;COUNTIF(Operational_RawData!$A:$A,"5_Operational"),"",INDEX(Operational_RawData!N:N,MATCH("5_Operational",Operational_RawData!$A:$A,0)+ROWS($2:86)-1))</f>
        <v>0.1</v>
      </c>
      <c r="O86">
        <f>IF(ROWS($2:86)&gt;COUNTIF(Operational_RawData!$A:$A,"5_Operational"),"",INDEX(Operational_RawData!O:O,MATCH("5_Operational",Operational_RawData!$A:$A,0)+ROWS($2:86)-1))</f>
        <v>0.15</v>
      </c>
      <c r="P86">
        <f>IF(ROWS($2:86)&gt;COUNTIF(Operational_RawData!$A:$A,"5_Operational"),"",INDEX(Operational_RawData!P:P,MATCH("5_Operational",Operational_RawData!$A:$A,0)+ROWS($2:86)-1))</f>
        <v>7.0000000000000007E-2</v>
      </c>
      <c r="Q86">
        <f>IF(ROWS($2:86)&gt;COUNTIF(Operational_RawData!$A:$A,"5_Operational"),"",INDEX(Operational_RawData!Q:Q,MATCH("5_Operational",Operational_RawData!$A:$A,0)+ROWS($2:86)-1))</f>
        <v>0.1</v>
      </c>
      <c r="R86" t="str">
        <f>IF(ROWS($2:86)&gt;COUNTIF(Operational_RawData!$A:$A,"5_Operational"),"",INDEX(Operational_RawData!R:R,MATCH("5_Operational",Operational_RawData!$A:$A,0)+ROWS($2:86)-1))</f>
        <v>Pass</v>
      </c>
      <c r="S86">
        <f>IF(ROWS($2:86)&gt;COUNTIF(Operational_RawData!$A:$A,"5_Operational"),"",INDEX(Operational_RawData!S:S,MATCH("5_Operational",Operational_RawData!$A:$A,0)+ROWS($2:86)-1))</f>
        <v>0</v>
      </c>
      <c r="T86">
        <f>IF(ROWS($2:86)&gt;COUNTIF(Operational_RawData!$A:$A,"5_Operational"),"",INDEX(Operational_RawData!T:T,MATCH("5_Operational",Operational_RawData!$A:$A,0)+ROWS($2:86)-1))</f>
        <v>0</v>
      </c>
    </row>
    <row r="87" spans="1:20">
      <c r="A87" t="str">
        <f>IF(ROWS($2:87)&gt;COUNTIF(Operational_RawData!$A:$A,"5_Operational"),"",INDEX(Operational_RawData!A:A,MATCH("5_Operational",Operational_RawData!$A:$A,0)+ROWS($2:87)-1))</f>
        <v>5_Operational</v>
      </c>
      <c r="B87">
        <f>IF(ROWS($2:87)&gt;COUNTIF(Operational_RawData!$A:$A,"5_Operational"),"",INDEX(Operational_RawData!B:B,MATCH("5_Operational",Operational_RawData!$A:$A,0)+ROWS($2:87)-1))</f>
        <v>145111.91399999999</v>
      </c>
      <c r="C87">
        <f>IF(ROWS($2:87)&gt;COUNTIF(Operational_RawData!$A:$A,"5_Operational"),"",INDEX(Operational_RawData!C:C,MATCH("5_Operational",Operational_RawData!$A:$A,0)+ROWS($2:87)-1))</f>
        <v>63.53</v>
      </c>
      <c r="D87">
        <f>IF(ROWS($2:87)&gt;COUNTIF(Operational_RawData!$A:$A,"5_Operational"),"",INDEX(Operational_RawData!D:D,MATCH("5_Operational",Operational_RawData!$A:$A,0)+ROWS($2:87)-1))</f>
        <v>1313.4880000000001</v>
      </c>
      <c r="E87">
        <f>IF(ROWS($2:87)&gt;COUNTIF(Operational_RawData!$A:$A,"5_Operational"),"",INDEX(Operational_RawData!E:E,MATCH("5_Operational",Operational_RawData!$A:$A,0)+ROWS($2:87)-1))</f>
        <v>-1.0900000000000001</v>
      </c>
      <c r="F87">
        <f>IF(ROWS($2:87)&gt;COUNTIF(Operational_RawData!$A:$A,"5_Operational"),"",INDEX(Operational_RawData!F:F,MATCH("5_Operational",Operational_RawData!$A:$A,0)+ROWS($2:87)-1))</f>
        <v>364.56</v>
      </c>
      <c r="G87">
        <f>IF(ROWS($2:87)&gt;COUNTIF(Operational_RawData!$A:$A,"5_Operational"),"",INDEX(Operational_RawData!G:G,MATCH("5_Operational",Operational_RawData!$A:$A,0)+ROWS($2:87)-1))</f>
        <v>364.56</v>
      </c>
      <c r="H87">
        <f>IF(ROWS($2:87)&gt;COUNTIF(Operational_RawData!$A:$A,"5_Operational"),"",INDEX(Operational_RawData!H:H,MATCH("5_Operational",Operational_RawData!$A:$A,0)+ROWS($2:87)-1))</f>
        <v>364.6</v>
      </c>
      <c r="I87">
        <f>IF(ROWS($2:87)&gt;COUNTIF(Operational_RawData!$A:$A,"5_Operational"),"",INDEX(Operational_RawData!I:I,MATCH("5_Operational",Operational_RawData!$A:$A,0)+ROWS($2:87)-1))</f>
        <v>364.6</v>
      </c>
      <c r="J87">
        <f>IF(ROWS($2:87)&gt;COUNTIF(Operational_RawData!$A:$A,"5_Operational"),"",INDEX(Operational_RawData!J:J,MATCH("5_Operational",Operational_RawData!$A:$A,0)+ROWS($2:87)-1))</f>
        <v>399</v>
      </c>
      <c r="K87">
        <f>IF(ROWS($2:87)&gt;COUNTIF(Operational_RawData!$A:$A,"5_Operational"),"",INDEX(Operational_RawData!K:K,MATCH("5_Operational",Operational_RawData!$A:$A,0)+ROWS($2:87)-1))</f>
        <v>399</v>
      </c>
      <c r="L87">
        <f>IF(ROWS($2:87)&gt;COUNTIF(Operational_RawData!$A:$A,"5_Operational"),"",INDEX(Operational_RawData!L:L,MATCH("5_Operational",Operational_RawData!$A:$A,0)+ROWS($2:87)-1))</f>
        <v>399</v>
      </c>
      <c r="M87">
        <f>IF(ROWS($2:87)&gt;COUNTIF(Operational_RawData!$A:$A,"5_Operational"),"",INDEX(Operational_RawData!M:M,MATCH("5_Operational",Operational_RawData!$A:$A,0)+ROWS($2:87)-1))</f>
        <v>399</v>
      </c>
      <c r="N87">
        <f>IF(ROWS($2:87)&gt;COUNTIF(Operational_RawData!$A:$A,"5_Operational"),"",INDEX(Operational_RawData!N:N,MATCH("5_Operational",Operational_RawData!$A:$A,0)+ROWS($2:87)-1))</f>
        <v>0.1</v>
      </c>
      <c r="O87">
        <f>IF(ROWS($2:87)&gt;COUNTIF(Operational_RawData!$A:$A,"5_Operational"),"",INDEX(Operational_RawData!O:O,MATCH("5_Operational",Operational_RawData!$A:$A,0)+ROWS($2:87)-1))</f>
        <v>0.15</v>
      </c>
      <c r="P87">
        <f>IF(ROWS($2:87)&gt;COUNTIF(Operational_RawData!$A:$A,"5_Operational"),"",INDEX(Operational_RawData!P:P,MATCH("5_Operational",Operational_RawData!$A:$A,0)+ROWS($2:87)-1))</f>
        <v>7.0000000000000007E-2</v>
      </c>
      <c r="Q87">
        <f>IF(ROWS($2:87)&gt;COUNTIF(Operational_RawData!$A:$A,"5_Operational"),"",INDEX(Operational_RawData!Q:Q,MATCH("5_Operational",Operational_RawData!$A:$A,0)+ROWS($2:87)-1))</f>
        <v>0.1</v>
      </c>
      <c r="R87" t="str">
        <f>IF(ROWS($2:87)&gt;COUNTIF(Operational_RawData!$A:$A,"5_Operational"),"",INDEX(Operational_RawData!R:R,MATCH("5_Operational",Operational_RawData!$A:$A,0)+ROWS($2:87)-1))</f>
        <v>Pass</v>
      </c>
      <c r="S87">
        <f>IF(ROWS($2:87)&gt;COUNTIF(Operational_RawData!$A:$A,"5_Operational"),"",INDEX(Operational_RawData!S:S,MATCH("5_Operational",Operational_RawData!$A:$A,0)+ROWS($2:87)-1))</f>
        <v>0</v>
      </c>
      <c r="T87">
        <f>IF(ROWS($2:87)&gt;COUNTIF(Operational_RawData!$A:$A,"5_Operational"),"",INDEX(Operational_RawData!T:T,MATCH("5_Operational",Operational_RawData!$A:$A,0)+ROWS($2:87)-1))</f>
        <v>0</v>
      </c>
    </row>
    <row r="88" spans="1:20">
      <c r="A88" t="str">
        <f>IF(ROWS($2:88)&gt;COUNTIF(Operational_RawData!$A:$A,"5_Operational"),"",INDEX(Operational_RawData!A:A,MATCH("5_Operational",Operational_RawData!$A:$A,0)+ROWS($2:88)-1))</f>
        <v>5_Operational</v>
      </c>
      <c r="B88">
        <f>IF(ROWS($2:88)&gt;COUNTIF(Operational_RawData!$A:$A,"5_Operational"),"",INDEX(Operational_RawData!B:B,MATCH("5_Operational",Operational_RawData!$A:$A,0)+ROWS($2:88)-1))</f>
        <v>145116.92199999999</v>
      </c>
      <c r="C88">
        <f>IF(ROWS($2:88)&gt;COUNTIF(Operational_RawData!$A:$A,"5_Operational"),"",INDEX(Operational_RawData!C:C,MATCH("5_Operational",Operational_RawData!$A:$A,0)+ROWS($2:88)-1))</f>
        <v>64.28</v>
      </c>
      <c r="D88">
        <f>IF(ROWS($2:88)&gt;COUNTIF(Operational_RawData!$A:$A,"5_Operational"),"",INDEX(Operational_RawData!D:D,MATCH("5_Operational",Operational_RawData!$A:$A,0)+ROWS($2:88)-1))</f>
        <v>1313.5719999999999</v>
      </c>
      <c r="E88">
        <f>IF(ROWS($2:88)&gt;COUNTIF(Operational_RawData!$A:$A,"5_Operational"),"",INDEX(Operational_RawData!E:E,MATCH("5_Operational",Operational_RawData!$A:$A,0)+ROWS($2:88)-1))</f>
        <v>-1.18</v>
      </c>
      <c r="F88">
        <f>IF(ROWS($2:88)&gt;COUNTIF(Operational_RawData!$A:$A,"5_Operational"),"",INDEX(Operational_RawData!F:F,MATCH("5_Operational",Operational_RawData!$A:$A,0)+ROWS($2:88)-1))</f>
        <v>374</v>
      </c>
      <c r="G88">
        <f>IF(ROWS($2:88)&gt;COUNTIF(Operational_RawData!$A:$A,"5_Operational"),"",INDEX(Operational_RawData!G:G,MATCH("5_Operational",Operational_RawData!$A:$A,0)+ROWS($2:88)-1))</f>
        <v>374</v>
      </c>
      <c r="H88">
        <f>IF(ROWS($2:88)&gt;COUNTIF(Operational_RawData!$A:$A,"5_Operational"),"",INDEX(Operational_RawData!H:H,MATCH("5_Operational",Operational_RawData!$A:$A,0)+ROWS($2:88)-1))</f>
        <v>374</v>
      </c>
      <c r="I88">
        <f>IF(ROWS($2:88)&gt;COUNTIF(Operational_RawData!$A:$A,"5_Operational"),"",INDEX(Operational_RawData!I:I,MATCH("5_Operational",Operational_RawData!$A:$A,0)+ROWS($2:88)-1))</f>
        <v>374</v>
      </c>
      <c r="J88">
        <f>IF(ROWS($2:88)&gt;COUNTIF(Operational_RawData!$A:$A,"5_Operational"),"",INDEX(Operational_RawData!J:J,MATCH("5_Operational",Operational_RawData!$A:$A,0)+ROWS($2:88)-1))</f>
        <v>399</v>
      </c>
      <c r="K88">
        <f>IF(ROWS($2:88)&gt;COUNTIF(Operational_RawData!$A:$A,"5_Operational"),"",INDEX(Operational_RawData!K:K,MATCH("5_Operational",Operational_RawData!$A:$A,0)+ROWS($2:88)-1))</f>
        <v>399</v>
      </c>
      <c r="L88">
        <f>IF(ROWS($2:88)&gt;COUNTIF(Operational_RawData!$A:$A,"5_Operational"),"",INDEX(Operational_RawData!L:L,MATCH("5_Operational",Operational_RawData!$A:$A,0)+ROWS($2:88)-1))</f>
        <v>399</v>
      </c>
      <c r="M88">
        <f>IF(ROWS($2:88)&gt;COUNTIF(Operational_RawData!$A:$A,"5_Operational"),"",INDEX(Operational_RawData!M:M,MATCH("5_Operational",Operational_RawData!$A:$A,0)+ROWS($2:88)-1))</f>
        <v>399</v>
      </c>
      <c r="N88">
        <f>IF(ROWS($2:88)&gt;COUNTIF(Operational_RawData!$A:$A,"5_Operational"),"",INDEX(Operational_RawData!N:N,MATCH("5_Operational",Operational_RawData!$A:$A,0)+ROWS($2:88)-1))</f>
        <v>0.11</v>
      </c>
      <c r="O88">
        <f>IF(ROWS($2:88)&gt;COUNTIF(Operational_RawData!$A:$A,"5_Operational"),"",INDEX(Operational_RawData!O:O,MATCH("5_Operational",Operational_RawData!$A:$A,0)+ROWS($2:88)-1))</f>
        <v>0.15</v>
      </c>
      <c r="P88">
        <f>IF(ROWS($2:88)&gt;COUNTIF(Operational_RawData!$A:$A,"5_Operational"),"",INDEX(Operational_RawData!P:P,MATCH("5_Operational",Operational_RawData!$A:$A,0)+ROWS($2:88)-1))</f>
        <v>7.0000000000000007E-2</v>
      </c>
      <c r="Q88">
        <f>IF(ROWS($2:88)&gt;COUNTIF(Operational_RawData!$A:$A,"5_Operational"),"",INDEX(Operational_RawData!Q:Q,MATCH("5_Operational",Operational_RawData!$A:$A,0)+ROWS($2:88)-1))</f>
        <v>0.1</v>
      </c>
      <c r="R88" t="str">
        <f>IF(ROWS($2:88)&gt;COUNTIF(Operational_RawData!$A:$A,"5_Operational"),"",INDEX(Operational_RawData!R:R,MATCH("5_Operational",Operational_RawData!$A:$A,0)+ROWS($2:88)-1))</f>
        <v>Pass</v>
      </c>
      <c r="S88">
        <f>IF(ROWS($2:88)&gt;COUNTIF(Operational_RawData!$A:$A,"5_Operational"),"",INDEX(Operational_RawData!S:S,MATCH("5_Operational",Operational_RawData!$A:$A,0)+ROWS($2:88)-1))</f>
        <v>0</v>
      </c>
      <c r="T88">
        <f>IF(ROWS($2:88)&gt;COUNTIF(Operational_RawData!$A:$A,"5_Operational"),"",INDEX(Operational_RawData!T:T,MATCH("5_Operational",Operational_RawData!$A:$A,0)+ROWS($2:88)-1))</f>
        <v>0</v>
      </c>
    </row>
    <row r="89" spans="1:20">
      <c r="A89" t="str">
        <f>IF(ROWS($2:89)&gt;COUNTIF(Operational_RawData!$A:$A,"5_Operational"),"",INDEX(Operational_RawData!A:A,MATCH("5_Operational",Operational_RawData!$A:$A,0)+ROWS($2:89)-1))</f>
        <v>5_Operational</v>
      </c>
      <c r="B89">
        <f>IF(ROWS($2:89)&gt;COUNTIF(Operational_RawData!$A:$A,"5_Operational"),"",INDEX(Operational_RawData!B:B,MATCH("5_Operational",Operational_RawData!$A:$A,0)+ROWS($2:89)-1))</f>
        <v>145121.92600000001</v>
      </c>
      <c r="C89">
        <f>IF(ROWS($2:89)&gt;COUNTIF(Operational_RawData!$A:$A,"5_Operational"),"",INDEX(Operational_RawData!C:C,MATCH("5_Operational",Operational_RawData!$A:$A,0)+ROWS($2:89)-1))</f>
        <v>65.010000000000005</v>
      </c>
      <c r="D89">
        <f>IF(ROWS($2:89)&gt;COUNTIF(Operational_RawData!$A:$A,"5_Operational"),"",INDEX(Operational_RawData!D:D,MATCH("5_Operational",Operational_RawData!$A:$A,0)+ROWS($2:89)-1))</f>
        <v>1313.64</v>
      </c>
      <c r="E89">
        <f>IF(ROWS($2:89)&gt;COUNTIF(Operational_RawData!$A:$A,"5_Operational"),"",INDEX(Operational_RawData!E:E,MATCH("5_Operational",Operational_RawData!$A:$A,0)+ROWS($2:89)-1))</f>
        <v>-1.34</v>
      </c>
      <c r="F89">
        <f>IF(ROWS($2:89)&gt;COUNTIF(Operational_RawData!$A:$A,"5_Operational"),"",INDEX(Operational_RawData!F:F,MATCH("5_Operational",Operational_RawData!$A:$A,0)+ROWS($2:89)-1))</f>
        <v>383.64</v>
      </c>
      <c r="G89">
        <f>IF(ROWS($2:89)&gt;COUNTIF(Operational_RawData!$A:$A,"5_Operational"),"",INDEX(Operational_RawData!G:G,MATCH("5_Operational",Operational_RawData!$A:$A,0)+ROWS($2:89)-1))</f>
        <v>383.64</v>
      </c>
      <c r="H89">
        <f>IF(ROWS($2:89)&gt;COUNTIF(Operational_RawData!$A:$A,"5_Operational"),"",INDEX(Operational_RawData!H:H,MATCH("5_Operational",Operational_RawData!$A:$A,0)+ROWS($2:89)-1))</f>
        <v>383.64</v>
      </c>
      <c r="I89">
        <f>IF(ROWS($2:89)&gt;COUNTIF(Operational_RawData!$A:$A,"5_Operational"),"",INDEX(Operational_RawData!I:I,MATCH("5_Operational",Operational_RawData!$A:$A,0)+ROWS($2:89)-1))</f>
        <v>383.64</v>
      </c>
      <c r="J89">
        <f>IF(ROWS($2:89)&gt;COUNTIF(Operational_RawData!$A:$A,"5_Operational"),"",INDEX(Operational_RawData!J:J,MATCH("5_Operational",Operational_RawData!$A:$A,0)+ROWS($2:89)-1))</f>
        <v>399</v>
      </c>
      <c r="K89">
        <f>IF(ROWS($2:89)&gt;COUNTIF(Operational_RawData!$A:$A,"5_Operational"),"",INDEX(Operational_RawData!K:K,MATCH("5_Operational",Operational_RawData!$A:$A,0)+ROWS($2:89)-1))</f>
        <v>399</v>
      </c>
      <c r="L89">
        <f>IF(ROWS($2:89)&gt;COUNTIF(Operational_RawData!$A:$A,"5_Operational"),"",INDEX(Operational_RawData!L:L,MATCH("5_Operational",Operational_RawData!$A:$A,0)+ROWS($2:89)-1))</f>
        <v>399</v>
      </c>
      <c r="M89">
        <f>IF(ROWS($2:89)&gt;COUNTIF(Operational_RawData!$A:$A,"5_Operational"),"",INDEX(Operational_RawData!M:M,MATCH("5_Operational",Operational_RawData!$A:$A,0)+ROWS($2:89)-1))</f>
        <v>399</v>
      </c>
      <c r="N89">
        <f>IF(ROWS($2:89)&gt;COUNTIF(Operational_RawData!$A:$A,"5_Operational"),"",INDEX(Operational_RawData!N:N,MATCH("5_Operational",Operational_RawData!$A:$A,0)+ROWS($2:89)-1))</f>
        <v>0.09</v>
      </c>
      <c r="O89">
        <f>IF(ROWS($2:89)&gt;COUNTIF(Operational_RawData!$A:$A,"5_Operational"),"",INDEX(Operational_RawData!O:O,MATCH("5_Operational",Operational_RawData!$A:$A,0)+ROWS($2:89)-1))</f>
        <v>0.15</v>
      </c>
      <c r="P89">
        <f>IF(ROWS($2:89)&gt;COUNTIF(Operational_RawData!$A:$A,"5_Operational"),"",INDEX(Operational_RawData!P:P,MATCH("5_Operational",Operational_RawData!$A:$A,0)+ROWS($2:89)-1))</f>
        <v>7.0000000000000007E-2</v>
      </c>
      <c r="Q89">
        <f>IF(ROWS($2:89)&gt;COUNTIF(Operational_RawData!$A:$A,"5_Operational"),"",INDEX(Operational_RawData!Q:Q,MATCH("5_Operational",Operational_RawData!$A:$A,0)+ROWS($2:89)-1))</f>
        <v>0.1</v>
      </c>
      <c r="R89" t="str">
        <f>IF(ROWS($2:89)&gt;COUNTIF(Operational_RawData!$A:$A,"5_Operational"),"",INDEX(Operational_RawData!R:R,MATCH("5_Operational",Operational_RawData!$A:$A,0)+ROWS($2:89)-1))</f>
        <v>Pass</v>
      </c>
      <c r="S89">
        <f>IF(ROWS($2:89)&gt;COUNTIF(Operational_RawData!$A:$A,"5_Operational"),"",INDEX(Operational_RawData!S:S,MATCH("5_Operational",Operational_RawData!$A:$A,0)+ROWS($2:89)-1))</f>
        <v>0</v>
      </c>
      <c r="T89">
        <f>IF(ROWS($2:89)&gt;COUNTIF(Operational_RawData!$A:$A,"5_Operational"),"",INDEX(Operational_RawData!T:T,MATCH("5_Operational",Operational_RawData!$A:$A,0)+ROWS($2:89)-1))</f>
        <v>0</v>
      </c>
    </row>
    <row r="90" spans="1:20">
      <c r="A90" t="str">
        <f>IF(ROWS($2:90)&gt;COUNTIF(Operational_RawData!$A:$A,"5_Operational"),"",INDEX(Operational_RawData!A:A,MATCH("5_Operational",Operational_RawData!$A:$A,0)+ROWS($2:90)-1))</f>
        <v>5_Operational</v>
      </c>
      <c r="B90">
        <f>IF(ROWS($2:90)&gt;COUNTIF(Operational_RawData!$A:$A,"5_Operational"),"",INDEX(Operational_RawData!B:B,MATCH("5_Operational",Operational_RawData!$A:$A,0)+ROWS($2:90)-1))</f>
        <v>145126.92600000001</v>
      </c>
      <c r="C90">
        <f>IF(ROWS($2:90)&gt;COUNTIF(Operational_RawData!$A:$A,"5_Operational"),"",INDEX(Operational_RawData!C:C,MATCH("5_Operational",Operational_RawData!$A:$A,0)+ROWS($2:90)-1))</f>
        <v>65.760000000000005</v>
      </c>
      <c r="D90">
        <f>IF(ROWS($2:90)&gt;COUNTIF(Operational_RawData!$A:$A,"5_Operational"),"",INDEX(Operational_RawData!D:D,MATCH("5_Operational",Operational_RawData!$A:$A,0)+ROWS($2:90)-1))</f>
        <v>1313.7159999999999</v>
      </c>
      <c r="E90">
        <f>IF(ROWS($2:90)&gt;COUNTIF(Operational_RawData!$A:$A,"5_Operational"),"",INDEX(Operational_RawData!E:E,MATCH("5_Operational",Operational_RawData!$A:$A,0)+ROWS($2:90)-1))</f>
        <v>-1.51</v>
      </c>
      <c r="F90">
        <f>IF(ROWS($2:90)&gt;COUNTIF(Operational_RawData!$A:$A,"5_Operational"),"",INDEX(Operational_RawData!F:F,MATCH("5_Operational",Operational_RawData!$A:$A,0)+ROWS($2:90)-1))</f>
        <v>395.04</v>
      </c>
      <c r="G90">
        <f>IF(ROWS($2:90)&gt;COUNTIF(Operational_RawData!$A:$A,"5_Operational"),"",INDEX(Operational_RawData!G:G,MATCH("5_Operational",Operational_RawData!$A:$A,0)+ROWS($2:90)-1))</f>
        <v>395.04</v>
      </c>
      <c r="H90">
        <f>IF(ROWS($2:90)&gt;COUNTIF(Operational_RawData!$A:$A,"5_Operational"),"",INDEX(Operational_RawData!H:H,MATCH("5_Operational",Operational_RawData!$A:$A,0)+ROWS($2:90)-1))</f>
        <v>395.04</v>
      </c>
      <c r="I90">
        <f>IF(ROWS($2:90)&gt;COUNTIF(Operational_RawData!$A:$A,"5_Operational"),"",INDEX(Operational_RawData!I:I,MATCH("5_Operational",Operational_RawData!$A:$A,0)+ROWS($2:90)-1))</f>
        <v>395.04</v>
      </c>
      <c r="J90">
        <f>IF(ROWS($2:90)&gt;COUNTIF(Operational_RawData!$A:$A,"5_Operational"),"",INDEX(Operational_RawData!J:J,MATCH("5_Operational",Operational_RawData!$A:$A,0)+ROWS($2:90)-1))</f>
        <v>399</v>
      </c>
      <c r="K90">
        <f>IF(ROWS($2:90)&gt;COUNTIF(Operational_RawData!$A:$A,"5_Operational"),"",INDEX(Operational_RawData!K:K,MATCH("5_Operational",Operational_RawData!$A:$A,0)+ROWS($2:90)-1))</f>
        <v>399</v>
      </c>
      <c r="L90">
        <f>IF(ROWS($2:90)&gt;COUNTIF(Operational_RawData!$A:$A,"5_Operational"),"",INDEX(Operational_RawData!L:L,MATCH("5_Operational",Operational_RawData!$A:$A,0)+ROWS($2:90)-1))</f>
        <v>399</v>
      </c>
      <c r="M90">
        <f>IF(ROWS($2:90)&gt;COUNTIF(Operational_RawData!$A:$A,"5_Operational"),"",INDEX(Operational_RawData!M:M,MATCH("5_Operational",Operational_RawData!$A:$A,0)+ROWS($2:90)-1))</f>
        <v>399</v>
      </c>
      <c r="N90">
        <f>IF(ROWS($2:90)&gt;COUNTIF(Operational_RawData!$A:$A,"5_Operational"),"",INDEX(Operational_RawData!N:N,MATCH("5_Operational",Operational_RawData!$A:$A,0)+ROWS($2:90)-1))</f>
        <v>0.1</v>
      </c>
      <c r="O90">
        <f>IF(ROWS($2:90)&gt;COUNTIF(Operational_RawData!$A:$A,"5_Operational"),"",INDEX(Operational_RawData!O:O,MATCH("5_Operational",Operational_RawData!$A:$A,0)+ROWS($2:90)-1))</f>
        <v>0.15</v>
      </c>
      <c r="P90">
        <f>IF(ROWS($2:90)&gt;COUNTIF(Operational_RawData!$A:$A,"5_Operational"),"",INDEX(Operational_RawData!P:P,MATCH("5_Operational",Operational_RawData!$A:$A,0)+ROWS($2:90)-1))</f>
        <v>7.0000000000000007E-2</v>
      </c>
      <c r="Q90">
        <f>IF(ROWS($2:90)&gt;COUNTIF(Operational_RawData!$A:$A,"5_Operational"),"",INDEX(Operational_RawData!Q:Q,MATCH("5_Operational",Operational_RawData!$A:$A,0)+ROWS($2:90)-1))</f>
        <v>0.1</v>
      </c>
      <c r="R90" t="str">
        <f>IF(ROWS($2:90)&gt;COUNTIF(Operational_RawData!$A:$A,"5_Operational"),"",INDEX(Operational_RawData!R:R,MATCH("5_Operational",Operational_RawData!$A:$A,0)+ROWS($2:90)-1))</f>
        <v>Pass</v>
      </c>
      <c r="S90">
        <f>IF(ROWS($2:90)&gt;COUNTIF(Operational_RawData!$A:$A,"5_Operational"),"",INDEX(Operational_RawData!S:S,MATCH("5_Operational",Operational_RawData!$A:$A,0)+ROWS($2:90)-1))</f>
        <v>0</v>
      </c>
      <c r="T90">
        <f>IF(ROWS($2:90)&gt;COUNTIF(Operational_RawData!$A:$A,"5_Operational"),"",INDEX(Operational_RawData!T:T,MATCH("5_Operational",Operational_RawData!$A:$A,0)+ROWS($2:90)-1))</f>
        <v>0</v>
      </c>
    </row>
    <row r="91" spans="1:20">
      <c r="A91" t="str">
        <f>IF(ROWS($2:91)&gt;COUNTIF(Operational_RawData!$A:$A,"5_Operational"),"",INDEX(Operational_RawData!A:A,MATCH("5_Operational",Operational_RawData!$A:$A,0)+ROWS($2:91)-1))</f>
        <v>5_Operational</v>
      </c>
      <c r="B91">
        <f>IF(ROWS($2:91)&gt;COUNTIF(Operational_RawData!$A:$A,"5_Operational"),"",INDEX(Operational_RawData!B:B,MATCH("5_Operational",Operational_RawData!$A:$A,0)+ROWS($2:91)-1))</f>
        <v>145131.93</v>
      </c>
      <c r="C91">
        <f>IF(ROWS($2:91)&gt;COUNTIF(Operational_RawData!$A:$A,"5_Operational"),"",INDEX(Operational_RawData!C:C,MATCH("5_Operational",Operational_RawData!$A:$A,0)+ROWS($2:91)-1))</f>
        <v>66.5</v>
      </c>
      <c r="D91">
        <f>IF(ROWS($2:91)&gt;COUNTIF(Operational_RawData!$A:$A,"5_Operational"),"",INDEX(Operational_RawData!D:D,MATCH("5_Operational",Operational_RawData!$A:$A,0)+ROWS($2:91)-1))</f>
        <v>1313.7929999999999</v>
      </c>
      <c r="E91">
        <f>IF(ROWS($2:91)&gt;COUNTIF(Operational_RawData!$A:$A,"5_Operational"),"",INDEX(Operational_RawData!E:E,MATCH("5_Operational",Operational_RawData!$A:$A,0)+ROWS($2:91)-1))</f>
        <v>-1.8</v>
      </c>
      <c r="F91">
        <f>IF(ROWS($2:91)&gt;COUNTIF(Operational_RawData!$A:$A,"5_Operational"),"",INDEX(Operational_RawData!F:F,MATCH("5_Operational",Operational_RawData!$A:$A,0)+ROWS($2:91)-1))</f>
        <v>399</v>
      </c>
      <c r="G91">
        <f>IF(ROWS($2:91)&gt;COUNTIF(Operational_RawData!$A:$A,"5_Operational"),"",INDEX(Operational_RawData!G:G,MATCH("5_Operational",Operational_RawData!$A:$A,0)+ROWS($2:91)-1))</f>
        <v>399</v>
      </c>
      <c r="H91">
        <f>IF(ROWS($2:91)&gt;COUNTIF(Operational_RawData!$A:$A,"5_Operational"),"",INDEX(Operational_RawData!H:H,MATCH("5_Operational",Operational_RawData!$A:$A,0)+ROWS($2:91)-1))</f>
        <v>399</v>
      </c>
      <c r="I91">
        <f>IF(ROWS($2:91)&gt;COUNTIF(Operational_RawData!$A:$A,"5_Operational"),"",INDEX(Operational_RawData!I:I,MATCH("5_Operational",Operational_RawData!$A:$A,0)+ROWS($2:91)-1))</f>
        <v>399</v>
      </c>
      <c r="J91">
        <f>IF(ROWS($2:91)&gt;COUNTIF(Operational_RawData!$A:$A,"5_Operational"),"",INDEX(Operational_RawData!J:J,MATCH("5_Operational",Operational_RawData!$A:$A,0)+ROWS($2:91)-1))</f>
        <v>399</v>
      </c>
      <c r="K91">
        <f>IF(ROWS($2:91)&gt;COUNTIF(Operational_RawData!$A:$A,"5_Operational"),"",INDEX(Operational_RawData!K:K,MATCH("5_Operational",Operational_RawData!$A:$A,0)+ROWS($2:91)-1))</f>
        <v>399</v>
      </c>
      <c r="L91">
        <f>IF(ROWS($2:91)&gt;COUNTIF(Operational_RawData!$A:$A,"5_Operational"),"",INDEX(Operational_RawData!L:L,MATCH("5_Operational",Operational_RawData!$A:$A,0)+ROWS($2:91)-1))</f>
        <v>399</v>
      </c>
      <c r="M91">
        <f>IF(ROWS($2:91)&gt;COUNTIF(Operational_RawData!$A:$A,"5_Operational"),"",INDEX(Operational_RawData!M:M,MATCH("5_Operational",Operational_RawData!$A:$A,0)+ROWS($2:91)-1))</f>
        <v>399</v>
      </c>
      <c r="N91">
        <f>IF(ROWS($2:91)&gt;COUNTIF(Operational_RawData!$A:$A,"5_Operational"),"",INDEX(Operational_RawData!N:N,MATCH("5_Operational",Operational_RawData!$A:$A,0)+ROWS($2:91)-1))</f>
        <v>0.1</v>
      </c>
      <c r="O91">
        <f>IF(ROWS($2:91)&gt;COUNTIF(Operational_RawData!$A:$A,"5_Operational"),"",INDEX(Operational_RawData!O:O,MATCH("5_Operational",Operational_RawData!$A:$A,0)+ROWS($2:91)-1))</f>
        <v>0.15</v>
      </c>
      <c r="P91">
        <f>IF(ROWS($2:91)&gt;COUNTIF(Operational_RawData!$A:$A,"5_Operational"),"",INDEX(Operational_RawData!P:P,MATCH("5_Operational",Operational_RawData!$A:$A,0)+ROWS($2:91)-1))</f>
        <v>7.0000000000000007E-2</v>
      </c>
      <c r="Q91">
        <f>IF(ROWS($2:91)&gt;COUNTIF(Operational_RawData!$A:$A,"5_Operational"),"",INDEX(Operational_RawData!Q:Q,MATCH("5_Operational",Operational_RawData!$A:$A,0)+ROWS($2:91)-1))</f>
        <v>0.1</v>
      </c>
      <c r="R91" t="str">
        <f>IF(ROWS($2:91)&gt;COUNTIF(Operational_RawData!$A:$A,"5_Operational"),"",INDEX(Operational_RawData!R:R,MATCH("5_Operational",Operational_RawData!$A:$A,0)+ROWS($2:91)-1))</f>
        <v>Pass</v>
      </c>
      <c r="S91">
        <f>IF(ROWS($2:91)&gt;COUNTIF(Operational_RawData!$A:$A,"5_Operational"),"",INDEX(Operational_RawData!S:S,MATCH("5_Operational",Operational_RawData!$A:$A,0)+ROWS($2:91)-1))</f>
        <v>0</v>
      </c>
      <c r="T91">
        <f>IF(ROWS($2:91)&gt;COUNTIF(Operational_RawData!$A:$A,"5_Operational"),"",INDEX(Operational_RawData!T:T,MATCH("5_Operational",Operational_RawData!$A:$A,0)+ROWS($2:91)-1))</f>
        <v>0</v>
      </c>
    </row>
    <row r="92" spans="1:20">
      <c r="A92" t="str">
        <f>IF(ROWS($2:92)&gt;COUNTIF(Operational_RawData!$A:$A,"5_Operational"),"",INDEX(Operational_RawData!A:A,MATCH("5_Operational",Operational_RawData!$A:$A,0)+ROWS($2:92)-1))</f>
        <v>5_Operational</v>
      </c>
      <c r="B92">
        <f>IF(ROWS($2:92)&gt;COUNTIF(Operational_RawData!$A:$A,"5_Operational"),"",INDEX(Operational_RawData!B:B,MATCH("5_Operational",Operational_RawData!$A:$A,0)+ROWS($2:92)-1))</f>
        <v>145136.929</v>
      </c>
      <c r="C92">
        <f>IF(ROWS($2:92)&gt;COUNTIF(Operational_RawData!$A:$A,"5_Operational"),"",INDEX(Operational_RawData!C:C,MATCH("5_Operational",Operational_RawData!$A:$A,0)+ROWS($2:92)-1))</f>
        <v>67.23</v>
      </c>
      <c r="D92">
        <f>IF(ROWS($2:92)&gt;COUNTIF(Operational_RawData!$A:$A,"5_Operational"),"",INDEX(Operational_RawData!D:D,MATCH("5_Operational",Operational_RawData!$A:$A,0)+ROWS($2:92)-1))</f>
        <v>1313.87</v>
      </c>
      <c r="E92">
        <f>IF(ROWS($2:92)&gt;COUNTIF(Operational_RawData!$A:$A,"5_Operational"),"",INDEX(Operational_RawData!E:E,MATCH("5_Operational",Operational_RawData!$A:$A,0)+ROWS($2:92)-1))</f>
        <v>-1.87</v>
      </c>
      <c r="F92">
        <f>IF(ROWS($2:92)&gt;COUNTIF(Operational_RawData!$A:$A,"5_Operational"),"",INDEX(Operational_RawData!F:F,MATCH("5_Operational",Operational_RawData!$A:$A,0)+ROWS($2:92)-1))</f>
        <v>399</v>
      </c>
      <c r="G92">
        <f>IF(ROWS($2:92)&gt;COUNTIF(Operational_RawData!$A:$A,"5_Operational"),"",INDEX(Operational_RawData!G:G,MATCH("5_Operational",Operational_RawData!$A:$A,0)+ROWS($2:92)-1))</f>
        <v>399</v>
      </c>
      <c r="H92">
        <f>IF(ROWS($2:92)&gt;COUNTIF(Operational_RawData!$A:$A,"5_Operational"),"",INDEX(Operational_RawData!H:H,MATCH("5_Operational",Operational_RawData!$A:$A,0)+ROWS($2:92)-1))</f>
        <v>399</v>
      </c>
      <c r="I92">
        <f>IF(ROWS($2:92)&gt;COUNTIF(Operational_RawData!$A:$A,"5_Operational"),"",INDEX(Operational_RawData!I:I,MATCH("5_Operational",Operational_RawData!$A:$A,0)+ROWS($2:92)-1))</f>
        <v>399</v>
      </c>
      <c r="J92">
        <f>IF(ROWS($2:92)&gt;COUNTIF(Operational_RawData!$A:$A,"5_Operational"),"",INDEX(Operational_RawData!J:J,MATCH("5_Operational",Operational_RawData!$A:$A,0)+ROWS($2:92)-1))</f>
        <v>399</v>
      </c>
      <c r="K92">
        <f>IF(ROWS($2:92)&gt;COUNTIF(Operational_RawData!$A:$A,"5_Operational"),"",INDEX(Operational_RawData!K:K,MATCH("5_Operational",Operational_RawData!$A:$A,0)+ROWS($2:92)-1))</f>
        <v>399</v>
      </c>
      <c r="L92">
        <f>IF(ROWS($2:92)&gt;COUNTIF(Operational_RawData!$A:$A,"5_Operational"),"",INDEX(Operational_RawData!L:L,MATCH("5_Operational",Operational_RawData!$A:$A,0)+ROWS($2:92)-1))</f>
        <v>399</v>
      </c>
      <c r="M92">
        <f>IF(ROWS($2:92)&gt;COUNTIF(Operational_RawData!$A:$A,"5_Operational"),"",INDEX(Operational_RawData!M:M,MATCH("5_Operational",Operational_RawData!$A:$A,0)+ROWS($2:92)-1))</f>
        <v>399</v>
      </c>
      <c r="N92">
        <f>IF(ROWS($2:92)&gt;COUNTIF(Operational_RawData!$A:$A,"5_Operational"),"",INDEX(Operational_RawData!N:N,MATCH("5_Operational",Operational_RawData!$A:$A,0)+ROWS($2:92)-1))</f>
        <v>0.11</v>
      </c>
      <c r="O92">
        <f>IF(ROWS($2:92)&gt;COUNTIF(Operational_RawData!$A:$A,"5_Operational"),"",INDEX(Operational_RawData!O:O,MATCH("5_Operational",Operational_RawData!$A:$A,0)+ROWS($2:92)-1))</f>
        <v>0.15</v>
      </c>
      <c r="P92">
        <f>IF(ROWS($2:92)&gt;COUNTIF(Operational_RawData!$A:$A,"5_Operational"),"",INDEX(Operational_RawData!P:P,MATCH("5_Operational",Operational_RawData!$A:$A,0)+ROWS($2:92)-1))</f>
        <v>7.0000000000000007E-2</v>
      </c>
      <c r="Q92">
        <f>IF(ROWS($2:92)&gt;COUNTIF(Operational_RawData!$A:$A,"5_Operational"),"",INDEX(Operational_RawData!Q:Q,MATCH("5_Operational",Operational_RawData!$A:$A,0)+ROWS($2:92)-1))</f>
        <v>0.1</v>
      </c>
      <c r="R92" t="str">
        <f>IF(ROWS($2:92)&gt;COUNTIF(Operational_RawData!$A:$A,"5_Operational"),"",INDEX(Operational_RawData!R:R,MATCH("5_Operational",Operational_RawData!$A:$A,0)+ROWS($2:92)-1))</f>
        <v>Pass</v>
      </c>
      <c r="S92">
        <f>IF(ROWS($2:92)&gt;COUNTIF(Operational_RawData!$A:$A,"5_Operational"),"",INDEX(Operational_RawData!S:S,MATCH("5_Operational",Operational_RawData!$A:$A,0)+ROWS($2:92)-1))</f>
        <v>0</v>
      </c>
      <c r="T92">
        <f>IF(ROWS($2:92)&gt;COUNTIF(Operational_RawData!$A:$A,"5_Operational"),"",INDEX(Operational_RawData!T:T,MATCH("5_Operational",Operational_RawData!$A:$A,0)+ROWS($2:92)-1))</f>
        <v>0</v>
      </c>
    </row>
    <row r="93" spans="1:20">
      <c r="A93" t="str">
        <f>IF(ROWS($2:93)&gt;COUNTIF(Operational_RawData!$A:$A,"5_Operational"),"",INDEX(Operational_RawData!A:A,MATCH("5_Operational",Operational_RawData!$A:$A,0)+ROWS($2:93)-1))</f>
        <v>5_Operational</v>
      </c>
      <c r="B93">
        <f>IF(ROWS($2:93)&gt;COUNTIF(Operational_RawData!$A:$A,"5_Operational"),"",INDEX(Operational_RawData!B:B,MATCH("5_Operational",Operational_RawData!$A:$A,0)+ROWS($2:93)-1))</f>
        <v>145141.93400000001</v>
      </c>
      <c r="C93">
        <f>IF(ROWS($2:93)&gt;COUNTIF(Operational_RawData!$A:$A,"5_Operational"),"",INDEX(Operational_RawData!C:C,MATCH("5_Operational",Operational_RawData!$A:$A,0)+ROWS($2:93)-1))</f>
        <v>67.959999999999994</v>
      </c>
      <c r="D93">
        <f>IF(ROWS($2:93)&gt;COUNTIF(Operational_RawData!$A:$A,"5_Operational"),"",INDEX(Operational_RawData!D:D,MATCH("5_Operational",Operational_RawData!$A:$A,0)+ROWS($2:93)-1))</f>
        <v>1313.944</v>
      </c>
      <c r="E93">
        <f>IF(ROWS($2:93)&gt;COUNTIF(Operational_RawData!$A:$A,"5_Operational"),"",INDEX(Operational_RawData!E:E,MATCH("5_Operational",Operational_RawData!$A:$A,0)+ROWS($2:93)-1))</f>
        <v>-2.04</v>
      </c>
      <c r="F93">
        <f>IF(ROWS($2:93)&gt;COUNTIF(Operational_RawData!$A:$A,"5_Operational"),"",INDEX(Operational_RawData!F:F,MATCH("5_Operational",Operational_RawData!$A:$A,0)+ROWS($2:93)-1))</f>
        <v>399</v>
      </c>
      <c r="G93">
        <f>IF(ROWS($2:93)&gt;COUNTIF(Operational_RawData!$A:$A,"5_Operational"),"",INDEX(Operational_RawData!G:G,MATCH("5_Operational",Operational_RawData!$A:$A,0)+ROWS($2:93)-1))</f>
        <v>399</v>
      </c>
      <c r="H93">
        <f>IF(ROWS($2:93)&gt;COUNTIF(Operational_RawData!$A:$A,"5_Operational"),"",INDEX(Operational_RawData!H:H,MATCH("5_Operational",Operational_RawData!$A:$A,0)+ROWS($2:93)-1))</f>
        <v>399</v>
      </c>
      <c r="I93">
        <f>IF(ROWS($2:93)&gt;COUNTIF(Operational_RawData!$A:$A,"5_Operational"),"",INDEX(Operational_RawData!I:I,MATCH("5_Operational",Operational_RawData!$A:$A,0)+ROWS($2:93)-1))</f>
        <v>399</v>
      </c>
      <c r="J93">
        <f>IF(ROWS($2:93)&gt;COUNTIF(Operational_RawData!$A:$A,"5_Operational"),"",INDEX(Operational_RawData!J:J,MATCH("5_Operational",Operational_RawData!$A:$A,0)+ROWS($2:93)-1))</f>
        <v>399</v>
      </c>
      <c r="K93">
        <f>IF(ROWS($2:93)&gt;COUNTIF(Operational_RawData!$A:$A,"5_Operational"),"",INDEX(Operational_RawData!K:K,MATCH("5_Operational",Operational_RawData!$A:$A,0)+ROWS($2:93)-1))</f>
        <v>399</v>
      </c>
      <c r="L93">
        <f>IF(ROWS($2:93)&gt;COUNTIF(Operational_RawData!$A:$A,"5_Operational"),"",INDEX(Operational_RawData!L:L,MATCH("5_Operational",Operational_RawData!$A:$A,0)+ROWS($2:93)-1))</f>
        <v>399</v>
      </c>
      <c r="M93">
        <f>IF(ROWS($2:93)&gt;COUNTIF(Operational_RawData!$A:$A,"5_Operational"),"",INDEX(Operational_RawData!M:M,MATCH("5_Operational",Operational_RawData!$A:$A,0)+ROWS($2:93)-1))</f>
        <v>399</v>
      </c>
      <c r="N93">
        <f>IF(ROWS($2:93)&gt;COUNTIF(Operational_RawData!$A:$A,"5_Operational"),"",INDEX(Operational_RawData!N:N,MATCH("5_Operational",Operational_RawData!$A:$A,0)+ROWS($2:93)-1))</f>
        <v>0.1</v>
      </c>
      <c r="O93">
        <f>IF(ROWS($2:93)&gt;COUNTIF(Operational_RawData!$A:$A,"5_Operational"),"",INDEX(Operational_RawData!O:O,MATCH("5_Operational",Operational_RawData!$A:$A,0)+ROWS($2:93)-1))</f>
        <v>0.15</v>
      </c>
      <c r="P93">
        <f>IF(ROWS($2:93)&gt;COUNTIF(Operational_RawData!$A:$A,"5_Operational"),"",INDEX(Operational_RawData!P:P,MATCH("5_Operational",Operational_RawData!$A:$A,0)+ROWS($2:93)-1))</f>
        <v>7.0000000000000007E-2</v>
      </c>
      <c r="Q93">
        <f>IF(ROWS($2:93)&gt;COUNTIF(Operational_RawData!$A:$A,"5_Operational"),"",INDEX(Operational_RawData!Q:Q,MATCH("5_Operational",Operational_RawData!$A:$A,0)+ROWS($2:93)-1))</f>
        <v>0.1</v>
      </c>
      <c r="R93" t="str">
        <f>IF(ROWS($2:93)&gt;COUNTIF(Operational_RawData!$A:$A,"5_Operational"),"",INDEX(Operational_RawData!R:R,MATCH("5_Operational",Operational_RawData!$A:$A,0)+ROWS($2:93)-1))</f>
        <v>Fail</v>
      </c>
      <c r="S93" t="str">
        <f>IF(ROWS($2:93)&gt;COUNTIF(Operational_RawData!$A:$A,"5_Operational"),"",INDEX(Operational_RawData!S:S,MATCH("5_Operational",Operational_RawData!$A:$A,0)+ROWS($2:93)-1))</f>
        <v>800G331</v>
      </c>
      <c r="T93" t="str">
        <f>IF(ROWS($2:93)&gt;COUNTIF(Operational_RawData!$A:$A,"5_Operational"),"",INDEX(Operational_RawData!T:T,MATCH("5_Operational",Operational_RawData!$A:$A,0)+ROWS($2:93)-1))</f>
        <v>TxP Fail (TxP: -2.04)</v>
      </c>
    </row>
    <row r="94" spans="1:20">
      <c r="A94" t="str">
        <f>IF(ROWS($2:94)&gt;COUNTIF(Operational_RawData!$A:$A,"5_Operational"),"",INDEX(Operational_RawData!A:A,MATCH("5_Operational",Operational_RawData!$A:$A,0)+ROWS($2:94)-1))</f>
        <v>5_Operational</v>
      </c>
      <c r="B94">
        <f>IF(ROWS($2:94)&gt;COUNTIF(Operational_RawData!$A:$A,"5_Operational"),"",INDEX(Operational_RawData!B:B,MATCH("5_Operational",Operational_RawData!$A:$A,0)+ROWS($2:94)-1))</f>
        <v>145146.93299999999</v>
      </c>
      <c r="C94">
        <f>IF(ROWS($2:94)&gt;COUNTIF(Operational_RawData!$A:$A,"5_Operational"),"",INDEX(Operational_RawData!C:C,MATCH("5_Operational",Operational_RawData!$A:$A,0)+ROWS($2:94)-1))</f>
        <v>68.66</v>
      </c>
      <c r="D94">
        <f>IF(ROWS($2:94)&gt;COUNTIF(Operational_RawData!$A:$A,"5_Operational"),"",INDEX(Operational_RawData!D:D,MATCH("5_Operational",Operational_RawData!$A:$A,0)+ROWS($2:94)-1))</f>
        <v>1314.0250000000001</v>
      </c>
      <c r="E94">
        <f>IF(ROWS($2:94)&gt;COUNTIF(Operational_RawData!$A:$A,"5_Operational"),"",INDEX(Operational_RawData!E:E,MATCH("5_Operational",Operational_RawData!$A:$A,0)+ROWS($2:94)-1))</f>
        <v>-2.16</v>
      </c>
      <c r="F94">
        <f>IF(ROWS($2:94)&gt;COUNTIF(Operational_RawData!$A:$A,"5_Operational"),"",INDEX(Operational_RawData!F:F,MATCH("5_Operational",Operational_RawData!$A:$A,0)+ROWS($2:94)-1))</f>
        <v>399</v>
      </c>
      <c r="G94">
        <f>IF(ROWS($2:94)&gt;COUNTIF(Operational_RawData!$A:$A,"5_Operational"),"",INDEX(Operational_RawData!G:G,MATCH("5_Operational",Operational_RawData!$A:$A,0)+ROWS($2:94)-1))</f>
        <v>399</v>
      </c>
      <c r="H94">
        <f>IF(ROWS($2:94)&gt;COUNTIF(Operational_RawData!$A:$A,"5_Operational"),"",INDEX(Operational_RawData!H:H,MATCH("5_Operational",Operational_RawData!$A:$A,0)+ROWS($2:94)-1))</f>
        <v>399</v>
      </c>
      <c r="I94">
        <f>IF(ROWS($2:94)&gt;COUNTIF(Operational_RawData!$A:$A,"5_Operational"),"",INDEX(Operational_RawData!I:I,MATCH("5_Operational",Operational_RawData!$A:$A,0)+ROWS($2:94)-1))</f>
        <v>399</v>
      </c>
      <c r="J94">
        <f>IF(ROWS($2:94)&gt;COUNTIF(Operational_RawData!$A:$A,"5_Operational"),"",INDEX(Operational_RawData!J:J,MATCH("5_Operational",Operational_RawData!$A:$A,0)+ROWS($2:94)-1))</f>
        <v>399</v>
      </c>
      <c r="K94">
        <f>IF(ROWS($2:94)&gt;COUNTIF(Operational_RawData!$A:$A,"5_Operational"),"",INDEX(Operational_RawData!K:K,MATCH("5_Operational",Operational_RawData!$A:$A,0)+ROWS($2:94)-1))</f>
        <v>399</v>
      </c>
      <c r="L94">
        <f>IF(ROWS($2:94)&gt;COUNTIF(Operational_RawData!$A:$A,"5_Operational"),"",INDEX(Operational_RawData!L:L,MATCH("5_Operational",Operational_RawData!$A:$A,0)+ROWS($2:94)-1))</f>
        <v>399</v>
      </c>
      <c r="M94">
        <f>IF(ROWS($2:94)&gt;COUNTIF(Operational_RawData!$A:$A,"5_Operational"),"",INDEX(Operational_RawData!M:M,MATCH("5_Operational",Operational_RawData!$A:$A,0)+ROWS($2:94)-1))</f>
        <v>399</v>
      </c>
      <c r="N94">
        <f>IF(ROWS($2:94)&gt;COUNTIF(Operational_RawData!$A:$A,"5_Operational"),"",INDEX(Operational_RawData!N:N,MATCH("5_Operational",Operational_RawData!$A:$A,0)+ROWS($2:94)-1))</f>
        <v>0.12</v>
      </c>
      <c r="O94">
        <f>IF(ROWS($2:94)&gt;COUNTIF(Operational_RawData!$A:$A,"5_Operational"),"",INDEX(Operational_RawData!O:O,MATCH("5_Operational",Operational_RawData!$A:$A,0)+ROWS($2:94)-1))</f>
        <v>0.15</v>
      </c>
      <c r="P94">
        <f>IF(ROWS($2:94)&gt;COUNTIF(Operational_RawData!$A:$A,"5_Operational"),"",INDEX(Operational_RawData!P:P,MATCH("5_Operational",Operational_RawData!$A:$A,0)+ROWS($2:94)-1))</f>
        <v>7.0000000000000007E-2</v>
      </c>
      <c r="Q94">
        <f>IF(ROWS($2:94)&gt;COUNTIF(Operational_RawData!$A:$A,"5_Operational"),"",INDEX(Operational_RawData!Q:Q,MATCH("5_Operational",Operational_RawData!$A:$A,0)+ROWS($2:94)-1))</f>
        <v>0.1</v>
      </c>
      <c r="R94" t="str">
        <f>IF(ROWS($2:94)&gt;COUNTIF(Operational_RawData!$A:$A,"5_Operational"),"",INDEX(Operational_RawData!R:R,MATCH("5_Operational",Operational_RawData!$A:$A,0)+ROWS($2:94)-1))</f>
        <v>Fail</v>
      </c>
      <c r="S94" t="str">
        <f>IF(ROWS($2:94)&gt;COUNTIF(Operational_RawData!$A:$A,"5_Operational"),"",INDEX(Operational_RawData!S:S,MATCH("5_Operational",Operational_RawData!$A:$A,0)+ROWS($2:94)-1))</f>
        <v>800G331</v>
      </c>
      <c r="T94" t="str">
        <f>IF(ROWS($2:94)&gt;COUNTIF(Operational_RawData!$A:$A,"5_Operational"),"",INDEX(Operational_RawData!T:T,MATCH("5_Operational",Operational_RawData!$A:$A,0)+ROWS($2:94)-1))</f>
        <v>TxP Fail (TxP: -2.16)</v>
      </c>
    </row>
    <row r="95" spans="1:20">
      <c r="A95" t="str">
        <f>IF(ROWS($2:95)&gt;COUNTIF(Operational_RawData!$A:$A,"5_Operational"),"",INDEX(Operational_RawData!A:A,MATCH("5_Operational",Operational_RawData!$A:$A,0)+ROWS($2:95)-1))</f>
        <v>5_Operational</v>
      </c>
      <c r="B95">
        <f>IF(ROWS($2:95)&gt;COUNTIF(Operational_RawData!$A:$A,"5_Operational"),"",INDEX(Operational_RawData!B:B,MATCH("5_Operational",Operational_RawData!$A:$A,0)+ROWS($2:95)-1))</f>
        <v>145151.932</v>
      </c>
      <c r="C95">
        <f>IF(ROWS($2:95)&gt;COUNTIF(Operational_RawData!$A:$A,"5_Operational"),"",INDEX(Operational_RawData!C:C,MATCH("5_Operational",Operational_RawData!$A:$A,0)+ROWS($2:95)-1))</f>
        <v>69.34</v>
      </c>
      <c r="D95">
        <f>IF(ROWS($2:95)&gt;COUNTIF(Operational_RawData!$A:$A,"5_Operational"),"",INDEX(Operational_RawData!D:D,MATCH("5_Operational",Operational_RawData!$A:$A,0)+ROWS($2:95)-1))</f>
        <v>1314.0989999999999</v>
      </c>
      <c r="E95">
        <f>IF(ROWS($2:95)&gt;COUNTIF(Operational_RawData!$A:$A,"5_Operational"),"",INDEX(Operational_RawData!E:E,MATCH("5_Operational",Operational_RawData!$A:$A,0)+ROWS($2:95)-1))</f>
        <v>-2.21</v>
      </c>
      <c r="F95">
        <f>IF(ROWS($2:95)&gt;COUNTIF(Operational_RawData!$A:$A,"5_Operational"),"",INDEX(Operational_RawData!F:F,MATCH("5_Operational",Operational_RawData!$A:$A,0)+ROWS($2:95)-1))</f>
        <v>399</v>
      </c>
      <c r="G95">
        <f>IF(ROWS($2:95)&gt;COUNTIF(Operational_RawData!$A:$A,"5_Operational"),"",INDEX(Operational_RawData!G:G,MATCH("5_Operational",Operational_RawData!$A:$A,0)+ROWS($2:95)-1))</f>
        <v>399</v>
      </c>
      <c r="H95">
        <f>IF(ROWS($2:95)&gt;COUNTIF(Operational_RawData!$A:$A,"5_Operational"),"",INDEX(Operational_RawData!H:H,MATCH("5_Operational",Operational_RawData!$A:$A,0)+ROWS($2:95)-1))</f>
        <v>399</v>
      </c>
      <c r="I95">
        <f>IF(ROWS($2:95)&gt;COUNTIF(Operational_RawData!$A:$A,"5_Operational"),"",INDEX(Operational_RawData!I:I,MATCH("5_Operational",Operational_RawData!$A:$A,0)+ROWS($2:95)-1))</f>
        <v>399</v>
      </c>
      <c r="J95">
        <f>IF(ROWS($2:95)&gt;COUNTIF(Operational_RawData!$A:$A,"5_Operational"),"",INDEX(Operational_RawData!J:J,MATCH("5_Operational",Operational_RawData!$A:$A,0)+ROWS($2:95)-1))</f>
        <v>399</v>
      </c>
      <c r="K95">
        <f>IF(ROWS($2:95)&gt;COUNTIF(Operational_RawData!$A:$A,"5_Operational"),"",INDEX(Operational_RawData!K:K,MATCH("5_Operational",Operational_RawData!$A:$A,0)+ROWS($2:95)-1))</f>
        <v>399</v>
      </c>
      <c r="L95">
        <f>IF(ROWS($2:95)&gt;COUNTIF(Operational_RawData!$A:$A,"5_Operational"),"",INDEX(Operational_RawData!L:L,MATCH("5_Operational",Operational_RawData!$A:$A,0)+ROWS($2:95)-1))</f>
        <v>399</v>
      </c>
      <c r="M95">
        <f>IF(ROWS($2:95)&gt;COUNTIF(Operational_RawData!$A:$A,"5_Operational"),"",INDEX(Operational_RawData!M:M,MATCH("5_Operational",Operational_RawData!$A:$A,0)+ROWS($2:95)-1))</f>
        <v>399</v>
      </c>
      <c r="N95">
        <f>IF(ROWS($2:95)&gt;COUNTIF(Operational_RawData!$A:$A,"5_Operational"),"",INDEX(Operational_RawData!N:N,MATCH("5_Operational",Operational_RawData!$A:$A,0)+ROWS($2:95)-1))</f>
        <v>0.11</v>
      </c>
      <c r="O95">
        <f>IF(ROWS($2:95)&gt;COUNTIF(Operational_RawData!$A:$A,"5_Operational"),"",INDEX(Operational_RawData!O:O,MATCH("5_Operational",Operational_RawData!$A:$A,0)+ROWS($2:95)-1))</f>
        <v>0.15</v>
      </c>
      <c r="P95">
        <f>IF(ROWS($2:95)&gt;COUNTIF(Operational_RawData!$A:$A,"5_Operational"),"",INDEX(Operational_RawData!P:P,MATCH("5_Operational",Operational_RawData!$A:$A,0)+ROWS($2:95)-1))</f>
        <v>7.0000000000000007E-2</v>
      </c>
      <c r="Q95">
        <f>IF(ROWS($2:95)&gt;COUNTIF(Operational_RawData!$A:$A,"5_Operational"),"",INDEX(Operational_RawData!Q:Q,MATCH("5_Operational",Operational_RawData!$A:$A,0)+ROWS($2:95)-1))</f>
        <v>0.1</v>
      </c>
      <c r="R95" t="str">
        <f>IF(ROWS($2:95)&gt;COUNTIF(Operational_RawData!$A:$A,"5_Operational"),"",INDEX(Operational_RawData!R:R,MATCH("5_Operational",Operational_RawData!$A:$A,0)+ROWS($2:95)-1))</f>
        <v>Fail</v>
      </c>
      <c r="S95" t="str">
        <f>IF(ROWS($2:95)&gt;COUNTIF(Operational_RawData!$A:$A,"5_Operational"),"",INDEX(Operational_RawData!S:S,MATCH("5_Operational",Operational_RawData!$A:$A,0)+ROWS($2:95)-1))</f>
        <v>800G331</v>
      </c>
      <c r="T95" t="str">
        <f>IF(ROWS($2:95)&gt;COUNTIF(Operational_RawData!$A:$A,"5_Operational"),"",INDEX(Operational_RawData!T:T,MATCH("5_Operational",Operational_RawData!$A:$A,0)+ROWS($2:95)-1))</f>
        <v>TxP Fail (TxP: -2.21)</v>
      </c>
    </row>
    <row r="96" spans="1:20">
      <c r="A96" t="str">
        <f>IF(ROWS($2:96)&gt;COUNTIF(Operational_RawData!$A:$A,"5_Operational"),"",INDEX(Operational_RawData!A:A,MATCH("5_Operational",Operational_RawData!$A:$A,0)+ROWS($2:96)-1))</f>
        <v>5_Operational</v>
      </c>
      <c r="B96">
        <f>IF(ROWS($2:96)&gt;COUNTIF(Operational_RawData!$A:$A,"5_Operational"),"",INDEX(Operational_RawData!B:B,MATCH("5_Operational",Operational_RawData!$A:$A,0)+ROWS($2:96)-1))</f>
        <v>145156.943</v>
      </c>
      <c r="C96">
        <f>IF(ROWS($2:96)&gt;COUNTIF(Operational_RawData!$A:$A,"5_Operational"),"",INDEX(Operational_RawData!C:C,MATCH("5_Operational",Operational_RawData!$A:$A,0)+ROWS($2:96)-1))</f>
        <v>69.97</v>
      </c>
      <c r="D96">
        <f>IF(ROWS($2:96)&gt;COUNTIF(Operational_RawData!$A:$A,"5_Operational"),"",INDEX(Operational_RawData!D:D,MATCH("5_Operational",Operational_RawData!$A:$A,0)+ROWS($2:96)-1))</f>
        <v>1314.163</v>
      </c>
      <c r="E96">
        <f>IF(ROWS($2:96)&gt;COUNTIF(Operational_RawData!$A:$A,"5_Operational"),"",INDEX(Operational_RawData!E:E,MATCH("5_Operational",Operational_RawData!$A:$A,0)+ROWS($2:96)-1))</f>
        <v>-2.34</v>
      </c>
      <c r="F96">
        <f>IF(ROWS($2:96)&gt;COUNTIF(Operational_RawData!$A:$A,"5_Operational"),"",INDEX(Operational_RawData!F:F,MATCH("5_Operational",Operational_RawData!$A:$A,0)+ROWS($2:96)-1))</f>
        <v>399</v>
      </c>
      <c r="G96">
        <f>IF(ROWS($2:96)&gt;COUNTIF(Operational_RawData!$A:$A,"5_Operational"),"",INDEX(Operational_RawData!G:G,MATCH("5_Operational",Operational_RawData!$A:$A,0)+ROWS($2:96)-1))</f>
        <v>399</v>
      </c>
      <c r="H96">
        <f>IF(ROWS($2:96)&gt;COUNTIF(Operational_RawData!$A:$A,"5_Operational"),"",INDEX(Operational_RawData!H:H,MATCH("5_Operational",Operational_RawData!$A:$A,0)+ROWS($2:96)-1))</f>
        <v>399</v>
      </c>
      <c r="I96">
        <f>IF(ROWS($2:96)&gt;COUNTIF(Operational_RawData!$A:$A,"5_Operational"),"",INDEX(Operational_RawData!I:I,MATCH("5_Operational",Operational_RawData!$A:$A,0)+ROWS($2:96)-1))</f>
        <v>399</v>
      </c>
      <c r="J96">
        <f>IF(ROWS($2:96)&gt;COUNTIF(Operational_RawData!$A:$A,"5_Operational"),"",INDEX(Operational_RawData!J:J,MATCH("5_Operational",Operational_RawData!$A:$A,0)+ROWS($2:96)-1))</f>
        <v>399</v>
      </c>
      <c r="K96">
        <f>IF(ROWS($2:96)&gt;COUNTIF(Operational_RawData!$A:$A,"5_Operational"),"",INDEX(Operational_RawData!K:K,MATCH("5_Operational",Operational_RawData!$A:$A,0)+ROWS($2:96)-1))</f>
        <v>399</v>
      </c>
      <c r="L96">
        <f>IF(ROWS($2:96)&gt;COUNTIF(Operational_RawData!$A:$A,"5_Operational"),"",INDEX(Operational_RawData!L:L,MATCH("5_Operational",Operational_RawData!$A:$A,0)+ROWS($2:96)-1))</f>
        <v>399</v>
      </c>
      <c r="M96">
        <f>IF(ROWS($2:96)&gt;COUNTIF(Operational_RawData!$A:$A,"5_Operational"),"",INDEX(Operational_RawData!M:M,MATCH("5_Operational",Operational_RawData!$A:$A,0)+ROWS($2:96)-1))</f>
        <v>399</v>
      </c>
      <c r="N96">
        <f>IF(ROWS($2:96)&gt;COUNTIF(Operational_RawData!$A:$A,"5_Operational"),"",INDEX(Operational_RawData!N:N,MATCH("5_Operational",Operational_RawData!$A:$A,0)+ROWS($2:96)-1))</f>
        <v>0.1</v>
      </c>
      <c r="O96">
        <f>IF(ROWS($2:96)&gt;COUNTIF(Operational_RawData!$A:$A,"5_Operational"),"",INDEX(Operational_RawData!O:O,MATCH("5_Operational",Operational_RawData!$A:$A,0)+ROWS($2:96)-1))</f>
        <v>0.15</v>
      </c>
      <c r="P96">
        <f>IF(ROWS($2:96)&gt;COUNTIF(Operational_RawData!$A:$A,"5_Operational"),"",INDEX(Operational_RawData!P:P,MATCH("5_Operational",Operational_RawData!$A:$A,0)+ROWS($2:96)-1))</f>
        <v>7.0000000000000007E-2</v>
      </c>
      <c r="Q96">
        <f>IF(ROWS($2:96)&gt;COUNTIF(Operational_RawData!$A:$A,"5_Operational"),"",INDEX(Operational_RawData!Q:Q,MATCH("5_Operational",Operational_RawData!$A:$A,0)+ROWS($2:96)-1))</f>
        <v>0.1</v>
      </c>
      <c r="R96" t="str">
        <f>IF(ROWS($2:96)&gt;COUNTIF(Operational_RawData!$A:$A,"5_Operational"),"",INDEX(Operational_RawData!R:R,MATCH("5_Operational",Operational_RawData!$A:$A,0)+ROWS($2:96)-1))</f>
        <v>Fail</v>
      </c>
      <c r="S96" t="str">
        <f>IF(ROWS($2:96)&gt;COUNTIF(Operational_RawData!$A:$A,"5_Operational"),"",INDEX(Operational_RawData!S:S,MATCH("5_Operational",Operational_RawData!$A:$A,0)+ROWS($2:96)-1))</f>
        <v>800G331</v>
      </c>
      <c r="T96" t="str">
        <f>IF(ROWS($2:96)&gt;COUNTIF(Operational_RawData!$A:$A,"5_Operational"),"",INDEX(Operational_RawData!T:T,MATCH("5_Operational",Operational_RawData!$A:$A,0)+ROWS($2:96)-1))</f>
        <v>TxP Fail (TxP: -2.34)</v>
      </c>
    </row>
  </sheetData>
  <autoFilter ref="A1:T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91"/>
  <sheetViews>
    <sheetView workbookViewId="0">
      <pane ySplit="1" topLeftCell="A2" activePane="bottomLeft" state="frozen"/>
      <selection pane="bottomLeft" activeCell="L52" sqref="L52"/>
    </sheetView>
  </sheetViews>
  <sheetFormatPr defaultRowHeight="15.6"/>
  <sheetData>
    <row r="1" spans="1:20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</row>
    <row r="2" spans="1:20">
      <c r="A2" t="s">
        <v>40</v>
      </c>
      <c r="B2">
        <v>144406.81899999999</v>
      </c>
      <c r="C2">
        <v>0.2</v>
      </c>
      <c r="D2">
        <v>1307.3050000000001</v>
      </c>
      <c r="E2">
        <v>3.46</v>
      </c>
      <c r="F2">
        <v>271.12</v>
      </c>
      <c r="G2">
        <v>271.12</v>
      </c>
      <c r="H2">
        <v>271.12</v>
      </c>
      <c r="I2">
        <v>271.12</v>
      </c>
      <c r="J2">
        <v>352.24</v>
      </c>
      <c r="K2">
        <v>352.24</v>
      </c>
      <c r="L2">
        <v>352.24</v>
      </c>
      <c r="M2">
        <v>352.24</v>
      </c>
      <c r="N2">
        <v>0.06</v>
      </c>
      <c r="O2">
        <v>0.19</v>
      </c>
      <c r="P2">
        <v>0.06</v>
      </c>
      <c r="Q2">
        <v>0.1</v>
      </c>
      <c r="R2" t="s">
        <v>41</v>
      </c>
      <c r="S2">
        <v>0</v>
      </c>
      <c r="T2">
        <v>0</v>
      </c>
    </row>
    <row r="3" spans="1:20">
      <c r="A3" t="s">
        <v>40</v>
      </c>
      <c r="B3">
        <v>144411.823</v>
      </c>
      <c r="C3">
        <v>0.96</v>
      </c>
      <c r="D3">
        <v>1307.3520000000001</v>
      </c>
      <c r="E3">
        <v>3.51</v>
      </c>
      <c r="F3">
        <v>269.60000000000002</v>
      </c>
      <c r="G3">
        <v>269.60000000000002</v>
      </c>
      <c r="H3">
        <v>269.60000000000002</v>
      </c>
      <c r="I3">
        <v>269.60000000000002</v>
      </c>
      <c r="J3">
        <v>351.84</v>
      </c>
      <c r="K3">
        <v>351.84</v>
      </c>
      <c r="L3">
        <v>351.84</v>
      </c>
      <c r="M3">
        <v>351.84</v>
      </c>
      <c r="N3">
        <v>0.06</v>
      </c>
      <c r="O3">
        <v>0.19</v>
      </c>
      <c r="P3">
        <v>0.06</v>
      </c>
      <c r="Q3">
        <v>0.1</v>
      </c>
      <c r="R3" t="s">
        <v>41</v>
      </c>
      <c r="S3">
        <v>0</v>
      </c>
      <c r="T3">
        <v>0</v>
      </c>
    </row>
    <row r="4" spans="1:20">
      <c r="A4" t="s">
        <v>40</v>
      </c>
      <c r="B4">
        <v>144416.82</v>
      </c>
      <c r="C4">
        <v>1.7</v>
      </c>
      <c r="D4">
        <v>1307.402</v>
      </c>
      <c r="E4">
        <v>3.55</v>
      </c>
      <c r="F4">
        <v>267.83999999999997</v>
      </c>
      <c r="G4">
        <v>267.83999999999997</v>
      </c>
      <c r="H4">
        <v>267.83999999999997</v>
      </c>
      <c r="I4">
        <v>267.83999999999997</v>
      </c>
      <c r="J4">
        <v>351.28</v>
      </c>
      <c r="K4">
        <v>351.28</v>
      </c>
      <c r="L4">
        <v>351.28</v>
      </c>
      <c r="M4">
        <v>351.28</v>
      </c>
      <c r="N4">
        <v>7.0000000000000007E-2</v>
      </c>
      <c r="O4">
        <v>0.19</v>
      </c>
      <c r="P4">
        <v>0.06</v>
      </c>
      <c r="Q4">
        <v>0.1</v>
      </c>
      <c r="R4" t="s">
        <v>41</v>
      </c>
      <c r="S4">
        <v>0</v>
      </c>
      <c r="T4">
        <v>0</v>
      </c>
    </row>
    <row r="5" spans="1:20">
      <c r="A5" t="s">
        <v>40</v>
      </c>
      <c r="B5">
        <v>144421.82999999999</v>
      </c>
      <c r="C5">
        <v>2.4300000000000002</v>
      </c>
      <c r="D5">
        <v>1307.4459999999999</v>
      </c>
      <c r="E5">
        <v>3.52</v>
      </c>
      <c r="F5">
        <v>265.8</v>
      </c>
      <c r="G5">
        <v>265.8</v>
      </c>
      <c r="H5">
        <v>265.8</v>
      </c>
      <c r="I5">
        <v>265.8</v>
      </c>
      <c r="J5">
        <v>350.48</v>
      </c>
      <c r="K5">
        <v>350.48</v>
      </c>
      <c r="L5">
        <v>350.48</v>
      </c>
      <c r="M5">
        <v>350.48</v>
      </c>
      <c r="N5">
        <v>0.06</v>
      </c>
      <c r="O5">
        <v>0.19</v>
      </c>
      <c r="P5">
        <v>0.06</v>
      </c>
      <c r="Q5">
        <v>0.1</v>
      </c>
      <c r="R5" t="s">
        <v>41</v>
      </c>
      <c r="S5">
        <v>0</v>
      </c>
      <c r="T5">
        <v>0</v>
      </c>
    </row>
    <row r="6" spans="1:20">
      <c r="A6" t="s">
        <v>40</v>
      </c>
      <c r="B6">
        <v>144426.82999999999</v>
      </c>
      <c r="C6">
        <v>3.16</v>
      </c>
      <c r="D6">
        <v>1307.502</v>
      </c>
      <c r="E6">
        <v>3.51</v>
      </c>
      <c r="F6">
        <v>264</v>
      </c>
      <c r="G6">
        <v>264</v>
      </c>
      <c r="H6">
        <v>264</v>
      </c>
      <c r="I6">
        <v>264</v>
      </c>
      <c r="J6">
        <v>349.64</v>
      </c>
      <c r="K6">
        <v>349.64</v>
      </c>
      <c r="L6">
        <v>349.64</v>
      </c>
      <c r="M6">
        <v>349.64</v>
      </c>
      <c r="N6">
        <v>0.08</v>
      </c>
      <c r="O6">
        <v>0.19</v>
      </c>
      <c r="P6">
        <v>0.06</v>
      </c>
      <c r="Q6">
        <v>0.1</v>
      </c>
      <c r="R6" t="s">
        <v>41</v>
      </c>
      <c r="S6">
        <v>0</v>
      </c>
      <c r="T6">
        <v>0</v>
      </c>
    </row>
    <row r="7" spans="1:20">
      <c r="A7" t="s">
        <v>40</v>
      </c>
      <c r="B7">
        <v>144431.83100000001</v>
      </c>
      <c r="C7">
        <v>3.91</v>
      </c>
      <c r="D7">
        <v>1307.5540000000001</v>
      </c>
      <c r="E7">
        <v>3.56</v>
      </c>
      <c r="F7">
        <v>261.8</v>
      </c>
      <c r="G7">
        <v>261.8</v>
      </c>
      <c r="H7">
        <v>261.8</v>
      </c>
      <c r="I7">
        <v>261.8</v>
      </c>
      <c r="J7">
        <v>348.64</v>
      </c>
      <c r="K7">
        <v>348.64</v>
      </c>
      <c r="L7">
        <v>348.64</v>
      </c>
      <c r="M7">
        <v>348.64</v>
      </c>
      <c r="N7">
        <v>7.0000000000000007E-2</v>
      </c>
      <c r="O7">
        <v>0.19</v>
      </c>
      <c r="P7">
        <v>0.06</v>
      </c>
      <c r="Q7">
        <v>0.1</v>
      </c>
      <c r="R7" t="s">
        <v>41</v>
      </c>
      <c r="S7">
        <v>0</v>
      </c>
      <c r="T7">
        <v>0</v>
      </c>
    </row>
    <row r="8" spans="1:20">
      <c r="A8" t="s">
        <v>40</v>
      </c>
      <c r="B8">
        <v>144436.84</v>
      </c>
      <c r="C8">
        <v>4.6399999999999997</v>
      </c>
      <c r="D8">
        <v>1307.607</v>
      </c>
      <c r="E8">
        <v>3.57</v>
      </c>
      <c r="F8">
        <v>259.72000000000003</v>
      </c>
      <c r="G8">
        <v>259.72000000000003</v>
      </c>
      <c r="H8">
        <v>259.72000000000003</v>
      </c>
      <c r="I8">
        <v>259.72000000000003</v>
      </c>
      <c r="J8">
        <v>347.64</v>
      </c>
      <c r="K8">
        <v>347.64</v>
      </c>
      <c r="L8">
        <v>347.64</v>
      </c>
      <c r="M8">
        <v>347.64</v>
      </c>
      <c r="N8">
        <v>7.0000000000000007E-2</v>
      </c>
      <c r="O8">
        <v>0.19</v>
      </c>
      <c r="P8">
        <v>0.06</v>
      </c>
      <c r="Q8">
        <v>0.1</v>
      </c>
      <c r="R8" t="s">
        <v>41</v>
      </c>
      <c r="S8">
        <v>0</v>
      </c>
      <c r="T8">
        <v>0</v>
      </c>
    </row>
    <row r="9" spans="1:20">
      <c r="A9" t="s">
        <v>40</v>
      </c>
      <c r="B9">
        <v>144441.82999999999</v>
      </c>
      <c r="C9">
        <v>5.39</v>
      </c>
      <c r="D9">
        <v>1307.6600000000001</v>
      </c>
      <c r="E9">
        <v>3.57</v>
      </c>
      <c r="F9">
        <v>257.64</v>
      </c>
      <c r="G9">
        <v>257.64</v>
      </c>
      <c r="H9">
        <v>257.64</v>
      </c>
      <c r="I9">
        <v>257.64</v>
      </c>
      <c r="J9">
        <v>346.6</v>
      </c>
      <c r="K9">
        <v>346.6</v>
      </c>
      <c r="L9">
        <v>346.6</v>
      </c>
      <c r="M9">
        <v>346.6</v>
      </c>
      <c r="N9">
        <v>7.0000000000000007E-2</v>
      </c>
      <c r="O9">
        <v>0.19</v>
      </c>
      <c r="P9">
        <v>0.06</v>
      </c>
      <c r="Q9">
        <v>0.1</v>
      </c>
      <c r="R9" t="s">
        <v>41</v>
      </c>
      <c r="S9">
        <v>0</v>
      </c>
      <c r="T9">
        <v>0</v>
      </c>
    </row>
    <row r="10" spans="1:20">
      <c r="A10" t="s">
        <v>40</v>
      </c>
      <c r="B10">
        <v>144446.83100000001</v>
      </c>
      <c r="C10">
        <v>6.13</v>
      </c>
      <c r="D10">
        <v>1307.713</v>
      </c>
      <c r="E10">
        <v>3.58</v>
      </c>
      <c r="F10">
        <v>255.4</v>
      </c>
      <c r="G10">
        <v>255.4</v>
      </c>
      <c r="H10">
        <v>255.4</v>
      </c>
      <c r="I10">
        <v>255.4</v>
      </c>
      <c r="J10">
        <v>345.36</v>
      </c>
      <c r="K10">
        <v>345.36</v>
      </c>
      <c r="L10">
        <v>345.36</v>
      </c>
      <c r="M10">
        <v>345.36</v>
      </c>
      <c r="N10">
        <v>7.0000000000000007E-2</v>
      </c>
      <c r="O10">
        <v>0.19</v>
      </c>
      <c r="P10">
        <v>0.06</v>
      </c>
      <c r="Q10">
        <v>0.1</v>
      </c>
      <c r="R10" t="s">
        <v>41</v>
      </c>
      <c r="S10">
        <v>0</v>
      </c>
      <c r="T10">
        <v>0</v>
      </c>
    </row>
    <row r="11" spans="1:20">
      <c r="A11" t="s">
        <v>40</v>
      </c>
      <c r="B11">
        <v>144451.842</v>
      </c>
      <c r="C11">
        <v>6.87</v>
      </c>
      <c r="D11">
        <v>1307.768</v>
      </c>
      <c r="E11">
        <v>3.58</v>
      </c>
      <c r="F11">
        <v>253.48</v>
      </c>
      <c r="G11">
        <v>253.48</v>
      </c>
      <c r="H11">
        <v>253.48</v>
      </c>
      <c r="I11">
        <v>253.48</v>
      </c>
      <c r="J11">
        <v>344.08</v>
      </c>
      <c r="K11">
        <v>344.08</v>
      </c>
      <c r="L11">
        <v>344.08</v>
      </c>
      <c r="M11">
        <v>344.08</v>
      </c>
      <c r="N11">
        <v>7.0000000000000007E-2</v>
      </c>
      <c r="O11">
        <v>0.19</v>
      </c>
      <c r="P11">
        <v>0.06</v>
      </c>
      <c r="Q11">
        <v>0.1</v>
      </c>
      <c r="R11" t="s">
        <v>41</v>
      </c>
      <c r="S11">
        <v>0</v>
      </c>
      <c r="T11">
        <v>0</v>
      </c>
    </row>
    <row r="12" spans="1:20">
      <c r="A12" t="s">
        <v>40</v>
      </c>
      <c r="B12">
        <v>144456.84099999999</v>
      </c>
      <c r="C12">
        <v>7.63</v>
      </c>
      <c r="D12">
        <v>1307.816</v>
      </c>
      <c r="E12">
        <v>3.65</v>
      </c>
      <c r="F12">
        <v>251.36</v>
      </c>
      <c r="G12">
        <v>251.36</v>
      </c>
      <c r="H12">
        <v>251.36</v>
      </c>
      <c r="I12">
        <v>251.36</v>
      </c>
      <c r="J12">
        <v>342.72</v>
      </c>
      <c r="K12">
        <v>342.72</v>
      </c>
      <c r="L12">
        <v>342.72</v>
      </c>
      <c r="M12">
        <v>342.72</v>
      </c>
      <c r="N12">
        <v>0.06</v>
      </c>
      <c r="O12">
        <v>0.19</v>
      </c>
      <c r="P12">
        <v>0.06</v>
      </c>
      <c r="Q12">
        <v>0.1</v>
      </c>
      <c r="R12" t="s">
        <v>41</v>
      </c>
      <c r="S12">
        <v>0</v>
      </c>
      <c r="T12">
        <v>0</v>
      </c>
    </row>
    <row r="13" spans="1:20">
      <c r="A13" t="s">
        <v>40</v>
      </c>
      <c r="B13">
        <v>144501.83900000001</v>
      </c>
      <c r="C13">
        <v>8.36</v>
      </c>
      <c r="D13">
        <v>1307.873</v>
      </c>
      <c r="E13">
        <v>3.64</v>
      </c>
      <c r="F13">
        <v>249.72</v>
      </c>
      <c r="G13">
        <v>249.72</v>
      </c>
      <c r="H13">
        <v>249.72</v>
      </c>
      <c r="I13">
        <v>249.72</v>
      </c>
      <c r="J13">
        <v>341.36</v>
      </c>
      <c r="K13">
        <v>341.36</v>
      </c>
      <c r="L13">
        <v>341.36</v>
      </c>
      <c r="M13">
        <v>341.36</v>
      </c>
      <c r="N13">
        <v>0.08</v>
      </c>
      <c r="O13">
        <v>0.19</v>
      </c>
      <c r="P13">
        <v>0.06</v>
      </c>
      <c r="Q13">
        <v>0.1</v>
      </c>
      <c r="R13" t="s">
        <v>41</v>
      </c>
      <c r="S13">
        <v>0</v>
      </c>
      <c r="T13">
        <v>0</v>
      </c>
    </row>
    <row r="14" spans="1:20">
      <c r="A14" t="s">
        <v>40</v>
      </c>
      <c r="B14">
        <v>144506.84599999999</v>
      </c>
      <c r="C14">
        <v>9.1199999999999992</v>
      </c>
      <c r="D14">
        <v>1307.934</v>
      </c>
      <c r="E14">
        <v>3.61</v>
      </c>
      <c r="F14">
        <v>247.68</v>
      </c>
      <c r="G14">
        <v>247.68</v>
      </c>
      <c r="H14">
        <v>247.68</v>
      </c>
      <c r="I14">
        <v>247.68</v>
      </c>
      <c r="J14">
        <v>339.88</v>
      </c>
      <c r="K14">
        <v>339.88</v>
      </c>
      <c r="L14">
        <v>339.88</v>
      </c>
      <c r="M14">
        <v>339.88</v>
      </c>
      <c r="N14">
        <v>0.08</v>
      </c>
      <c r="O14">
        <v>0.19</v>
      </c>
      <c r="P14">
        <v>0.06</v>
      </c>
      <c r="Q14">
        <v>0.1</v>
      </c>
      <c r="R14" t="s">
        <v>41</v>
      </c>
      <c r="S14">
        <v>0</v>
      </c>
      <c r="T14">
        <v>0</v>
      </c>
    </row>
    <row r="15" spans="1:20">
      <c r="A15" t="s">
        <v>40</v>
      </c>
      <c r="B15">
        <v>144511.84</v>
      </c>
      <c r="C15">
        <v>9.85</v>
      </c>
      <c r="D15">
        <v>1307.991</v>
      </c>
      <c r="E15">
        <v>3.59</v>
      </c>
      <c r="F15">
        <v>246.04</v>
      </c>
      <c r="G15">
        <v>246.04</v>
      </c>
      <c r="H15">
        <v>246.04</v>
      </c>
      <c r="I15">
        <v>246.04</v>
      </c>
      <c r="J15">
        <v>338.36</v>
      </c>
      <c r="K15">
        <v>338.36</v>
      </c>
      <c r="L15">
        <v>338.36</v>
      </c>
      <c r="M15">
        <v>338.36</v>
      </c>
      <c r="N15">
        <v>0.08</v>
      </c>
      <c r="O15">
        <v>0.19</v>
      </c>
      <c r="P15">
        <v>0.06</v>
      </c>
      <c r="Q15">
        <v>0.1</v>
      </c>
      <c r="R15" t="s">
        <v>41</v>
      </c>
      <c r="S15">
        <v>0</v>
      </c>
      <c r="T15">
        <v>0</v>
      </c>
    </row>
    <row r="16" spans="1:20">
      <c r="A16" t="s">
        <v>40</v>
      </c>
      <c r="B16">
        <v>144516.84400000001</v>
      </c>
      <c r="C16">
        <v>10.61</v>
      </c>
      <c r="D16">
        <v>1308.048</v>
      </c>
      <c r="E16">
        <v>3.6</v>
      </c>
      <c r="F16">
        <v>244.28</v>
      </c>
      <c r="G16">
        <v>244.28</v>
      </c>
      <c r="H16">
        <v>244.28</v>
      </c>
      <c r="I16">
        <v>244.28</v>
      </c>
      <c r="J16">
        <v>336.8</v>
      </c>
      <c r="K16">
        <v>336.8</v>
      </c>
      <c r="L16">
        <v>336.8</v>
      </c>
      <c r="M16">
        <v>336.8</v>
      </c>
      <c r="N16">
        <v>0.08</v>
      </c>
      <c r="O16">
        <v>0.19</v>
      </c>
      <c r="P16">
        <v>0.06</v>
      </c>
      <c r="Q16">
        <v>0.1</v>
      </c>
      <c r="R16" t="s">
        <v>41</v>
      </c>
      <c r="S16">
        <v>0</v>
      </c>
      <c r="T16">
        <v>0</v>
      </c>
    </row>
    <row r="17" spans="1:20">
      <c r="A17" t="s">
        <v>40</v>
      </c>
      <c r="B17">
        <v>144521.84099999999</v>
      </c>
      <c r="C17">
        <v>11.33</v>
      </c>
      <c r="D17">
        <v>1308.107</v>
      </c>
      <c r="E17">
        <v>3.56</v>
      </c>
      <c r="F17">
        <v>242.4</v>
      </c>
      <c r="G17">
        <v>242.4</v>
      </c>
      <c r="H17">
        <v>242.4</v>
      </c>
      <c r="I17">
        <v>242.4</v>
      </c>
      <c r="J17">
        <v>335.44</v>
      </c>
      <c r="K17">
        <v>335.44</v>
      </c>
      <c r="L17">
        <v>335.44</v>
      </c>
      <c r="M17">
        <v>335.44</v>
      </c>
      <c r="N17">
        <v>0.08</v>
      </c>
      <c r="O17">
        <v>0.19</v>
      </c>
      <c r="P17">
        <v>0.06</v>
      </c>
      <c r="Q17">
        <v>0.1</v>
      </c>
      <c r="R17" t="s">
        <v>41</v>
      </c>
      <c r="S17">
        <v>0</v>
      </c>
      <c r="T17">
        <v>0</v>
      </c>
    </row>
    <row r="18" spans="1:20">
      <c r="A18" t="s">
        <v>40</v>
      </c>
      <c r="B18">
        <v>144526.84700000001</v>
      </c>
      <c r="C18">
        <v>12.06</v>
      </c>
      <c r="D18">
        <v>1308.164</v>
      </c>
      <c r="E18">
        <v>3.48</v>
      </c>
      <c r="F18">
        <v>240.96</v>
      </c>
      <c r="G18">
        <v>240.96</v>
      </c>
      <c r="H18">
        <v>240.96</v>
      </c>
      <c r="I18">
        <v>240.96</v>
      </c>
      <c r="J18">
        <v>334.04</v>
      </c>
      <c r="K18">
        <v>334.04</v>
      </c>
      <c r="L18">
        <v>334.04</v>
      </c>
      <c r="M18">
        <v>334.04</v>
      </c>
      <c r="N18">
        <v>0.08</v>
      </c>
      <c r="O18">
        <v>0.19</v>
      </c>
      <c r="P18">
        <v>0.06</v>
      </c>
      <c r="Q18">
        <v>0.1</v>
      </c>
      <c r="R18" t="s">
        <v>41</v>
      </c>
      <c r="S18">
        <v>0</v>
      </c>
      <c r="T18">
        <v>0</v>
      </c>
    </row>
    <row r="19" spans="1:20">
      <c r="A19" t="s">
        <v>40</v>
      </c>
      <c r="B19">
        <v>144531.85</v>
      </c>
      <c r="C19">
        <v>12.8</v>
      </c>
      <c r="D19">
        <v>1308.221</v>
      </c>
      <c r="E19">
        <v>3.5</v>
      </c>
      <c r="F19">
        <v>239.2</v>
      </c>
      <c r="G19">
        <v>239.2</v>
      </c>
      <c r="H19">
        <v>239.2</v>
      </c>
      <c r="I19">
        <v>239.2</v>
      </c>
      <c r="J19">
        <v>332.68</v>
      </c>
      <c r="K19">
        <v>332.68</v>
      </c>
      <c r="L19">
        <v>332.68</v>
      </c>
      <c r="M19">
        <v>332.64</v>
      </c>
      <c r="N19">
        <v>0.08</v>
      </c>
      <c r="O19">
        <v>0.19</v>
      </c>
      <c r="P19">
        <v>0.06</v>
      </c>
      <c r="Q19">
        <v>0.1</v>
      </c>
      <c r="R19" t="s">
        <v>41</v>
      </c>
      <c r="S19">
        <v>0</v>
      </c>
      <c r="T19">
        <v>0</v>
      </c>
    </row>
    <row r="20" spans="1:20">
      <c r="A20" t="s">
        <v>40</v>
      </c>
      <c r="B20">
        <v>144536.84899999999</v>
      </c>
      <c r="C20">
        <v>13.57</v>
      </c>
      <c r="D20">
        <v>1308.278</v>
      </c>
      <c r="E20">
        <v>3.56</v>
      </c>
      <c r="F20">
        <v>237.68</v>
      </c>
      <c r="G20">
        <v>237.68</v>
      </c>
      <c r="H20">
        <v>237.68</v>
      </c>
      <c r="I20">
        <v>237.68</v>
      </c>
      <c r="J20">
        <v>331.4</v>
      </c>
      <c r="K20">
        <v>331.4</v>
      </c>
      <c r="L20">
        <v>331.4</v>
      </c>
      <c r="M20">
        <v>331.4</v>
      </c>
      <c r="N20">
        <v>7.0000000000000007E-2</v>
      </c>
      <c r="O20">
        <v>0.19</v>
      </c>
      <c r="P20">
        <v>0.06</v>
      </c>
      <c r="Q20">
        <v>0.1</v>
      </c>
      <c r="R20" t="s">
        <v>41</v>
      </c>
      <c r="S20">
        <v>0</v>
      </c>
      <c r="T20">
        <v>0</v>
      </c>
    </row>
    <row r="21" spans="1:20">
      <c r="A21" t="s">
        <v>40</v>
      </c>
      <c r="B21">
        <v>144541.848</v>
      </c>
      <c r="C21">
        <v>14.33</v>
      </c>
      <c r="D21">
        <v>1308.337</v>
      </c>
      <c r="E21">
        <v>3.63</v>
      </c>
      <c r="F21">
        <v>236.08</v>
      </c>
      <c r="G21">
        <v>236.08</v>
      </c>
      <c r="H21">
        <v>236.08</v>
      </c>
      <c r="I21">
        <v>236.08</v>
      </c>
      <c r="J21">
        <v>330.16</v>
      </c>
      <c r="K21">
        <v>330.16</v>
      </c>
      <c r="L21">
        <v>330.16</v>
      </c>
      <c r="M21">
        <v>330.16</v>
      </c>
      <c r="N21">
        <v>0.08</v>
      </c>
      <c r="O21">
        <v>0.19</v>
      </c>
      <c r="P21">
        <v>0.06</v>
      </c>
      <c r="Q21">
        <v>0.1</v>
      </c>
      <c r="R21" t="s">
        <v>41</v>
      </c>
      <c r="S21">
        <v>0</v>
      </c>
      <c r="T21">
        <v>0</v>
      </c>
    </row>
    <row r="22" spans="1:20">
      <c r="A22" t="s">
        <v>40</v>
      </c>
      <c r="B22">
        <v>144546.856</v>
      </c>
      <c r="C22">
        <v>15.07</v>
      </c>
      <c r="D22">
        <v>1308.3979999999999</v>
      </c>
      <c r="E22">
        <v>3.64</v>
      </c>
      <c r="F22">
        <v>234.68</v>
      </c>
      <c r="G22">
        <v>234.68</v>
      </c>
      <c r="H22">
        <v>234.68</v>
      </c>
      <c r="I22">
        <v>234.68</v>
      </c>
      <c r="J22">
        <v>328.96</v>
      </c>
      <c r="K22">
        <v>328.96</v>
      </c>
      <c r="L22">
        <v>328.96</v>
      </c>
      <c r="M22">
        <v>328.96</v>
      </c>
      <c r="N22">
        <v>0.08</v>
      </c>
      <c r="O22">
        <v>0.19</v>
      </c>
      <c r="P22">
        <v>0.06</v>
      </c>
      <c r="Q22">
        <v>0.1</v>
      </c>
      <c r="R22" t="s">
        <v>41</v>
      </c>
      <c r="S22">
        <v>0</v>
      </c>
      <c r="T22">
        <v>0</v>
      </c>
    </row>
    <row r="23" spans="1:20">
      <c r="A23" t="s">
        <v>40</v>
      </c>
      <c r="B23">
        <v>144551.853</v>
      </c>
      <c r="C23">
        <v>15.84</v>
      </c>
      <c r="D23">
        <v>1308.4590000000001</v>
      </c>
      <c r="E23">
        <v>3.63</v>
      </c>
      <c r="F23">
        <v>233.32</v>
      </c>
      <c r="G23">
        <v>233.32</v>
      </c>
      <c r="H23">
        <v>233.32</v>
      </c>
      <c r="I23">
        <v>233.32</v>
      </c>
      <c r="J23">
        <v>327.8</v>
      </c>
      <c r="K23">
        <v>327.8</v>
      </c>
      <c r="L23">
        <v>327.8</v>
      </c>
      <c r="M23">
        <v>327.8</v>
      </c>
      <c r="N23">
        <v>0.08</v>
      </c>
      <c r="O23">
        <v>0.19</v>
      </c>
      <c r="P23">
        <v>0.06</v>
      </c>
      <c r="Q23">
        <v>0.1</v>
      </c>
      <c r="R23" t="s">
        <v>41</v>
      </c>
      <c r="S23">
        <v>0</v>
      </c>
      <c r="T23">
        <v>0</v>
      </c>
    </row>
    <row r="24" spans="1:20">
      <c r="A24" t="s">
        <v>40</v>
      </c>
      <c r="B24">
        <v>144556.851</v>
      </c>
      <c r="C24">
        <v>16.579999999999998</v>
      </c>
      <c r="D24">
        <v>1308.52</v>
      </c>
      <c r="E24">
        <v>3.63</v>
      </c>
      <c r="F24">
        <v>232</v>
      </c>
      <c r="G24">
        <v>232</v>
      </c>
      <c r="H24">
        <v>232</v>
      </c>
      <c r="I24">
        <v>232</v>
      </c>
      <c r="J24">
        <v>326.72000000000003</v>
      </c>
      <c r="K24">
        <v>326.72000000000003</v>
      </c>
      <c r="L24">
        <v>326.72000000000003</v>
      </c>
      <c r="M24">
        <v>326.72000000000003</v>
      </c>
      <c r="N24">
        <v>0.08</v>
      </c>
      <c r="O24">
        <v>0.19</v>
      </c>
      <c r="P24">
        <v>0.06</v>
      </c>
      <c r="Q24">
        <v>0.1</v>
      </c>
      <c r="R24" t="s">
        <v>41</v>
      </c>
      <c r="S24">
        <v>0</v>
      </c>
      <c r="T24">
        <v>0</v>
      </c>
    </row>
    <row r="25" spans="1:20">
      <c r="A25" t="s">
        <v>40</v>
      </c>
      <c r="B25">
        <v>144601.85500000001</v>
      </c>
      <c r="C25">
        <v>17.350000000000001</v>
      </c>
      <c r="D25">
        <v>1308.576</v>
      </c>
      <c r="E25">
        <v>3.57</v>
      </c>
      <c r="F25">
        <v>230.88</v>
      </c>
      <c r="G25">
        <v>230.88</v>
      </c>
      <c r="H25">
        <v>230.88</v>
      </c>
      <c r="I25">
        <v>230.88</v>
      </c>
      <c r="J25">
        <v>325.68</v>
      </c>
      <c r="K25">
        <v>325.68</v>
      </c>
      <c r="L25">
        <v>325.68</v>
      </c>
      <c r="M25">
        <v>325.68</v>
      </c>
      <c r="N25">
        <v>7.0000000000000007E-2</v>
      </c>
      <c r="O25">
        <v>0.19</v>
      </c>
      <c r="P25">
        <v>0.06</v>
      </c>
      <c r="Q25">
        <v>0.1</v>
      </c>
      <c r="R25" t="s">
        <v>41</v>
      </c>
      <c r="S25">
        <v>0</v>
      </c>
      <c r="T25">
        <v>0</v>
      </c>
    </row>
    <row r="26" spans="1:20">
      <c r="A26" t="s">
        <v>40</v>
      </c>
      <c r="B26">
        <v>144606.85399999999</v>
      </c>
      <c r="C26">
        <v>18.079999999999998</v>
      </c>
      <c r="D26">
        <v>1308.6369999999999</v>
      </c>
      <c r="E26">
        <v>3.46</v>
      </c>
      <c r="F26">
        <v>229.76</v>
      </c>
      <c r="G26">
        <v>229.76</v>
      </c>
      <c r="H26">
        <v>229.76</v>
      </c>
      <c r="I26">
        <v>229.76</v>
      </c>
      <c r="J26">
        <v>324.76</v>
      </c>
      <c r="K26">
        <v>324.76</v>
      </c>
      <c r="L26">
        <v>324.76</v>
      </c>
      <c r="M26">
        <v>324.76</v>
      </c>
      <c r="N26">
        <v>0.08</v>
      </c>
      <c r="O26">
        <v>0.19</v>
      </c>
      <c r="P26">
        <v>0.06</v>
      </c>
      <c r="Q26">
        <v>0.1</v>
      </c>
      <c r="R26" t="s">
        <v>41</v>
      </c>
      <c r="S26">
        <v>0</v>
      </c>
      <c r="T26">
        <v>0</v>
      </c>
    </row>
    <row r="27" spans="1:20">
      <c r="A27" t="s">
        <v>40</v>
      </c>
      <c r="B27">
        <v>144611.859</v>
      </c>
      <c r="C27">
        <v>18.84</v>
      </c>
      <c r="D27">
        <v>1308.704</v>
      </c>
      <c r="E27">
        <v>3.45</v>
      </c>
      <c r="F27">
        <v>228.8</v>
      </c>
      <c r="G27">
        <v>228.8</v>
      </c>
      <c r="H27">
        <v>228.8</v>
      </c>
      <c r="I27">
        <v>228.8</v>
      </c>
      <c r="J27">
        <v>323.88</v>
      </c>
      <c r="K27">
        <v>323.88</v>
      </c>
      <c r="L27">
        <v>323.88</v>
      </c>
      <c r="M27">
        <v>323.88</v>
      </c>
      <c r="N27">
        <v>0.09</v>
      </c>
      <c r="O27">
        <v>0.19</v>
      </c>
      <c r="P27">
        <v>0.06</v>
      </c>
      <c r="Q27">
        <v>0.1</v>
      </c>
      <c r="R27" t="s">
        <v>41</v>
      </c>
      <c r="S27">
        <v>0</v>
      </c>
      <c r="T27">
        <v>0</v>
      </c>
    </row>
    <row r="28" spans="1:20">
      <c r="A28" t="s">
        <v>40</v>
      </c>
      <c r="B28">
        <v>144616.853</v>
      </c>
      <c r="C28">
        <v>19.559999999999999</v>
      </c>
      <c r="D28">
        <v>1308.76</v>
      </c>
      <c r="E28">
        <v>3.51</v>
      </c>
      <c r="F28">
        <v>227.8</v>
      </c>
      <c r="G28">
        <v>227.8</v>
      </c>
      <c r="H28">
        <v>227.8</v>
      </c>
      <c r="I28">
        <v>227.8</v>
      </c>
      <c r="J28">
        <v>323.12</v>
      </c>
      <c r="K28">
        <v>323.12</v>
      </c>
      <c r="L28">
        <v>323.12</v>
      </c>
      <c r="M28">
        <v>323.12</v>
      </c>
      <c r="N28">
        <v>0.08</v>
      </c>
      <c r="O28">
        <v>0.19</v>
      </c>
      <c r="P28">
        <v>0.06</v>
      </c>
      <c r="Q28">
        <v>0.1</v>
      </c>
      <c r="R28" t="s">
        <v>41</v>
      </c>
      <c r="S28">
        <v>0</v>
      </c>
      <c r="T28">
        <v>0</v>
      </c>
    </row>
    <row r="29" spans="1:20">
      <c r="A29" t="s">
        <v>40</v>
      </c>
      <c r="B29">
        <v>144621.856</v>
      </c>
      <c r="C29">
        <v>20.32</v>
      </c>
      <c r="D29">
        <v>1308.8230000000001</v>
      </c>
      <c r="E29">
        <v>3.54</v>
      </c>
      <c r="F29">
        <v>227</v>
      </c>
      <c r="G29">
        <v>227</v>
      </c>
      <c r="H29">
        <v>227</v>
      </c>
      <c r="I29">
        <v>227</v>
      </c>
      <c r="J29">
        <v>322.32</v>
      </c>
      <c r="K29">
        <v>322.32</v>
      </c>
      <c r="L29">
        <v>322.32</v>
      </c>
      <c r="M29">
        <v>322.32</v>
      </c>
      <c r="N29">
        <v>0.08</v>
      </c>
      <c r="O29">
        <v>0.19</v>
      </c>
      <c r="P29">
        <v>0.06</v>
      </c>
      <c r="Q29">
        <v>0.1</v>
      </c>
      <c r="R29" t="s">
        <v>41</v>
      </c>
      <c r="S29">
        <v>0</v>
      </c>
      <c r="T29">
        <v>0</v>
      </c>
    </row>
    <row r="30" spans="1:20">
      <c r="A30" t="s">
        <v>40</v>
      </c>
      <c r="B30">
        <v>144626.85800000001</v>
      </c>
      <c r="C30">
        <v>21.09</v>
      </c>
      <c r="D30">
        <v>1308.893</v>
      </c>
      <c r="E30">
        <v>3.53</v>
      </c>
      <c r="F30">
        <v>226.16</v>
      </c>
      <c r="G30">
        <v>226.16</v>
      </c>
      <c r="H30">
        <v>226.16</v>
      </c>
      <c r="I30">
        <v>226.16</v>
      </c>
      <c r="J30">
        <v>321.8</v>
      </c>
      <c r="K30">
        <v>321.8</v>
      </c>
      <c r="L30">
        <v>321.8</v>
      </c>
      <c r="M30">
        <v>321.8</v>
      </c>
      <c r="N30">
        <v>0.09</v>
      </c>
      <c r="O30">
        <v>0.19</v>
      </c>
      <c r="P30">
        <v>0.06</v>
      </c>
      <c r="Q30">
        <v>0.1</v>
      </c>
      <c r="R30" t="s">
        <v>41</v>
      </c>
      <c r="S30">
        <v>0</v>
      </c>
      <c r="T30">
        <v>0</v>
      </c>
    </row>
    <row r="31" spans="1:20">
      <c r="A31" t="s">
        <v>40</v>
      </c>
      <c r="B31">
        <v>144631.859</v>
      </c>
      <c r="C31">
        <v>21.83</v>
      </c>
      <c r="D31">
        <v>1308.95</v>
      </c>
      <c r="E31">
        <v>3.48</v>
      </c>
      <c r="F31">
        <v>225.48</v>
      </c>
      <c r="G31">
        <v>225.48</v>
      </c>
      <c r="H31">
        <v>225.48</v>
      </c>
      <c r="I31">
        <v>225.48</v>
      </c>
      <c r="J31">
        <v>321.32</v>
      </c>
      <c r="K31">
        <v>321.32</v>
      </c>
      <c r="L31">
        <v>321.32</v>
      </c>
      <c r="M31">
        <v>321.32</v>
      </c>
      <c r="N31">
        <v>0.08</v>
      </c>
      <c r="O31">
        <v>0.19</v>
      </c>
      <c r="P31">
        <v>0.06</v>
      </c>
      <c r="Q31">
        <v>0.1</v>
      </c>
      <c r="R31" t="s">
        <v>41</v>
      </c>
      <c r="S31">
        <v>0</v>
      </c>
      <c r="T31">
        <v>0</v>
      </c>
    </row>
    <row r="32" spans="1:20">
      <c r="A32" t="s">
        <v>40</v>
      </c>
      <c r="B32">
        <v>144636.861</v>
      </c>
      <c r="C32">
        <v>22.58</v>
      </c>
      <c r="D32">
        <v>1309.021</v>
      </c>
      <c r="E32">
        <v>3.57</v>
      </c>
      <c r="F32">
        <v>224.8</v>
      </c>
      <c r="G32">
        <v>224.8</v>
      </c>
      <c r="H32">
        <v>224.8</v>
      </c>
      <c r="I32">
        <v>224.8</v>
      </c>
      <c r="J32">
        <v>320.95999999999998</v>
      </c>
      <c r="K32">
        <v>320.95999999999998</v>
      </c>
      <c r="L32">
        <v>320.95999999999998</v>
      </c>
      <c r="M32">
        <v>320.95999999999998</v>
      </c>
      <c r="N32">
        <v>0.09</v>
      </c>
      <c r="O32">
        <v>0.19</v>
      </c>
      <c r="P32">
        <v>0.06</v>
      </c>
      <c r="Q32">
        <v>0.1</v>
      </c>
      <c r="R32" t="s">
        <v>41</v>
      </c>
      <c r="S32">
        <v>0</v>
      </c>
      <c r="T32">
        <v>0</v>
      </c>
    </row>
    <row r="33" spans="1:20">
      <c r="A33" t="s">
        <v>40</v>
      </c>
      <c r="B33">
        <v>144641.861</v>
      </c>
      <c r="C33">
        <v>23.31</v>
      </c>
      <c r="D33">
        <v>1309.086</v>
      </c>
      <c r="E33">
        <v>3.52</v>
      </c>
      <c r="F33">
        <v>224.2</v>
      </c>
      <c r="G33">
        <v>224.2</v>
      </c>
      <c r="H33">
        <v>224.2</v>
      </c>
      <c r="I33">
        <v>224.2</v>
      </c>
      <c r="J33">
        <v>320.64</v>
      </c>
      <c r="K33">
        <v>320.64</v>
      </c>
      <c r="L33">
        <v>320.64</v>
      </c>
      <c r="M33">
        <v>320.64</v>
      </c>
      <c r="N33">
        <v>0.09</v>
      </c>
      <c r="O33">
        <v>0.19</v>
      </c>
      <c r="P33">
        <v>0.06</v>
      </c>
      <c r="Q33">
        <v>0.1</v>
      </c>
      <c r="R33" t="s">
        <v>41</v>
      </c>
      <c r="S33">
        <v>0</v>
      </c>
      <c r="T33">
        <v>0</v>
      </c>
    </row>
    <row r="34" spans="1:20">
      <c r="A34" t="s">
        <v>40</v>
      </c>
      <c r="B34">
        <v>144646.867</v>
      </c>
      <c r="C34">
        <v>24.04</v>
      </c>
      <c r="D34">
        <v>1309.152</v>
      </c>
      <c r="E34">
        <v>3.48</v>
      </c>
      <c r="F34">
        <v>223.64</v>
      </c>
      <c r="G34">
        <v>223.64</v>
      </c>
      <c r="H34">
        <v>223.64</v>
      </c>
      <c r="I34">
        <v>223.64</v>
      </c>
      <c r="J34">
        <v>320.48</v>
      </c>
      <c r="K34">
        <v>320.48</v>
      </c>
      <c r="L34">
        <v>320.48</v>
      </c>
      <c r="M34">
        <v>320.48</v>
      </c>
      <c r="N34">
        <v>0.09</v>
      </c>
      <c r="O34">
        <v>0.19</v>
      </c>
      <c r="P34">
        <v>0.06</v>
      </c>
      <c r="Q34">
        <v>0.1</v>
      </c>
      <c r="R34" t="s">
        <v>41</v>
      </c>
      <c r="S34">
        <v>0</v>
      </c>
      <c r="T34">
        <v>0</v>
      </c>
    </row>
    <row r="35" spans="1:20">
      <c r="A35" t="s">
        <v>40</v>
      </c>
      <c r="B35">
        <v>144651.86499999999</v>
      </c>
      <c r="C35">
        <v>24.75</v>
      </c>
      <c r="D35">
        <v>1309.2170000000001</v>
      </c>
      <c r="E35">
        <v>3.39</v>
      </c>
      <c r="F35">
        <v>223.2</v>
      </c>
      <c r="G35">
        <v>223.2</v>
      </c>
      <c r="H35">
        <v>223.2</v>
      </c>
      <c r="I35">
        <v>223.2</v>
      </c>
      <c r="J35">
        <v>320.44</v>
      </c>
      <c r="K35">
        <v>320.44</v>
      </c>
      <c r="L35">
        <v>320.44</v>
      </c>
      <c r="M35">
        <v>320.44</v>
      </c>
      <c r="N35">
        <v>0.09</v>
      </c>
      <c r="O35">
        <v>0.19</v>
      </c>
      <c r="P35">
        <v>0.06</v>
      </c>
      <c r="Q35">
        <v>0.1</v>
      </c>
      <c r="R35" t="s">
        <v>41</v>
      </c>
      <c r="S35">
        <v>0</v>
      </c>
      <c r="T35">
        <v>0</v>
      </c>
    </row>
    <row r="36" spans="1:20">
      <c r="A36" t="s">
        <v>40</v>
      </c>
      <c r="B36">
        <v>144656.86199999999</v>
      </c>
      <c r="C36">
        <v>25.5</v>
      </c>
      <c r="D36">
        <v>1309.2819999999999</v>
      </c>
      <c r="E36">
        <v>3.41</v>
      </c>
      <c r="F36">
        <v>222.88</v>
      </c>
      <c r="G36">
        <v>222.88</v>
      </c>
      <c r="H36">
        <v>222.88</v>
      </c>
      <c r="I36">
        <v>222.88</v>
      </c>
      <c r="J36">
        <v>320.48</v>
      </c>
      <c r="K36">
        <v>320.48</v>
      </c>
      <c r="L36">
        <v>320.48</v>
      </c>
      <c r="M36">
        <v>320.48</v>
      </c>
      <c r="N36">
        <v>0.09</v>
      </c>
      <c r="O36">
        <v>0.19</v>
      </c>
      <c r="P36">
        <v>0.06</v>
      </c>
      <c r="Q36">
        <v>0.1</v>
      </c>
      <c r="R36" t="s">
        <v>41</v>
      </c>
      <c r="S36">
        <v>0</v>
      </c>
      <c r="T36">
        <v>0</v>
      </c>
    </row>
    <row r="37" spans="1:20">
      <c r="A37" t="s">
        <v>40</v>
      </c>
      <c r="B37">
        <v>144701.86799999999</v>
      </c>
      <c r="C37">
        <v>26.26</v>
      </c>
      <c r="D37">
        <v>1309.347</v>
      </c>
      <c r="E37">
        <v>3.41</v>
      </c>
      <c r="F37">
        <v>222.72</v>
      </c>
      <c r="G37">
        <v>222.72</v>
      </c>
      <c r="H37">
        <v>222.72</v>
      </c>
      <c r="I37">
        <v>222.72</v>
      </c>
      <c r="J37">
        <v>320.68</v>
      </c>
      <c r="K37">
        <v>320.68</v>
      </c>
      <c r="L37">
        <v>320.68</v>
      </c>
      <c r="M37">
        <v>320.68</v>
      </c>
      <c r="N37">
        <v>0.09</v>
      </c>
      <c r="O37">
        <v>0.19</v>
      </c>
      <c r="P37">
        <v>0.06</v>
      </c>
      <c r="Q37">
        <v>0.1</v>
      </c>
      <c r="R37" t="s">
        <v>41</v>
      </c>
      <c r="S37">
        <v>0</v>
      </c>
      <c r="T37">
        <v>0</v>
      </c>
    </row>
    <row r="38" spans="1:20">
      <c r="A38" t="s">
        <v>40</v>
      </c>
      <c r="B38">
        <v>144706.87599999999</v>
      </c>
      <c r="C38">
        <v>26.99</v>
      </c>
      <c r="D38">
        <v>1309.413</v>
      </c>
      <c r="E38">
        <v>3.38</v>
      </c>
      <c r="F38">
        <v>222.72</v>
      </c>
      <c r="G38">
        <v>222.72</v>
      </c>
      <c r="H38">
        <v>222.72</v>
      </c>
      <c r="I38">
        <v>222.72</v>
      </c>
      <c r="J38">
        <v>321</v>
      </c>
      <c r="K38">
        <v>321</v>
      </c>
      <c r="L38">
        <v>321</v>
      </c>
      <c r="M38">
        <v>321</v>
      </c>
      <c r="N38">
        <v>0.09</v>
      </c>
      <c r="O38">
        <v>0.19</v>
      </c>
      <c r="P38">
        <v>0.06</v>
      </c>
      <c r="Q38">
        <v>0.1</v>
      </c>
      <c r="R38" t="s">
        <v>41</v>
      </c>
      <c r="S38">
        <v>0</v>
      </c>
      <c r="T38">
        <v>0</v>
      </c>
    </row>
    <row r="39" spans="1:20">
      <c r="A39" t="s">
        <v>40</v>
      </c>
      <c r="B39">
        <v>144711.86799999999</v>
      </c>
      <c r="C39">
        <v>27.74</v>
      </c>
      <c r="D39">
        <v>1309.472</v>
      </c>
      <c r="E39">
        <v>3.38</v>
      </c>
      <c r="F39">
        <v>222.76</v>
      </c>
      <c r="G39">
        <v>222.76</v>
      </c>
      <c r="H39">
        <v>222.76</v>
      </c>
      <c r="I39">
        <v>222.76</v>
      </c>
      <c r="J39">
        <v>321.39999999999998</v>
      </c>
      <c r="K39">
        <v>321.39999999999998</v>
      </c>
      <c r="L39">
        <v>321.39999999999998</v>
      </c>
      <c r="M39">
        <v>321.39999999999998</v>
      </c>
      <c r="N39">
        <v>0.08</v>
      </c>
      <c r="O39">
        <v>0.19</v>
      </c>
      <c r="P39">
        <v>0.06</v>
      </c>
      <c r="Q39">
        <v>0.1</v>
      </c>
      <c r="R39" t="s">
        <v>41</v>
      </c>
      <c r="S39">
        <v>0</v>
      </c>
      <c r="T39">
        <v>0</v>
      </c>
    </row>
    <row r="40" spans="1:20">
      <c r="A40" t="s">
        <v>40</v>
      </c>
      <c r="B40">
        <v>144716.86900000001</v>
      </c>
      <c r="C40">
        <v>28.47</v>
      </c>
      <c r="D40">
        <v>1309.548</v>
      </c>
      <c r="E40">
        <v>3.38</v>
      </c>
      <c r="F40">
        <v>222.88</v>
      </c>
      <c r="G40">
        <v>222.88</v>
      </c>
      <c r="H40">
        <v>222.88</v>
      </c>
      <c r="I40">
        <v>222.88</v>
      </c>
      <c r="J40">
        <v>321.88</v>
      </c>
      <c r="K40">
        <v>321.88</v>
      </c>
      <c r="L40">
        <v>321.88</v>
      </c>
      <c r="M40">
        <v>321.88</v>
      </c>
      <c r="N40">
        <v>0.1</v>
      </c>
      <c r="O40">
        <v>0.19</v>
      </c>
      <c r="P40">
        <v>0.06</v>
      </c>
      <c r="Q40">
        <v>0.1</v>
      </c>
      <c r="R40" t="s">
        <v>41</v>
      </c>
      <c r="S40">
        <v>0</v>
      </c>
      <c r="T40">
        <v>0</v>
      </c>
    </row>
    <row r="41" spans="1:20">
      <c r="A41" t="s">
        <v>40</v>
      </c>
      <c r="B41">
        <v>144721.87</v>
      </c>
      <c r="C41">
        <v>29.24</v>
      </c>
      <c r="D41">
        <v>1309.6089999999999</v>
      </c>
      <c r="E41">
        <v>3.33</v>
      </c>
      <c r="F41">
        <v>223.08</v>
      </c>
      <c r="G41">
        <v>223.08</v>
      </c>
      <c r="H41">
        <v>223.08</v>
      </c>
      <c r="I41">
        <v>223.08</v>
      </c>
      <c r="J41">
        <v>322.52</v>
      </c>
      <c r="K41">
        <v>322.52</v>
      </c>
      <c r="L41">
        <v>322.52</v>
      </c>
      <c r="M41">
        <v>322.52</v>
      </c>
      <c r="N41">
        <v>0.08</v>
      </c>
      <c r="O41">
        <v>0.19</v>
      </c>
      <c r="P41">
        <v>0.06</v>
      </c>
      <c r="Q41">
        <v>0.1</v>
      </c>
      <c r="R41" t="s">
        <v>41</v>
      </c>
      <c r="S41">
        <v>0</v>
      </c>
      <c r="T41">
        <v>0</v>
      </c>
    </row>
    <row r="42" spans="1:20">
      <c r="A42" t="s">
        <v>40</v>
      </c>
      <c r="B42">
        <v>144726.872</v>
      </c>
      <c r="C42">
        <v>29.97</v>
      </c>
      <c r="D42">
        <v>1309.6780000000001</v>
      </c>
      <c r="E42">
        <v>3.23</v>
      </c>
      <c r="F42">
        <v>223.4</v>
      </c>
      <c r="G42">
        <v>223.4</v>
      </c>
      <c r="H42">
        <v>223.4</v>
      </c>
      <c r="I42">
        <v>223.4</v>
      </c>
      <c r="J42">
        <v>323.16000000000003</v>
      </c>
      <c r="K42">
        <v>323.16000000000003</v>
      </c>
      <c r="L42">
        <v>323.16000000000003</v>
      </c>
      <c r="M42">
        <v>323.16000000000003</v>
      </c>
      <c r="N42">
        <v>0.09</v>
      </c>
      <c r="O42">
        <v>0.19</v>
      </c>
      <c r="P42">
        <v>0.06</v>
      </c>
      <c r="Q42">
        <v>0.1</v>
      </c>
      <c r="R42" t="s">
        <v>41</v>
      </c>
      <c r="S42">
        <v>0</v>
      </c>
      <c r="T42">
        <v>0</v>
      </c>
    </row>
    <row r="43" spans="1:20">
      <c r="A43" t="s">
        <v>40</v>
      </c>
      <c r="B43">
        <v>144731.87</v>
      </c>
      <c r="C43">
        <v>30.73</v>
      </c>
      <c r="D43">
        <v>1309.7449999999999</v>
      </c>
      <c r="E43">
        <v>3.16</v>
      </c>
      <c r="F43">
        <v>223.88</v>
      </c>
      <c r="G43">
        <v>223.88</v>
      </c>
      <c r="H43">
        <v>223.88</v>
      </c>
      <c r="I43">
        <v>223.88</v>
      </c>
      <c r="J43">
        <v>324</v>
      </c>
      <c r="K43">
        <v>324</v>
      </c>
      <c r="L43">
        <v>324</v>
      </c>
      <c r="M43">
        <v>324</v>
      </c>
      <c r="N43">
        <v>0.09</v>
      </c>
      <c r="O43">
        <v>0.19</v>
      </c>
      <c r="P43">
        <v>0.06</v>
      </c>
      <c r="Q43">
        <v>0.1</v>
      </c>
      <c r="R43" t="s">
        <v>41</v>
      </c>
      <c r="S43">
        <v>0</v>
      </c>
      <c r="T43">
        <v>0</v>
      </c>
    </row>
    <row r="44" spans="1:20">
      <c r="A44" t="s">
        <v>40</v>
      </c>
      <c r="B44">
        <v>144736.87299999999</v>
      </c>
      <c r="C44">
        <v>31.47</v>
      </c>
      <c r="D44">
        <v>1309.82</v>
      </c>
      <c r="E44">
        <v>3.25</v>
      </c>
      <c r="F44">
        <v>224.28</v>
      </c>
      <c r="G44">
        <v>224.28</v>
      </c>
      <c r="H44">
        <v>224.28</v>
      </c>
      <c r="I44">
        <v>224.28</v>
      </c>
      <c r="J44">
        <v>324.8</v>
      </c>
      <c r="K44">
        <v>324.8</v>
      </c>
      <c r="L44">
        <v>324.8</v>
      </c>
      <c r="M44">
        <v>324.8</v>
      </c>
      <c r="N44">
        <v>0.1</v>
      </c>
      <c r="O44">
        <v>0.19</v>
      </c>
      <c r="P44">
        <v>0.06</v>
      </c>
      <c r="Q44">
        <v>0.1</v>
      </c>
      <c r="R44" t="s">
        <v>41</v>
      </c>
      <c r="S44">
        <v>0</v>
      </c>
      <c r="T44">
        <v>0</v>
      </c>
    </row>
    <row r="45" spans="1:20">
      <c r="A45" t="s">
        <v>40</v>
      </c>
      <c r="B45">
        <v>144741.872</v>
      </c>
      <c r="C45">
        <v>32.22</v>
      </c>
      <c r="D45">
        <v>1309.8889999999999</v>
      </c>
      <c r="E45">
        <v>3.22</v>
      </c>
      <c r="F45">
        <v>224.84</v>
      </c>
      <c r="G45">
        <v>224.84</v>
      </c>
      <c r="H45">
        <v>224.84</v>
      </c>
      <c r="I45">
        <v>224.84</v>
      </c>
      <c r="J45">
        <v>325.72000000000003</v>
      </c>
      <c r="K45">
        <v>325.72000000000003</v>
      </c>
      <c r="L45">
        <v>325.72000000000003</v>
      </c>
      <c r="M45">
        <v>325.72000000000003</v>
      </c>
      <c r="N45">
        <v>0.09</v>
      </c>
      <c r="O45">
        <v>0.19</v>
      </c>
      <c r="P45">
        <v>0.06</v>
      </c>
      <c r="Q45">
        <v>0.1</v>
      </c>
      <c r="R45" t="s">
        <v>41</v>
      </c>
      <c r="S45">
        <v>0</v>
      </c>
      <c r="T45">
        <v>0</v>
      </c>
    </row>
    <row r="46" spans="1:20">
      <c r="A46" t="s">
        <v>40</v>
      </c>
      <c r="B46">
        <v>144746.87299999999</v>
      </c>
      <c r="C46">
        <v>32.979999999999997</v>
      </c>
      <c r="D46">
        <v>1309.96</v>
      </c>
      <c r="E46">
        <v>3.24</v>
      </c>
      <c r="F46">
        <v>225.32</v>
      </c>
      <c r="G46">
        <v>225.32</v>
      </c>
      <c r="H46">
        <v>225.32</v>
      </c>
      <c r="I46">
        <v>225.32</v>
      </c>
      <c r="J46">
        <v>326.76</v>
      </c>
      <c r="K46">
        <v>326.76</v>
      </c>
      <c r="L46">
        <v>326.76</v>
      </c>
      <c r="M46">
        <v>326.76</v>
      </c>
      <c r="N46">
        <v>0.09</v>
      </c>
      <c r="O46">
        <v>0.19</v>
      </c>
      <c r="P46">
        <v>0.06</v>
      </c>
      <c r="Q46">
        <v>0.1</v>
      </c>
      <c r="R46" t="s">
        <v>41</v>
      </c>
      <c r="S46">
        <v>0</v>
      </c>
      <c r="T46">
        <v>0</v>
      </c>
    </row>
    <row r="47" spans="1:20">
      <c r="A47" t="s">
        <v>40</v>
      </c>
      <c r="B47">
        <v>144751.87400000001</v>
      </c>
      <c r="C47">
        <v>33.729999999999997</v>
      </c>
      <c r="D47">
        <v>1310.0239999999999</v>
      </c>
      <c r="E47">
        <v>3.16</v>
      </c>
      <c r="F47">
        <v>225.92</v>
      </c>
      <c r="G47">
        <v>225.92</v>
      </c>
      <c r="H47">
        <v>225.92</v>
      </c>
      <c r="I47">
        <v>225.92</v>
      </c>
      <c r="J47">
        <v>327.84</v>
      </c>
      <c r="K47">
        <v>327.84</v>
      </c>
      <c r="L47">
        <v>327.84</v>
      </c>
      <c r="M47">
        <v>327.84</v>
      </c>
      <c r="N47">
        <v>0.09</v>
      </c>
      <c r="O47">
        <v>0.19</v>
      </c>
      <c r="P47">
        <v>0.06</v>
      </c>
      <c r="Q47">
        <v>0.1</v>
      </c>
      <c r="R47" t="s">
        <v>41</v>
      </c>
      <c r="S47">
        <v>0</v>
      </c>
      <c r="T47">
        <v>0</v>
      </c>
    </row>
    <row r="48" spans="1:20">
      <c r="A48" t="s">
        <v>40</v>
      </c>
      <c r="B48">
        <v>144756.87899999999</v>
      </c>
      <c r="C48">
        <v>34.49</v>
      </c>
      <c r="D48">
        <v>1310.095</v>
      </c>
      <c r="E48">
        <v>3.06</v>
      </c>
      <c r="F48">
        <v>226.48</v>
      </c>
      <c r="G48">
        <v>226.48</v>
      </c>
      <c r="H48">
        <v>226.48</v>
      </c>
      <c r="I48">
        <v>226.48</v>
      </c>
      <c r="J48">
        <v>329.2</v>
      </c>
      <c r="K48">
        <v>329.2</v>
      </c>
      <c r="L48">
        <v>329.2</v>
      </c>
      <c r="M48">
        <v>329.2</v>
      </c>
      <c r="N48">
        <v>0.09</v>
      </c>
      <c r="O48">
        <v>0.19</v>
      </c>
      <c r="P48">
        <v>0.06</v>
      </c>
      <c r="Q48">
        <v>0.1</v>
      </c>
      <c r="R48" t="s">
        <v>41</v>
      </c>
      <c r="S48">
        <v>0</v>
      </c>
      <c r="T48">
        <v>0</v>
      </c>
    </row>
    <row r="49" spans="1:20">
      <c r="A49" t="s">
        <v>40</v>
      </c>
      <c r="B49">
        <v>144801.87400000001</v>
      </c>
      <c r="C49">
        <v>35.22</v>
      </c>
      <c r="D49">
        <v>1310.172</v>
      </c>
      <c r="E49">
        <v>3.03</v>
      </c>
      <c r="F49">
        <v>227.32</v>
      </c>
      <c r="G49">
        <v>227.32</v>
      </c>
      <c r="H49">
        <v>227.32</v>
      </c>
      <c r="I49">
        <v>227.32</v>
      </c>
      <c r="J49">
        <v>330.6</v>
      </c>
      <c r="K49">
        <v>330.6</v>
      </c>
      <c r="L49">
        <v>330.6</v>
      </c>
      <c r="M49">
        <v>330.6</v>
      </c>
      <c r="N49">
        <v>0.11</v>
      </c>
      <c r="O49">
        <v>0.19</v>
      </c>
      <c r="P49">
        <v>0.06</v>
      </c>
      <c r="Q49">
        <v>0.1</v>
      </c>
      <c r="R49" t="s">
        <v>41</v>
      </c>
      <c r="S49">
        <v>0</v>
      </c>
      <c r="T49">
        <v>0</v>
      </c>
    </row>
    <row r="50" spans="1:20">
      <c r="A50" t="s">
        <v>40</v>
      </c>
      <c r="B50">
        <v>144806.88</v>
      </c>
      <c r="C50">
        <v>35.97</v>
      </c>
      <c r="D50">
        <v>1310.242</v>
      </c>
      <c r="E50">
        <v>3</v>
      </c>
      <c r="F50">
        <v>228.12</v>
      </c>
      <c r="G50">
        <v>228.12</v>
      </c>
      <c r="H50">
        <v>228.12</v>
      </c>
      <c r="I50">
        <v>228.12</v>
      </c>
      <c r="J50">
        <v>332.24</v>
      </c>
      <c r="K50">
        <v>332.24</v>
      </c>
      <c r="L50">
        <v>332.24</v>
      </c>
      <c r="M50">
        <v>332.24</v>
      </c>
      <c r="N50">
        <v>0.09</v>
      </c>
      <c r="O50">
        <v>0.19</v>
      </c>
      <c r="P50">
        <v>0.06</v>
      </c>
      <c r="Q50">
        <v>0.1</v>
      </c>
      <c r="R50" t="s">
        <v>41</v>
      </c>
      <c r="S50">
        <v>0</v>
      </c>
      <c r="T50">
        <v>0</v>
      </c>
    </row>
    <row r="51" spans="1:20">
      <c r="A51" t="s">
        <v>40</v>
      </c>
      <c r="B51">
        <v>144811.87400000001</v>
      </c>
      <c r="C51">
        <v>36.700000000000003</v>
      </c>
      <c r="D51">
        <v>1310.3130000000001</v>
      </c>
      <c r="E51">
        <v>3.01</v>
      </c>
      <c r="F51">
        <v>229</v>
      </c>
      <c r="G51">
        <v>229</v>
      </c>
      <c r="H51">
        <v>229</v>
      </c>
      <c r="I51">
        <v>229</v>
      </c>
      <c r="J51">
        <v>333.8</v>
      </c>
      <c r="K51">
        <v>333.8</v>
      </c>
      <c r="L51">
        <v>333.8</v>
      </c>
      <c r="M51">
        <v>333.8</v>
      </c>
      <c r="N51">
        <v>0.1</v>
      </c>
      <c r="O51">
        <v>0.19</v>
      </c>
      <c r="P51">
        <v>0.06</v>
      </c>
      <c r="Q51">
        <v>0.1</v>
      </c>
      <c r="R51" t="s">
        <v>41</v>
      </c>
      <c r="S51">
        <v>0</v>
      </c>
      <c r="T51">
        <v>0</v>
      </c>
    </row>
    <row r="52" spans="1:20">
      <c r="A52" t="s">
        <v>40</v>
      </c>
      <c r="B52">
        <v>144816.88099999999</v>
      </c>
      <c r="C52">
        <v>37.450000000000003</v>
      </c>
      <c r="D52">
        <v>1310.385</v>
      </c>
      <c r="E52">
        <v>3.02</v>
      </c>
      <c r="F52">
        <v>230.12</v>
      </c>
      <c r="G52">
        <v>230.12</v>
      </c>
      <c r="H52">
        <v>230.12</v>
      </c>
      <c r="I52">
        <v>230.12</v>
      </c>
      <c r="J52">
        <v>335.92</v>
      </c>
      <c r="K52">
        <v>335.92</v>
      </c>
      <c r="L52">
        <v>335.92</v>
      </c>
      <c r="M52">
        <v>335.92</v>
      </c>
      <c r="N52">
        <v>0.1</v>
      </c>
      <c r="O52">
        <v>0.19</v>
      </c>
      <c r="P52">
        <v>0.06</v>
      </c>
      <c r="Q52">
        <v>0.1</v>
      </c>
      <c r="R52" t="s">
        <v>41</v>
      </c>
      <c r="S52">
        <v>0</v>
      </c>
      <c r="T52">
        <v>0</v>
      </c>
    </row>
    <row r="53" spans="1:20">
      <c r="A53" t="s">
        <v>40</v>
      </c>
      <c r="B53">
        <v>144821.886</v>
      </c>
      <c r="C53">
        <v>38.18</v>
      </c>
      <c r="D53">
        <v>1310.4570000000001</v>
      </c>
      <c r="E53">
        <v>2.87</v>
      </c>
      <c r="F53">
        <v>231.48</v>
      </c>
      <c r="G53">
        <v>231.48</v>
      </c>
      <c r="H53">
        <v>231.48</v>
      </c>
      <c r="I53">
        <v>231.48</v>
      </c>
      <c r="J53">
        <v>338.16</v>
      </c>
      <c r="K53">
        <v>338.16</v>
      </c>
      <c r="L53">
        <v>338.16</v>
      </c>
      <c r="M53">
        <v>338.16</v>
      </c>
      <c r="N53">
        <v>0.1</v>
      </c>
      <c r="O53">
        <v>0.19</v>
      </c>
      <c r="P53">
        <v>0.06</v>
      </c>
      <c r="Q53">
        <v>0.1</v>
      </c>
      <c r="R53" t="s">
        <v>41</v>
      </c>
      <c r="S53">
        <v>0</v>
      </c>
      <c r="T53">
        <v>0</v>
      </c>
    </row>
    <row r="54" spans="1:20">
      <c r="A54" t="s">
        <v>40</v>
      </c>
      <c r="B54">
        <v>144826.88500000001</v>
      </c>
      <c r="C54">
        <v>38.950000000000003</v>
      </c>
      <c r="D54">
        <v>1310.53</v>
      </c>
      <c r="E54">
        <v>2.87</v>
      </c>
      <c r="F54">
        <v>232.84</v>
      </c>
      <c r="G54">
        <v>232.84</v>
      </c>
      <c r="H54">
        <v>232.84</v>
      </c>
      <c r="I54">
        <v>232.84</v>
      </c>
      <c r="J54">
        <v>340.36</v>
      </c>
      <c r="K54">
        <v>340.36</v>
      </c>
      <c r="L54">
        <v>340.36</v>
      </c>
      <c r="M54">
        <v>340.36</v>
      </c>
      <c r="N54">
        <v>0.09</v>
      </c>
      <c r="O54">
        <v>0.19</v>
      </c>
      <c r="P54">
        <v>0.06</v>
      </c>
      <c r="Q54">
        <v>0.1</v>
      </c>
      <c r="R54" t="s">
        <v>41</v>
      </c>
      <c r="S54">
        <v>0</v>
      </c>
      <c r="T54">
        <v>0</v>
      </c>
    </row>
    <row r="55" spans="1:20">
      <c r="A55" t="s">
        <v>40</v>
      </c>
      <c r="B55">
        <v>144831.88500000001</v>
      </c>
      <c r="C55">
        <v>39.700000000000003</v>
      </c>
      <c r="D55">
        <v>1310.597</v>
      </c>
      <c r="E55">
        <v>2.86</v>
      </c>
      <c r="F55">
        <v>234.6</v>
      </c>
      <c r="G55">
        <v>234.6</v>
      </c>
      <c r="H55">
        <v>234.6</v>
      </c>
      <c r="I55">
        <v>234.6</v>
      </c>
      <c r="J55">
        <v>343</v>
      </c>
      <c r="K55">
        <v>343</v>
      </c>
      <c r="L55">
        <v>343</v>
      </c>
      <c r="M55">
        <v>343</v>
      </c>
      <c r="N55">
        <v>0.09</v>
      </c>
      <c r="O55">
        <v>0.19</v>
      </c>
      <c r="P55">
        <v>0.06</v>
      </c>
      <c r="Q55">
        <v>0.1</v>
      </c>
      <c r="R55" t="s">
        <v>41</v>
      </c>
      <c r="S55">
        <v>0</v>
      </c>
      <c r="T55">
        <v>0</v>
      </c>
    </row>
    <row r="56" spans="1:20">
      <c r="A56" t="s">
        <v>40</v>
      </c>
      <c r="B56">
        <v>144836.88800000001</v>
      </c>
      <c r="C56">
        <v>40.44</v>
      </c>
      <c r="D56">
        <v>1310.672</v>
      </c>
      <c r="E56">
        <v>2.85</v>
      </c>
      <c r="F56">
        <v>236.24</v>
      </c>
      <c r="G56">
        <v>236.24</v>
      </c>
      <c r="H56">
        <v>236.24</v>
      </c>
      <c r="I56">
        <v>236.24</v>
      </c>
      <c r="J56">
        <v>345.6</v>
      </c>
      <c r="K56">
        <v>345.6</v>
      </c>
      <c r="L56">
        <v>345.6</v>
      </c>
      <c r="M56">
        <v>345.6</v>
      </c>
      <c r="N56">
        <v>0.1</v>
      </c>
      <c r="O56">
        <v>0.19</v>
      </c>
      <c r="P56">
        <v>0.06</v>
      </c>
      <c r="Q56">
        <v>0.1</v>
      </c>
      <c r="R56" t="s">
        <v>41</v>
      </c>
      <c r="S56">
        <v>0</v>
      </c>
      <c r="T56">
        <v>0</v>
      </c>
    </row>
    <row r="57" spans="1:20">
      <c r="A57" t="s">
        <v>40</v>
      </c>
      <c r="B57">
        <v>144841.88500000001</v>
      </c>
      <c r="C57">
        <v>41.2</v>
      </c>
      <c r="D57">
        <v>1310.7550000000001</v>
      </c>
      <c r="E57">
        <v>2.86</v>
      </c>
      <c r="F57">
        <v>238.2</v>
      </c>
      <c r="G57">
        <v>238.2</v>
      </c>
      <c r="H57">
        <v>238.2</v>
      </c>
      <c r="I57">
        <v>238.2</v>
      </c>
      <c r="J57">
        <v>348.52</v>
      </c>
      <c r="K57">
        <v>348.52</v>
      </c>
      <c r="L57">
        <v>348.52</v>
      </c>
      <c r="M57">
        <v>348.52</v>
      </c>
      <c r="N57">
        <v>0.11</v>
      </c>
      <c r="O57">
        <v>0.19</v>
      </c>
      <c r="P57">
        <v>0.06</v>
      </c>
      <c r="Q57">
        <v>0.1</v>
      </c>
      <c r="R57" t="s">
        <v>41</v>
      </c>
      <c r="S57">
        <v>0</v>
      </c>
      <c r="T57">
        <v>0</v>
      </c>
    </row>
    <row r="58" spans="1:20">
      <c r="A58" t="s">
        <v>40</v>
      </c>
      <c r="B58">
        <v>144846.88</v>
      </c>
      <c r="C58">
        <v>41.93</v>
      </c>
      <c r="D58">
        <v>1310.8330000000001</v>
      </c>
      <c r="E58">
        <v>2.77</v>
      </c>
      <c r="F58">
        <v>240.04</v>
      </c>
      <c r="G58">
        <v>240.04</v>
      </c>
      <c r="H58">
        <v>240.04</v>
      </c>
      <c r="I58">
        <v>240.04</v>
      </c>
      <c r="J58">
        <v>351.32</v>
      </c>
      <c r="K58">
        <v>351.32</v>
      </c>
      <c r="L58">
        <v>351.32</v>
      </c>
      <c r="M58">
        <v>351.32</v>
      </c>
      <c r="N58">
        <v>0.11</v>
      </c>
      <c r="O58">
        <v>0.19</v>
      </c>
      <c r="P58">
        <v>0.06</v>
      </c>
      <c r="Q58">
        <v>0.1</v>
      </c>
      <c r="R58" t="s">
        <v>41</v>
      </c>
      <c r="S58">
        <v>0</v>
      </c>
      <c r="T58">
        <v>0</v>
      </c>
    </row>
    <row r="59" spans="1:20">
      <c r="A59" t="s">
        <v>40</v>
      </c>
      <c r="B59">
        <v>144851.88399999999</v>
      </c>
      <c r="C59">
        <v>42.69</v>
      </c>
      <c r="D59">
        <v>1310.91</v>
      </c>
      <c r="E59">
        <v>2.64</v>
      </c>
      <c r="F59">
        <v>242.2</v>
      </c>
      <c r="G59">
        <v>242.2</v>
      </c>
      <c r="H59">
        <v>242.2</v>
      </c>
      <c r="I59">
        <v>242.2</v>
      </c>
      <c r="J59">
        <v>354.4</v>
      </c>
      <c r="K59">
        <v>354.44</v>
      </c>
      <c r="L59">
        <v>354.44</v>
      </c>
      <c r="M59">
        <v>354.44</v>
      </c>
      <c r="N59">
        <v>0.1</v>
      </c>
      <c r="O59">
        <v>0.19</v>
      </c>
      <c r="P59">
        <v>0.06</v>
      </c>
      <c r="Q59">
        <v>0.1</v>
      </c>
      <c r="R59" t="s">
        <v>41</v>
      </c>
      <c r="S59">
        <v>0</v>
      </c>
      <c r="T59">
        <v>0</v>
      </c>
    </row>
    <row r="60" spans="1:20">
      <c r="A60" t="s">
        <v>40</v>
      </c>
      <c r="B60">
        <v>144856.886</v>
      </c>
      <c r="C60">
        <v>43.42</v>
      </c>
      <c r="D60">
        <v>1310.9870000000001</v>
      </c>
      <c r="E60">
        <v>2.57</v>
      </c>
      <c r="F60">
        <v>244.36</v>
      </c>
      <c r="G60">
        <v>244.36</v>
      </c>
      <c r="H60">
        <v>244.36</v>
      </c>
      <c r="I60">
        <v>244.36</v>
      </c>
      <c r="J60">
        <v>357.32</v>
      </c>
      <c r="K60">
        <v>357.32</v>
      </c>
      <c r="L60">
        <v>357.32</v>
      </c>
      <c r="M60">
        <v>357.32</v>
      </c>
      <c r="N60">
        <v>0.11</v>
      </c>
      <c r="O60">
        <v>0.19</v>
      </c>
      <c r="P60">
        <v>0.06</v>
      </c>
      <c r="Q60">
        <v>0.1</v>
      </c>
      <c r="R60" t="s">
        <v>41</v>
      </c>
      <c r="S60">
        <v>0</v>
      </c>
      <c r="T60">
        <v>0</v>
      </c>
    </row>
    <row r="61" spans="1:20">
      <c r="A61" t="s">
        <v>40</v>
      </c>
      <c r="B61">
        <v>144901.89199999999</v>
      </c>
      <c r="C61">
        <v>44.17</v>
      </c>
      <c r="D61">
        <v>1311.0650000000001</v>
      </c>
      <c r="E61">
        <v>2.56</v>
      </c>
      <c r="F61">
        <v>246.28</v>
      </c>
      <c r="G61">
        <v>246.28</v>
      </c>
      <c r="H61">
        <v>246.28</v>
      </c>
      <c r="I61">
        <v>246.28</v>
      </c>
      <c r="J61">
        <v>360.36</v>
      </c>
      <c r="K61">
        <v>360.36</v>
      </c>
      <c r="L61">
        <v>360.36</v>
      </c>
      <c r="M61">
        <v>360.36</v>
      </c>
      <c r="N61">
        <v>0.1</v>
      </c>
      <c r="O61">
        <v>0.19</v>
      </c>
      <c r="P61">
        <v>0.06</v>
      </c>
      <c r="Q61">
        <v>0.1</v>
      </c>
      <c r="R61" t="s">
        <v>41</v>
      </c>
      <c r="S61">
        <v>0</v>
      </c>
      <c r="T61">
        <v>0</v>
      </c>
    </row>
    <row r="62" spans="1:20">
      <c r="A62" t="s">
        <v>40</v>
      </c>
      <c r="B62">
        <v>144906.889</v>
      </c>
      <c r="C62">
        <v>44.9</v>
      </c>
      <c r="D62">
        <v>1311.135</v>
      </c>
      <c r="E62">
        <v>2.5099999999999998</v>
      </c>
      <c r="F62">
        <v>248.72</v>
      </c>
      <c r="G62">
        <v>248.72</v>
      </c>
      <c r="H62">
        <v>248.72</v>
      </c>
      <c r="I62">
        <v>248.72</v>
      </c>
      <c r="J62">
        <v>364.04</v>
      </c>
      <c r="K62">
        <v>364.04</v>
      </c>
      <c r="L62">
        <v>364.04</v>
      </c>
      <c r="M62">
        <v>364.04</v>
      </c>
      <c r="N62">
        <v>0.1</v>
      </c>
      <c r="O62">
        <v>0.19</v>
      </c>
      <c r="P62">
        <v>0.06</v>
      </c>
      <c r="Q62">
        <v>0.1</v>
      </c>
      <c r="R62" t="s">
        <v>41</v>
      </c>
      <c r="S62">
        <v>0</v>
      </c>
      <c r="T62">
        <v>0</v>
      </c>
    </row>
    <row r="63" spans="1:20">
      <c r="A63" t="s">
        <v>40</v>
      </c>
      <c r="B63">
        <v>144911.89300000001</v>
      </c>
      <c r="C63">
        <v>45.63</v>
      </c>
      <c r="D63">
        <v>1311.221</v>
      </c>
      <c r="E63">
        <v>2.5499999999999998</v>
      </c>
      <c r="F63">
        <v>251</v>
      </c>
      <c r="G63">
        <v>251</v>
      </c>
      <c r="H63">
        <v>251</v>
      </c>
      <c r="I63">
        <v>251</v>
      </c>
      <c r="J63">
        <v>367.64</v>
      </c>
      <c r="K63">
        <v>367.64</v>
      </c>
      <c r="L63">
        <v>367.64</v>
      </c>
      <c r="M63">
        <v>367.64</v>
      </c>
      <c r="N63">
        <v>0.12</v>
      </c>
      <c r="O63">
        <v>0.19</v>
      </c>
      <c r="P63">
        <v>0.06</v>
      </c>
      <c r="Q63">
        <v>0.1</v>
      </c>
      <c r="R63" t="s">
        <v>41</v>
      </c>
      <c r="S63">
        <v>0</v>
      </c>
      <c r="T63">
        <v>0</v>
      </c>
    </row>
    <row r="64" spans="1:20">
      <c r="A64" t="s">
        <v>40</v>
      </c>
      <c r="B64">
        <v>144916.891</v>
      </c>
      <c r="C64">
        <v>46.38</v>
      </c>
      <c r="D64">
        <v>1311.3009999999999</v>
      </c>
      <c r="E64">
        <v>2.42</v>
      </c>
      <c r="F64">
        <v>253.52</v>
      </c>
      <c r="G64">
        <v>253.52</v>
      </c>
      <c r="H64">
        <v>253.52</v>
      </c>
      <c r="I64">
        <v>253.52</v>
      </c>
      <c r="J64">
        <v>371.6</v>
      </c>
      <c r="K64">
        <v>371.6</v>
      </c>
      <c r="L64">
        <v>371.6</v>
      </c>
      <c r="M64">
        <v>371.6</v>
      </c>
      <c r="N64">
        <v>0.11</v>
      </c>
      <c r="O64">
        <v>0.19</v>
      </c>
      <c r="P64">
        <v>0.06</v>
      </c>
      <c r="Q64">
        <v>0.1</v>
      </c>
      <c r="R64" t="s">
        <v>41</v>
      </c>
      <c r="S64">
        <v>0</v>
      </c>
      <c r="T64">
        <v>0</v>
      </c>
    </row>
    <row r="65" spans="1:20">
      <c r="A65" t="s">
        <v>40</v>
      </c>
      <c r="B65">
        <v>144921.89300000001</v>
      </c>
      <c r="C65">
        <v>47.11</v>
      </c>
      <c r="D65">
        <v>1311.3820000000001</v>
      </c>
      <c r="E65">
        <v>2.39</v>
      </c>
      <c r="F65">
        <v>255.72</v>
      </c>
      <c r="G65">
        <v>255.72</v>
      </c>
      <c r="H65">
        <v>255.72</v>
      </c>
      <c r="I65">
        <v>255.72</v>
      </c>
      <c r="J65">
        <v>375.68</v>
      </c>
      <c r="K65">
        <v>375.68</v>
      </c>
      <c r="L65">
        <v>375.68</v>
      </c>
      <c r="M65">
        <v>375.68</v>
      </c>
      <c r="N65">
        <v>0.11</v>
      </c>
      <c r="O65">
        <v>0.19</v>
      </c>
      <c r="P65">
        <v>0.06</v>
      </c>
      <c r="Q65">
        <v>0.1</v>
      </c>
      <c r="R65" t="s">
        <v>41</v>
      </c>
      <c r="S65">
        <v>0</v>
      </c>
      <c r="T65">
        <v>0</v>
      </c>
    </row>
    <row r="66" spans="1:20">
      <c r="A66" t="s">
        <v>40</v>
      </c>
      <c r="B66">
        <v>144926.89300000001</v>
      </c>
      <c r="C66">
        <v>47.86</v>
      </c>
      <c r="D66">
        <v>1311.463</v>
      </c>
      <c r="E66">
        <v>2.31</v>
      </c>
      <c r="F66">
        <v>258.44</v>
      </c>
      <c r="G66">
        <v>258.44</v>
      </c>
      <c r="H66">
        <v>258.44</v>
      </c>
      <c r="I66">
        <v>258.44</v>
      </c>
      <c r="J66">
        <v>380.32</v>
      </c>
      <c r="K66">
        <v>380.32</v>
      </c>
      <c r="L66">
        <v>380.32</v>
      </c>
      <c r="M66">
        <v>380.32</v>
      </c>
      <c r="N66">
        <v>0.11</v>
      </c>
      <c r="O66">
        <v>0.19</v>
      </c>
      <c r="P66">
        <v>0.06</v>
      </c>
      <c r="Q66">
        <v>0.1</v>
      </c>
      <c r="R66" t="s">
        <v>41</v>
      </c>
      <c r="S66">
        <v>0</v>
      </c>
      <c r="T66">
        <v>0</v>
      </c>
    </row>
    <row r="67" spans="1:20">
      <c r="A67" t="s">
        <v>40</v>
      </c>
      <c r="B67">
        <v>144931.891</v>
      </c>
      <c r="C67">
        <v>48.58</v>
      </c>
      <c r="D67">
        <v>1311.5360000000001</v>
      </c>
      <c r="E67">
        <v>2.2200000000000002</v>
      </c>
      <c r="F67">
        <v>261.27999999999997</v>
      </c>
      <c r="G67">
        <v>261.27999999999997</v>
      </c>
      <c r="H67">
        <v>261.27999999999997</v>
      </c>
      <c r="I67">
        <v>261.27999999999997</v>
      </c>
      <c r="J67">
        <v>385.36</v>
      </c>
      <c r="K67">
        <v>385.36</v>
      </c>
      <c r="L67">
        <v>385.36</v>
      </c>
      <c r="M67">
        <v>385.36</v>
      </c>
      <c r="N67">
        <v>0.1</v>
      </c>
      <c r="O67">
        <v>0.19</v>
      </c>
      <c r="P67">
        <v>0.06</v>
      </c>
      <c r="Q67">
        <v>0.1</v>
      </c>
      <c r="R67" t="s">
        <v>41</v>
      </c>
      <c r="S67">
        <v>0</v>
      </c>
      <c r="T67">
        <v>0</v>
      </c>
    </row>
    <row r="68" spans="1:20">
      <c r="A68" t="s">
        <v>40</v>
      </c>
      <c r="B68">
        <v>144936.89799999999</v>
      </c>
      <c r="C68">
        <v>49.33</v>
      </c>
      <c r="D68">
        <v>1311.6179999999999</v>
      </c>
      <c r="E68">
        <v>2.2000000000000002</v>
      </c>
      <c r="F68">
        <v>264.39999999999998</v>
      </c>
      <c r="G68">
        <v>264.39999999999998</v>
      </c>
      <c r="H68">
        <v>264.39999999999998</v>
      </c>
      <c r="I68">
        <v>264.39999999999998</v>
      </c>
      <c r="J68">
        <v>390.88</v>
      </c>
      <c r="K68">
        <v>390.88</v>
      </c>
      <c r="L68">
        <v>390.88</v>
      </c>
      <c r="M68">
        <v>390.88</v>
      </c>
      <c r="N68">
        <v>0.11</v>
      </c>
      <c r="O68">
        <v>0.19</v>
      </c>
      <c r="P68">
        <v>0.06</v>
      </c>
      <c r="Q68">
        <v>0.1</v>
      </c>
      <c r="R68" t="s">
        <v>41</v>
      </c>
      <c r="S68">
        <v>0</v>
      </c>
      <c r="T68">
        <v>0</v>
      </c>
    </row>
    <row r="69" spans="1:20">
      <c r="A69" t="s">
        <v>40</v>
      </c>
      <c r="B69">
        <v>144941.894</v>
      </c>
      <c r="C69">
        <v>50.06</v>
      </c>
      <c r="D69">
        <v>1311.7090000000001</v>
      </c>
      <c r="E69">
        <v>2.11</v>
      </c>
      <c r="F69">
        <v>267.76</v>
      </c>
      <c r="G69">
        <v>267.76</v>
      </c>
      <c r="H69">
        <v>267.76</v>
      </c>
      <c r="I69">
        <v>267.76</v>
      </c>
      <c r="J69">
        <v>396.44</v>
      </c>
      <c r="K69">
        <v>396.44</v>
      </c>
      <c r="L69">
        <v>396.44</v>
      </c>
      <c r="M69">
        <v>396.44</v>
      </c>
      <c r="N69">
        <v>0.12</v>
      </c>
      <c r="O69">
        <v>0.19</v>
      </c>
      <c r="P69">
        <v>0.06</v>
      </c>
      <c r="Q69">
        <v>0.1</v>
      </c>
      <c r="R69" t="s">
        <v>41</v>
      </c>
      <c r="S69">
        <v>0</v>
      </c>
      <c r="T69">
        <v>0</v>
      </c>
    </row>
    <row r="70" spans="1:20">
      <c r="A70" t="s">
        <v>40</v>
      </c>
      <c r="B70">
        <v>144946.89300000001</v>
      </c>
      <c r="C70">
        <v>50.83</v>
      </c>
      <c r="D70">
        <v>1311.7950000000001</v>
      </c>
      <c r="E70">
        <v>2.02</v>
      </c>
      <c r="F70">
        <v>270.95999999999998</v>
      </c>
      <c r="G70">
        <v>270.95999999999998</v>
      </c>
      <c r="H70">
        <v>270.95999999999998</v>
      </c>
      <c r="I70">
        <v>270.95999999999998</v>
      </c>
      <c r="J70">
        <v>399</v>
      </c>
      <c r="K70">
        <v>399</v>
      </c>
      <c r="L70">
        <v>399</v>
      </c>
      <c r="M70">
        <v>399</v>
      </c>
      <c r="N70">
        <v>0.11</v>
      </c>
      <c r="O70">
        <v>0.19</v>
      </c>
      <c r="P70">
        <v>0.06</v>
      </c>
      <c r="Q70">
        <v>0.1</v>
      </c>
      <c r="R70" t="s">
        <v>41</v>
      </c>
      <c r="S70">
        <v>0</v>
      </c>
      <c r="T70">
        <v>0</v>
      </c>
    </row>
    <row r="71" spans="1:20">
      <c r="A71" t="s">
        <v>40</v>
      </c>
      <c r="B71">
        <v>144951.9</v>
      </c>
      <c r="C71">
        <v>51.56</v>
      </c>
      <c r="D71">
        <v>1311.8810000000001</v>
      </c>
      <c r="E71">
        <v>2.02</v>
      </c>
      <c r="F71">
        <v>274.60000000000002</v>
      </c>
      <c r="G71">
        <v>274.60000000000002</v>
      </c>
      <c r="H71">
        <v>274.60000000000002</v>
      </c>
      <c r="I71">
        <v>274.60000000000002</v>
      </c>
      <c r="J71">
        <v>399</v>
      </c>
      <c r="K71">
        <v>399</v>
      </c>
      <c r="L71">
        <v>399</v>
      </c>
      <c r="M71">
        <v>399</v>
      </c>
      <c r="N71">
        <v>0.12</v>
      </c>
      <c r="O71">
        <v>0.19</v>
      </c>
      <c r="P71">
        <v>0.06</v>
      </c>
      <c r="Q71">
        <v>0.1</v>
      </c>
      <c r="R71" t="s">
        <v>41</v>
      </c>
      <c r="S71">
        <v>0</v>
      </c>
      <c r="T71">
        <v>0</v>
      </c>
    </row>
    <row r="72" spans="1:20">
      <c r="A72" t="s">
        <v>40</v>
      </c>
      <c r="B72">
        <v>144956.90700000001</v>
      </c>
      <c r="C72">
        <v>52.32</v>
      </c>
      <c r="D72">
        <v>1311.9649999999999</v>
      </c>
      <c r="E72">
        <v>1.94</v>
      </c>
      <c r="F72">
        <v>278.24</v>
      </c>
      <c r="G72">
        <v>278.24</v>
      </c>
      <c r="H72">
        <v>278.24</v>
      </c>
      <c r="I72">
        <v>278.24</v>
      </c>
      <c r="J72">
        <v>399</v>
      </c>
      <c r="K72">
        <v>399</v>
      </c>
      <c r="L72">
        <v>399</v>
      </c>
      <c r="M72">
        <v>399</v>
      </c>
      <c r="N72">
        <v>0.11</v>
      </c>
      <c r="O72">
        <v>0.19</v>
      </c>
      <c r="P72">
        <v>0.06</v>
      </c>
      <c r="Q72">
        <v>0.1</v>
      </c>
      <c r="R72" t="s">
        <v>41</v>
      </c>
      <c r="S72">
        <v>0</v>
      </c>
      <c r="T72">
        <v>0</v>
      </c>
    </row>
    <row r="73" spans="1:20">
      <c r="A73" t="s">
        <v>40</v>
      </c>
      <c r="B73">
        <v>145001.902</v>
      </c>
      <c r="C73">
        <v>53.09</v>
      </c>
      <c r="D73">
        <v>1312.0530000000001</v>
      </c>
      <c r="E73">
        <v>1.91</v>
      </c>
      <c r="F73">
        <v>282.04000000000002</v>
      </c>
      <c r="G73">
        <v>282.04000000000002</v>
      </c>
      <c r="H73">
        <v>282.04000000000002</v>
      </c>
      <c r="I73">
        <v>282.04000000000002</v>
      </c>
      <c r="J73">
        <v>399</v>
      </c>
      <c r="K73">
        <v>399</v>
      </c>
      <c r="L73">
        <v>399</v>
      </c>
      <c r="M73">
        <v>399</v>
      </c>
      <c r="N73">
        <v>0.11</v>
      </c>
      <c r="O73">
        <v>0.19</v>
      </c>
      <c r="P73">
        <v>0.06</v>
      </c>
      <c r="Q73">
        <v>0.1</v>
      </c>
      <c r="R73" t="s">
        <v>41</v>
      </c>
      <c r="S73">
        <v>0</v>
      </c>
      <c r="T73">
        <v>0</v>
      </c>
    </row>
    <row r="74" spans="1:20">
      <c r="A74" t="s">
        <v>40</v>
      </c>
      <c r="B74">
        <v>145006.90100000001</v>
      </c>
      <c r="C74">
        <v>53.84</v>
      </c>
      <c r="D74">
        <v>1312.1420000000001</v>
      </c>
      <c r="E74">
        <v>1.8</v>
      </c>
      <c r="F74">
        <v>285.95999999999998</v>
      </c>
      <c r="G74">
        <v>285.95999999999998</v>
      </c>
      <c r="H74">
        <v>285.95999999999998</v>
      </c>
      <c r="I74">
        <v>285.95999999999998</v>
      </c>
      <c r="J74">
        <v>399</v>
      </c>
      <c r="K74">
        <v>399</v>
      </c>
      <c r="L74">
        <v>399</v>
      </c>
      <c r="M74">
        <v>399</v>
      </c>
      <c r="N74">
        <v>0.12</v>
      </c>
      <c r="O74">
        <v>0.19</v>
      </c>
      <c r="P74">
        <v>0.06</v>
      </c>
      <c r="Q74">
        <v>0.1</v>
      </c>
      <c r="R74" t="s">
        <v>41</v>
      </c>
      <c r="S74">
        <v>0</v>
      </c>
      <c r="T74">
        <v>0</v>
      </c>
    </row>
    <row r="75" spans="1:20">
      <c r="A75" t="s">
        <v>40</v>
      </c>
      <c r="B75">
        <v>145011.90299999999</v>
      </c>
      <c r="C75">
        <v>54.6</v>
      </c>
      <c r="D75">
        <v>1312.229</v>
      </c>
      <c r="E75">
        <v>1.7</v>
      </c>
      <c r="F75">
        <v>290.16000000000003</v>
      </c>
      <c r="G75">
        <v>290.16000000000003</v>
      </c>
      <c r="H75">
        <v>290.16000000000003</v>
      </c>
      <c r="I75">
        <v>290.16000000000003</v>
      </c>
      <c r="J75">
        <v>399</v>
      </c>
      <c r="K75">
        <v>399</v>
      </c>
      <c r="L75">
        <v>399</v>
      </c>
      <c r="M75">
        <v>399</v>
      </c>
      <c r="N75">
        <v>0.11</v>
      </c>
      <c r="O75">
        <v>0.19</v>
      </c>
      <c r="P75">
        <v>0.06</v>
      </c>
      <c r="Q75">
        <v>0.1</v>
      </c>
      <c r="R75" t="s">
        <v>41</v>
      </c>
      <c r="S75">
        <v>0</v>
      </c>
      <c r="T75">
        <v>0</v>
      </c>
    </row>
    <row r="76" spans="1:20">
      <c r="A76" t="s">
        <v>40</v>
      </c>
      <c r="B76">
        <v>145016.908</v>
      </c>
      <c r="C76">
        <v>55.33</v>
      </c>
      <c r="D76">
        <v>1312.32</v>
      </c>
      <c r="E76">
        <v>1.67</v>
      </c>
      <c r="F76">
        <v>294.64</v>
      </c>
      <c r="G76">
        <v>294.64</v>
      </c>
      <c r="H76">
        <v>294.64</v>
      </c>
      <c r="I76">
        <v>294.64</v>
      </c>
      <c r="J76">
        <v>399</v>
      </c>
      <c r="K76">
        <v>399</v>
      </c>
      <c r="L76">
        <v>399</v>
      </c>
      <c r="M76">
        <v>399</v>
      </c>
      <c r="N76">
        <v>0.12</v>
      </c>
      <c r="O76">
        <v>0.19</v>
      </c>
      <c r="P76">
        <v>0.06</v>
      </c>
      <c r="Q76">
        <v>0.1</v>
      </c>
      <c r="R76" t="s">
        <v>41</v>
      </c>
      <c r="S76">
        <v>0</v>
      </c>
      <c r="T76">
        <v>0</v>
      </c>
    </row>
    <row r="77" spans="1:20">
      <c r="A77" t="s">
        <v>40</v>
      </c>
      <c r="B77">
        <v>145021.913</v>
      </c>
      <c r="C77">
        <v>56.08</v>
      </c>
      <c r="D77">
        <v>1312.4</v>
      </c>
      <c r="E77">
        <v>1.52</v>
      </c>
      <c r="F77">
        <v>299.12</v>
      </c>
      <c r="G77">
        <v>299.12</v>
      </c>
      <c r="H77">
        <v>299.12</v>
      </c>
      <c r="I77">
        <v>299.12</v>
      </c>
      <c r="J77">
        <v>399</v>
      </c>
      <c r="K77">
        <v>399</v>
      </c>
      <c r="L77">
        <v>399</v>
      </c>
      <c r="M77">
        <v>399</v>
      </c>
      <c r="N77">
        <v>0.11</v>
      </c>
      <c r="O77">
        <v>0.19</v>
      </c>
      <c r="P77">
        <v>0.06</v>
      </c>
      <c r="Q77">
        <v>0.1</v>
      </c>
      <c r="R77" t="s">
        <v>41</v>
      </c>
      <c r="S77">
        <v>0</v>
      </c>
      <c r="T77">
        <v>0</v>
      </c>
    </row>
    <row r="78" spans="1:20">
      <c r="A78" t="s">
        <v>40</v>
      </c>
      <c r="B78">
        <v>145026.91</v>
      </c>
      <c r="C78">
        <v>56.82</v>
      </c>
      <c r="D78">
        <v>1312.5029999999999</v>
      </c>
      <c r="E78">
        <v>1.45</v>
      </c>
      <c r="F78">
        <v>304.27999999999997</v>
      </c>
      <c r="G78">
        <v>304.27999999999997</v>
      </c>
      <c r="H78">
        <v>304.27999999999997</v>
      </c>
      <c r="I78">
        <v>304.27999999999997</v>
      </c>
      <c r="J78">
        <v>399</v>
      </c>
      <c r="K78">
        <v>399</v>
      </c>
      <c r="L78">
        <v>399</v>
      </c>
      <c r="M78">
        <v>399</v>
      </c>
      <c r="N78">
        <v>0.14000000000000001</v>
      </c>
      <c r="O78">
        <v>0.19</v>
      </c>
      <c r="P78">
        <v>0.06</v>
      </c>
      <c r="Q78">
        <v>0.1</v>
      </c>
      <c r="R78" t="s">
        <v>41</v>
      </c>
      <c r="S78">
        <v>0</v>
      </c>
      <c r="T78">
        <v>0</v>
      </c>
    </row>
    <row r="79" spans="1:20">
      <c r="A79" t="s">
        <v>40</v>
      </c>
      <c r="B79">
        <v>145031.91200000001</v>
      </c>
      <c r="C79">
        <v>57.57</v>
      </c>
      <c r="D79">
        <v>1312.598</v>
      </c>
      <c r="E79">
        <v>1.4</v>
      </c>
      <c r="F79">
        <v>309.36</v>
      </c>
      <c r="G79">
        <v>309.36</v>
      </c>
      <c r="H79">
        <v>309.36</v>
      </c>
      <c r="I79">
        <v>309.36</v>
      </c>
      <c r="J79">
        <v>399</v>
      </c>
      <c r="K79">
        <v>399</v>
      </c>
      <c r="L79">
        <v>399</v>
      </c>
      <c r="M79">
        <v>399</v>
      </c>
      <c r="N79">
        <v>0.13</v>
      </c>
      <c r="O79">
        <v>0.19</v>
      </c>
      <c r="P79">
        <v>0.06</v>
      </c>
      <c r="Q79">
        <v>0.1</v>
      </c>
      <c r="R79" t="s">
        <v>41</v>
      </c>
      <c r="S79">
        <v>0</v>
      </c>
      <c r="T79">
        <v>0</v>
      </c>
    </row>
    <row r="80" spans="1:20">
      <c r="A80" t="s">
        <v>40</v>
      </c>
      <c r="B80">
        <v>145036.921</v>
      </c>
      <c r="C80">
        <v>58.3</v>
      </c>
      <c r="D80">
        <v>1312.693</v>
      </c>
      <c r="E80">
        <v>1.33</v>
      </c>
      <c r="F80">
        <v>314.88</v>
      </c>
      <c r="G80">
        <v>314.88</v>
      </c>
      <c r="H80">
        <v>314.88</v>
      </c>
      <c r="I80">
        <v>314.88</v>
      </c>
      <c r="J80">
        <v>399</v>
      </c>
      <c r="K80">
        <v>399</v>
      </c>
      <c r="L80">
        <v>399</v>
      </c>
      <c r="M80">
        <v>399</v>
      </c>
      <c r="N80">
        <v>0.13</v>
      </c>
      <c r="O80">
        <v>0.19</v>
      </c>
      <c r="P80">
        <v>0.06</v>
      </c>
      <c r="Q80">
        <v>0.1</v>
      </c>
      <c r="R80" t="s">
        <v>41</v>
      </c>
      <c r="S80">
        <v>0</v>
      </c>
      <c r="T80">
        <v>0</v>
      </c>
    </row>
    <row r="81" spans="1:20">
      <c r="A81" t="s">
        <v>40</v>
      </c>
      <c r="B81">
        <v>145041.921</v>
      </c>
      <c r="C81">
        <v>59.05</v>
      </c>
      <c r="D81">
        <v>1312.7829999999999</v>
      </c>
      <c r="E81">
        <v>1.28</v>
      </c>
      <c r="F81">
        <v>320.88</v>
      </c>
      <c r="G81">
        <v>320.88</v>
      </c>
      <c r="H81">
        <v>320.88</v>
      </c>
      <c r="I81">
        <v>320.88</v>
      </c>
      <c r="J81">
        <v>399</v>
      </c>
      <c r="K81">
        <v>399</v>
      </c>
      <c r="L81">
        <v>399</v>
      </c>
      <c r="M81">
        <v>399</v>
      </c>
      <c r="N81">
        <v>0.12</v>
      </c>
      <c r="O81">
        <v>0.19</v>
      </c>
      <c r="P81">
        <v>0.06</v>
      </c>
      <c r="Q81">
        <v>0.1</v>
      </c>
      <c r="R81" t="s">
        <v>41</v>
      </c>
      <c r="S81">
        <v>0</v>
      </c>
      <c r="T81">
        <v>0</v>
      </c>
    </row>
    <row r="82" spans="1:20">
      <c r="A82" t="s">
        <v>40</v>
      </c>
      <c r="B82">
        <v>145046.91399999999</v>
      </c>
      <c r="C82">
        <v>59.81</v>
      </c>
      <c r="D82">
        <v>1312.8910000000001</v>
      </c>
      <c r="E82">
        <v>1.0900000000000001</v>
      </c>
      <c r="F82">
        <v>326.83999999999997</v>
      </c>
      <c r="G82">
        <v>326.83999999999997</v>
      </c>
      <c r="H82">
        <v>326.83999999999997</v>
      </c>
      <c r="I82">
        <v>326.83999999999997</v>
      </c>
      <c r="J82">
        <v>399</v>
      </c>
      <c r="K82">
        <v>399</v>
      </c>
      <c r="L82">
        <v>399</v>
      </c>
      <c r="M82">
        <v>399</v>
      </c>
      <c r="N82">
        <v>0.14000000000000001</v>
      </c>
      <c r="O82">
        <v>0.19</v>
      </c>
      <c r="P82">
        <v>0.06</v>
      </c>
      <c r="Q82">
        <v>0.1</v>
      </c>
      <c r="R82" t="s">
        <v>41</v>
      </c>
      <c r="S82">
        <v>0</v>
      </c>
      <c r="T82">
        <v>0</v>
      </c>
    </row>
    <row r="83" spans="1:20">
      <c r="A83" t="s">
        <v>40</v>
      </c>
      <c r="B83">
        <v>145051.91699999999</v>
      </c>
      <c r="C83">
        <v>60.55</v>
      </c>
      <c r="D83">
        <v>1312.9839999999999</v>
      </c>
      <c r="E83">
        <v>1.06</v>
      </c>
      <c r="F83">
        <v>333.64</v>
      </c>
      <c r="G83">
        <v>333.64</v>
      </c>
      <c r="H83">
        <v>333.64</v>
      </c>
      <c r="I83">
        <v>333.64</v>
      </c>
      <c r="J83">
        <v>399</v>
      </c>
      <c r="K83">
        <v>399</v>
      </c>
      <c r="L83">
        <v>399</v>
      </c>
      <c r="M83">
        <v>399</v>
      </c>
      <c r="N83">
        <v>0.13</v>
      </c>
      <c r="O83">
        <v>0.19</v>
      </c>
      <c r="P83">
        <v>0.06</v>
      </c>
      <c r="Q83">
        <v>0.1</v>
      </c>
      <c r="R83" t="s">
        <v>41</v>
      </c>
      <c r="S83">
        <v>0</v>
      </c>
      <c r="T83">
        <v>0</v>
      </c>
    </row>
    <row r="84" spans="1:20">
      <c r="A84" t="s">
        <v>40</v>
      </c>
      <c r="B84">
        <v>145056.913</v>
      </c>
      <c r="C84">
        <v>61.3</v>
      </c>
      <c r="D84">
        <v>1313.097</v>
      </c>
      <c r="E84">
        <v>0.98</v>
      </c>
      <c r="F84">
        <v>340.76</v>
      </c>
      <c r="G84">
        <v>340.76</v>
      </c>
      <c r="H84">
        <v>340.76</v>
      </c>
      <c r="I84">
        <v>340.76</v>
      </c>
      <c r="J84">
        <v>399</v>
      </c>
      <c r="K84">
        <v>399</v>
      </c>
      <c r="L84">
        <v>399</v>
      </c>
      <c r="M84">
        <v>399</v>
      </c>
      <c r="N84">
        <v>0.15</v>
      </c>
      <c r="O84">
        <v>0.19</v>
      </c>
      <c r="P84">
        <v>0.06</v>
      </c>
      <c r="Q84">
        <v>0.1</v>
      </c>
      <c r="R84" t="s">
        <v>41</v>
      </c>
      <c r="S84">
        <v>0</v>
      </c>
      <c r="T84">
        <v>0</v>
      </c>
    </row>
    <row r="85" spans="1:20">
      <c r="A85" t="s">
        <v>40</v>
      </c>
      <c r="B85">
        <v>145101.91699999999</v>
      </c>
      <c r="C85">
        <v>62.03</v>
      </c>
      <c r="D85">
        <v>1313.2059999999999</v>
      </c>
      <c r="E85">
        <v>0.94</v>
      </c>
      <c r="F85">
        <v>348.56</v>
      </c>
      <c r="G85">
        <v>348.56</v>
      </c>
      <c r="H85">
        <v>348.56</v>
      </c>
      <c r="I85">
        <v>348.56</v>
      </c>
      <c r="J85">
        <v>399</v>
      </c>
      <c r="K85">
        <v>399</v>
      </c>
      <c r="L85">
        <v>399</v>
      </c>
      <c r="M85">
        <v>399</v>
      </c>
      <c r="N85">
        <v>0.15</v>
      </c>
      <c r="O85">
        <v>0.19</v>
      </c>
      <c r="P85">
        <v>0.06</v>
      </c>
      <c r="Q85">
        <v>0.1</v>
      </c>
      <c r="R85" t="s">
        <v>41</v>
      </c>
      <c r="S85">
        <v>0</v>
      </c>
      <c r="T85">
        <v>0</v>
      </c>
    </row>
    <row r="86" spans="1:20">
      <c r="A86" t="s">
        <v>40</v>
      </c>
      <c r="B86">
        <v>145106.92499999999</v>
      </c>
      <c r="C86">
        <v>62.78</v>
      </c>
      <c r="D86">
        <v>1313.32</v>
      </c>
      <c r="E86">
        <v>0.81</v>
      </c>
      <c r="F86">
        <v>356.36</v>
      </c>
      <c r="G86">
        <v>356.36</v>
      </c>
      <c r="H86">
        <v>356.36</v>
      </c>
      <c r="I86">
        <v>356.36</v>
      </c>
      <c r="J86">
        <v>399</v>
      </c>
      <c r="K86">
        <v>399</v>
      </c>
      <c r="L86">
        <v>399</v>
      </c>
      <c r="M86">
        <v>399</v>
      </c>
      <c r="N86">
        <v>0.15</v>
      </c>
      <c r="O86">
        <v>0.19</v>
      </c>
      <c r="P86">
        <v>0.06</v>
      </c>
      <c r="Q86">
        <v>0.1</v>
      </c>
      <c r="R86" t="s">
        <v>41</v>
      </c>
      <c r="S86">
        <v>0</v>
      </c>
      <c r="T86">
        <v>0</v>
      </c>
    </row>
    <row r="87" spans="1:20">
      <c r="A87" t="s">
        <v>40</v>
      </c>
      <c r="B87">
        <v>145111.91399999999</v>
      </c>
      <c r="C87">
        <v>63.53</v>
      </c>
      <c r="D87">
        <v>1313.434</v>
      </c>
      <c r="E87">
        <v>0.79</v>
      </c>
      <c r="F87">
        <v>364.56</v>
      </c>
      <c r="G87">
        <v>364.56</v>
      </c>
      <c r="H87">
        <v>364.6</v>
      </c>
      <c r="I87">
        <v>364.6</v>
      </c>
      <c r="J87">
        <v>399</v>
      </c>
      <c r="K87">
        <v>399</v>
      </c>
      <c r="L87">
        <v>399</v>
      </c>
      <c r="M87">
        <v>399</v>
      </c>
      <c r="N87">
        <v>0.15</v>
      </c>
      <c r="O87">
        <v>0.19</v>
      </c>
      <c r="P87">
        <v>0.06</v>
      </c>
      <c r="Q87">
        <v>0.1</v>
      </c>
      <c r="R87" t="s">
        <v>41</v>
      </c>
      <c r="S87">
        <v>0</v>
      </c>
      <c r="T87">
        <v>0</v>
      </c>
    </row>
    <row r="88" spans="1:20">
      <c r="A88" t="s">
        <v>40</v>
      </c>
      <c r="B88">
        <v>145116.92199999999</v>
      </c>
      <c r="C88">
        <v>64.28</v>
      </c>
      <c r="D88">
        <v>1313.539</v>
      </c>
      <c r="E88">
        <v>0.59</v>
      </c>
      <c r="F88">
        <v>374</v>
      </c>
      <c r="G88">
        <v>374</v>
      </c>
      <c r="H88">
        <v>374</v>
      </c>
      <c r="I88">
        <v>374</v>
      </c>
      <c r="J88">
        <v>399</v>
      </c>
      <c r="K88">
        <v>399</v>
      </c>
      <c r="L88">
        <v>399</v>
      </c>
      <c r="M88">
        <v>399</v>
      </c>
      <c r="N88">
        <v>0.14000000000000001</v>
      </c>
      <c r="O88">
        <v>0.19</v>
      </c>
      <c r="P88">
        <v>0.06</v>
      </c>
      <c r="Q88">
        <v>0.1</v>
      </c>
      <c r="R88" t="s">
        <v>41</v>
      </c>
      <c r="S88">
        <v>0</v>
      </c>
      <c r="T88">
        <v>0</v>
      </c>
    </row>
    <row r="89" spans="1:20">
      <c r="A89" t="s">
        <v>40</v>
      </c>
      <c r="B89">
        <v>145121.92600000001</v>
      </c>
      <c r="C89">
        <v>65.010000000000005</v>
      </c>
      <c r="D89">
        <v>1313.6679999999999</v>
      </c>
      <c r="E89">
        <v>0.55000000000000004</v>
      </c>
      <c r="F89">
        <v>383.64</v>
      </c>
      <c r="G89">
        <v>383.64</v>
      </c>
      <c r="H89">
        <v>383.64</v>
      </c>
      <c r="I89">
        <v>383.64</v>
      </c>
      <c r="J89">
        <v>399</v>
      </c>
      <c r="K89">
        <v>399</v>
      </c>
      <c r="L89">
        <v>399</v>
      </c>
      <c r="M89">
        <v>399</v>
      </c>
      <c r="N89">
        <v>0.18</v>
      </c>
      <c r="O89">
        <v>0.19</v>
      </c>
      <c r="P89">
        <v>0.06</v>
      </c>
      <c r="Q89">
        <v>0.1</v>
      </c>
      <c r="R89" t="s">
        <v>41</v>
      </c>
      <c r="S89">
        <v>0</v>
      </c>
      <c r="T89">
        <v>0</v>
      </c>
    </row>
    <row r="90" spans="1:20">
      <c r="A90" t="s">
        <v>40</v>
      </c>
      <c r="B90">
        <v>145126.92600000001</v>
      </c>
      <c r="C90">
        <v>65.760000000000005</v>
      </c>
      <c r="D90">
        <v>1313.796</v>
      </c>
      <c r="E90">
        <v>0.43</v>
      </c>
      <c r="F90">
        <v>395.04</v>
      </c>
      <c r="G90">
        <v>395.04</v>
      </c>
      <c r="H90">
        <v>395.04</v>
      </c>
      <c r="I90">
        <v>395.04</v>
      </c>
      <c r="J90">
        <v>399</v>
      </c>
      <c r="K90">
        <v>399</v>
      </c>
      <c r="L90">
        <v>399</v>
      </c>
      <c r="M90">
        <v>399</v>
      </c>
      <c r="N90">
        <v>0.17</v>
      </c>
      <c r="O90">
        <v>0.19</v>
      </c>
      <c r="P90">
        <v>0.06</v>
      </c>
      <c r="Q90">
        <v>0.1</v>
      </c>
      <c r="R90" t="s">
        <v>41</v>
      </c>
      <c r="S90">
        <v>0</v>
      </c>
      <c r="T90">
        <v>0</v>
      </c>
    </row>
    <row r="91" spans="1:20">
      <c r="A91" t="s">
        <v>40</v>
      </c>
      <c r="B91">
        <v>145131.93</v>
      </c>
      <c r="C91">
        <v>66.5</v>
      </c>
      <c r="D91">
        <v>1313.931</v>
      </c>
      <c r="E91">
        <v>0.33</v>
      </c>
      <c r="F91">
        <v>399</v>
      </c>
      <c r="G91">
        <v>399</v>
      </c>
      <c r="H91">
        <v>399</v>
      </c>
      <c r="I91">
        <v>399</v>
      </c>
      <c r="J91">
        <v>399</v>
      </c>
      <c r="K91">
        <v>399</v>
      </c>
      <c r="L91">
        <v>399</v>
      </c>
      <c r="M91">
        <v>399</v>
      </c>
      <c r="N91">
        <v>0.18</v>
      </c>
      <c r="O91">
        <v>0.19</v>
      </c>
      <c r="P91">
        <v>0.06</v>
      </c>
      <c r="Q91">
        <v>0.1</v>
      </c>
      <c r="R91" t="s">
        <v>41</v>
      </c>
      <c r="S91">
        <v>0</v>
      </c>
      <c r="T91">
        <v>0</v>
      </c>
    </row>
    <row r="92" spans="1:20">
      <c r="A92" t="s">
        <v>40</v>
      </c>
      <c r="B92">
        <v>145136.929</v>
      </c>
      <c r="C92">
        <v>67.23</v>
      </c>
      <c r="D92">
        <v>1314.069</v>
      </c>
      <c r="E92">
        <v>0.14000000000000001</v>
      </c>
      <c r="F92">
        <v>399</v>
      </c>
      <c r="G92">
        <v>399</v>
      </c>
      <c r="H92">
        <v>399</v>
      </c>
      <c r="I92">
        <v>399</v>
      </c>
      <c r="J92">
        <v>399</v>
      </c>
      <c r="K92">
        <v>399</v>
      </c>
      <c r="L92">
        <v>399</v>
      </c>
      <c r="M92">
        <v>399</v>
      </c>
      <c r="N92">
        <v>0.19</v>
      </c>
      <c r="O92">
        <v>0.19</v>
      </c>
      <c r="P92">
        <v>0.06</v>
      </c>
      <c r="Q92">
        <v>0.1</v>
      </c>
      <c r="R92" t="s">
        <v>41</v>
      </c>
      <c r="S92">
        <v>0</v>
      </c>
      <c r="T92">
        <v>0</v>
      </c>
    </row>
    <row r="93" spans="1:20">
      <c r="A93" t="s">
        <v>40</v>
      </c>
      <c r="B93">
        <v>145141.93400000001</v>
      </c>
      <c r="C93">
        <v>67.959999999999994</v>
      </c>
      <c r="D93">
        <v>1314.146</v>
      </c>
      <c r="E93">
        <v>0.04</v>
      </c>
      <c r="F93">
        <v>399</v>
      </c>
      <c r="G93">
        <v>399</v>
      </c>
      <c r="H93">
        <v>399</v>
      </c>
      <c r="I93">
        <v>399</v>
      </c>
      <c r="J93">
        <v>399</v>
      </c>
      <c r="K93">
        <v>399</v>
      </c>
      <c r="L93">
        <v>399</v>
      </c>
      <c r="M93">
        <v>399</v>
      </c>
      <c r="N93">
        <v>0.11</v>
      </c>
      <c r="O93">
        <v>0.19</v>
      </c>
      <c r="P93">
        <v>0.06</v>
      </c>
      <c r="Q93">
        <v>0.1</v>
      </c>
      <c r="R93" t="s">
        <v>41</v>
      </c>
      <c r="S93">
        <v>0</v>
      </c>
      <c r="T93">
        <v>0</v>
      </c>
    </row>
    <row r="94" spans="1:20">
      <c r="A94" t="s">
        <v>40</v>
      </c>
      <c r="B94">
        <v>145146.93299999999</v>
      </c>
      <c r="C94">
        <v>68.66</v>
      </c>
      <c r="D94">
        <v>1314.213</v>
      </c>
      <c r="E94">
        <v>-0.12</v>
      </c>
      <c r="F94">
        <v>399</v>
      </c>
      <c r="G94">
        <v>399</v>
      </c>
      <c r="H94">
        <v>399</v>
      </c>
      <c r="I94">
        <v>399</v>
      </c>
      <c r="J94">
        <v>399</v>
      </c>
      <c r="K94">
        <v>399</v>
      </c>
      <c r="L94">
        <v>399</v>
      </c>
      <c r="M94">
        <v>399</v>
      </c>
      <c r="N94">
        <v>0.1</v>
      </c>
      <c r="O94">
        <v>0.19</v>
      </c>
      <c r="P94">
        <v>0.06</v>
      </c>
      <c r="Q94">
        <v>0.1</v>
      </c>
      <c r="R94" t="s">
        <v>41</v>
      </c>
      <c r="S94">
        <v>0</v>
      </c>
      <c r="T94">
        <v>0</v>
      </c>
    </row>
    <row r="95" spans="1:20">
      <c r="A95" t="s">
        <v>40</v>
      </c>
      <c r="B95">
        <v>145151.932</v>
      </c>
      <c r="C95">
        <v>69.34</v>
      </c>
      <c r="D95">
        <v>1314.287</v>
      </c>
      <c r="E95">
        <v>-0.36</v>
      </c>
      <c r="F95">
        <v>399</v>
      </c>
      <c r="G95">
        <v>399</v>
      </c>
      <c r="H95">
        <v>399</v>
      </c>
      <c r="I95">
        <v>399</v>
      </c>
      <c r="J95">
        <v>399</v>
      </c>
      <c r="K95">
        <v>399</v>
      </c>
      <c r="L95">
        <v>399</v>
      </c>
      <c r="M95">
        <v>399</v>
      </c>
      <c r="N95">
        <v>0.11</v>
      </c>
      <c r="O95">
        <v>0.19</v>
      </c>
      <c r="P95">
        <v>0.06</v>
      </c>
      <c r="Q95">
        <v>0.1</v>
      </c>
      <c r="R95" t="s">
        <v>41</v>
      </c>
      <c r="S95">
        <v>0</v>
      </c>
      <c r="T95">
        <v>0</v>
      </c>
    </row>
    <row r="96" spans="1:20">
      <c r="A96" t="s">
        <v>40</v>
      </c>
      <c r="B96">
        <v>145156.943</v>
      </c>
      <c r="C96">
        <v>69.97</v>
      </c>
      <c r="D96">
        <v>1314.367</v>
      </c>
      <c r="E96">
        <v>-0.53</v>
      </c>
      <c r="F96">
        <v>399</v>
      </c>
      <c r="G96">
        <v>399</v>
      </c>
      <c r="H96">
        <v>399</v>
      </c>
      <c r="I96">
        <v>399</v>
      </c>
      <c r="J96">
        <v>399</v>
      </c>
      <c r="K96">
        <v>399</v>
      </c>
      <c r="L96">
        <v>399</v>
      </c>
      <c r="M96">
        <v>399</v>
      </c>
      <c r="N96">
        <v>0.13</v>
      </c>
      <c r="O96">
        <v>0.19</v>
      </c>
      <c r="P96">
        <v>0.06</v>
      </c>
      <c r="Q96">
        <v>0.1</v>
      </c>
      <c r="R96" t="s">
        <v>41</v>
      </c>
      <c r="S96">
        <v>0</v>
      </c>
      <c r="T96">
        <v>0</v>
      </c>
    </row>
    <row r="97" spans="1:20">
      <c r="A97" t="s">
        <v>42</v>
      </c>
      <c r="B97">
        <v>144406.81899999999</v>
      </c>
      <c r="C97">
        <v>0.2</v>
      </c>
      <c r="D97">
        <v>1307.3889999999999</v>
      </c>
      <c r="E97">
        <v>-0.51</v>
      </c>
      <c r="F97">
        <v>271.12</v>
      </c>
      <c r="G97">
        <v>271.12</v>
      </c>
      <c r="H97">
        <v>271.12</v>
      </c>
      <c r="I97">
        <v>271.12</v>
      </c>
      <c r="J97">
        <v>352.24</v>
      </c>
      <c r="K97">
        <v>352.24</v>
      </c>
      <c r="L97">
        <v>352.24</v>
      </c>
      <c r="M97">
        <v>352.24</v>
      </c>
      <c r="N97">
        <v>7.0000000000000007E-2</v>
      </c>
      <c r="O97">
        <v>0.15</v>
      </c>
      <c r="P97">
        <v>7.0000000000000007E-2</v>
      </c>
      <c r="Q97">
        <v>0.1</v>
      </c>
      <c r="R97" t="s">
        <v>41</v>
      </c>
      <c r="S97">
        <v>0</v>
      </c>
      <c r="T97">
        <v>0</v>
      </c>
    </row>
    <row r="98" spans="1:20">
      <c r="A98" t="s">
        <v>42</v>
      </c>
      <c r="B98">
        <v>144411.823</v>
      </c>
      <c r="C98">
        <v>0.96</v>
      </c>
      <c r="D98">
        <v>1307.443</v>
      </c>
      <c r="E98">
        <v>-0.52</v>
      </c>
      <c r="F98">
        <v>269.60000000000002</v>
      </c>
      <c r="G98">
        <v>269.60000000000002</v>
      </c>
      <c r="H98">
        <v>269.60000000000002</v>
      </c>
      <c r="I98">
        <v>269.60000000000002</v>
      </c>
      <c r="J98">
        <v>351.84</v>
      </c>
      <c r="K98">
        <v>351.84</v>
      </c>
      <c r="L98">
        <v>351.84</v>
      </c>
      <c r="M98">
        <v>351.84</v>
      </c>
      <c r="N98">
        <v>7.0000000000000007E-2</v>
      </c>
      <c r="O98">
        <v>0.15</v>
      </c>
      <c r="P98">
        <v>7.0000000000000007E-2</v>
      </c>
      <c r="Q98">
        <v>0.1</v>
      </c>
      <c r="R98" t="s">
        <v>41</v>
      </c>
      <c r="S98">
        <v>0</v>
      </c>
      <c r="T98">
        <v>0</v>
      </c>
    </row>
    <row r="99" spans="1:20">
      <c r="A99" t="s">
        <v>42</v>
      </c>
      <c r="B99">
        <v>144416.82</v>
      </c>
      <c r="C99">
        <v>1.7</v>
      </c>
      <c r="D99">
        <v>1307.4970000000001</v>
      </c>
      <c r="E99">
        <v>-0.6</v>
      </c>
      <c r="F99">
        <v>267.83999999999997</v>
      </c>
      <c r="G99">
        <v>267.83999999999997</v>
      </c>
      <c r="H99">
        <v>267.83999999999997</v>
      </c>
      <c r="I99">
        <v>267.83999999999997</v>
      </c>
      <c r="J99">
        <v>351.28</v>
      </c>
      <c r="K99">
        <v>351.28</v>
      </c>
      <c r="L99">
        <v>351.28</v>
      </c>
      <c r="M99">
        <v>351.28</v>
      </c>
      <c r="N99">
        <v>7.0000000000000007E-2</v>
      </c>
      <c r="O99">
        <v>0.15</v>
      </c>
      <c r="P99">
        <v>7.0000000000000007E-2</v>
      </c>
      <c r="Q99">
        <v>0.1</v>
      </c>
      <c r="R99" t="s">
        <v>41</v>
      </c>
      <c r="S99">
        <v>0</v>
      </c>
      <c r="T99">
        <v>0</v>
      </c>
    </row>
    <row r="100" spans="1:20">
      <c r="A100" t="s">
        <v>42</v>
      </c>
      <c r="B100">
        <v>144421.82999999999</v>
      </c>
      <c r="C100">
        <v>2.4300000000000002</v>
      </c>
      <c r="D100">
        <v>1307.557</v>
      </c>
      <c r="E100">
        <v>-0.54</v>
      </c>
      <c r="F100">
        <v>265.8</v>
      </c>
      <c r="G100">
        <v>265.8</v>
      </c>
      <c r="H100">
        <v>265.8</v>
      </c>
      <c r="I100">
        <v>265.8</v>
      </c>
      <c r="J100">
        <v>350.48</v>
      </c>
      <c r="K100">
        <v>350.48</v>
      </c>
      <c r="L100">
        <v>350.48</v>
      </c>
      <c r="M100">
        <v>350.48</v>
      </c>
      <c r="N100">
        <v>0.08</v>
      </c>
      <c r="O100">
        <v>0.15</v>
      </c>
      <c r="P100">
        <v>7.0000000000000007E-2</v>
      </c>
      <c r="Q100">
        <v>0.1</v>
      </c>
      <c r="R100" t="s">
        <v>41</v>
      </c>
      <c r="S100">
        <v>0</v>
      </c>
      <c r="T100">
        <v>0</v>
      </c>
    </row>
    <row r="101" spans="1:20">
      <c r="A101" t="s">
        <v>42</v>
      </c>
      <c r="B101">
        <v>144426.82999999999</v>
      </c>
      <c r="C101">
        <v>3.16</v>
      </c>
      <c r="D101">
        <v>1307.607</v>
      </c>
      <c r="E101">
        <v>-0.54</v>
      </c>
      <c r="F101">
        <v>264</v>
      </c>
      <c r="G101">
        <v>264</v>
      </c>
      <c r="H101">
        <v>264</v>
      </c>
      <c r="I101">
        <v>264</v>
      </c>
      <c r="J101">
        <v>349.64</v>
      </c>
      <c r="K101">
        <v>349.64</v>
      </c>
      <c r="L101">
        <v>349.64</v>
      </c>
      <c r="M101">
        <v>349.64</v>
      </c>
      <c r="N101">
        <v>7.0000000000000007E-2</v>
      </c>
      <c r="O101">
        <v>0.15</v>
      </c>
      <c r="P101">
        <v>7.0000000000000007E-2</v>
      </c>
      <c r="Q101">
        <v>0.1</v>
      </c>
      <c r="R101" t="s">
        <v>41</v>
      </c>
      <c r="S101">
        <v>0</v>
      </c>
      <c r="T101">
        <v>0</v>
      </c>
    </row>
    <row r="102" spans="1:20">
      <c r="A102" t="s">
        <v>42</v>
      </c>
      <c r="B102">
        <v>144431.83100000001</v>
      </c>
      <c r="C102">
        <v>3.91</v>
      </c>
      <c r="D102">
        <v>1307.663</v>
      </c>
      <c r="E102">
        <v>-0.46</v>
      </c>
      <c r="F102">
        <v>261.8</v>
      </c>
      <c r="G102">
        <v>261.8</v>
      </c>
      <c r="H102">
        <v>261.8</v>
      </c>
      <c r="I102">
        <v>261.8</v>
      </c>
      <c r="J102">
        <v>348.64</v>
      </c>
      <c r="K102">
        <v>348.64</v>
      </c>
      <c r="L102">
        <v>348.64</v>
      </c>
      <c r="M102">
        <v>348.64</v>
      </c>
      <c r="N102">
        <v>7.0000000000000007E-2</v>
      </c>
      <c r="O102">
        <v>0.15</v>
      </c>
      <c r="P102">
        <v>7.0000000000000007E-2</v>
      </c>
      <c r="Q102">
        <v>0.1</v>
      </c>
      <c r="R102" t="s">
        <v>41</v>
      </c>
      <c r="S102">
        <v>0</v>
      </c>
      <c r="T102">
        <v>0</v>
      </c>
    </row>
    <row r="103" spans="1:20">
      <c r="A103" t="s">
        <v>42</v>
      </c>
      <c r="B103">
        <v>144436.84</v>
      </c>
      <c r="C103">
        <v>4.6399999999999997</v>
      </c>
      <c r="D103">
        <v>1307.7190000000001</v>
      </c>
      <c r="E103">
        <v>-0.52</v>
      </c>
      <c r="F103">
        <v>259.72000000000003</v>
      </c>
      <c r="G103">
        <v>259.72000000000003</v>
      </c>
      <c r="H103">
        <v>259.72000000000003</v>
      </c>
      <c r="I103">
        <v>259.72000000000003</v>
      </c>
      <c r="J103">
        <v>347.64</v>
      </c>
      <c r="K103">
        <v>347.64</v>
      </c>
      <c r="L103">
        <v>347.64</v>
      </c>
      <c r="M103">
        <v>347.64</v>
      </c>
      <c r="N103">
        <v>0.08</v>
      </c>
      <c r="O103">
        <v>0.15</v>
      </c>
      <c r="P103">
        <v>7.0000000000000007E-2</v>
      </c>
      <c r="Q103">
        <v>0.1</v>
      </c>
      <c r="R103" t="s">
        <v>41</v>
      </c>
      <c r="S103">
        <v>0</v>
      </c>
      <c r="T103">
        <v>0</v>
      </c>
    </row>
    <row r="104" spans="1:20">
      <c r="A104" t="s">
        <v>42</v>
      </c>
      <c r="B104">
        <v>144441.82999999999</v>
      </c>
      <c r="C104">
        <v>5.39</v>
      </c>
      <c r="D104">
        <v>1307.7750000000001</v>
      </c>
      <c r="E104">
        <v>-0.43</v>
      </c>
      <c r="F104">
        <v>257.64</v>
      </c>
      <c r="G104">
        <v>257.64</v>
      </c>
      <c r="H104">
        <v>257.64</v>
      </c>
      <c r="I104">
        <v>257.64</v>
      </c>
      <c r="J104">
        <v>346.6</v>
      </c>
      <c r="K104">
        <v>346.6</v>
      </c>
      <c r="L104">
        <v>346.6</v>
      </c>
      <c r="M104">
        <v>346.6</v>
      </c>
      <c r="N104">
        <v>7.0000000000000007E-2</v>
      </c>
      <c r="O104">
        <v>0.15</v>
      </c>
      <c r="P104">
        <v>7.0000000000000007E-2</v>
      </c>
      <c r="Q104">
        <v>0.1</v>
      </c>
      <c r="R104" t="s">
        <v>41</v>
      </c>
      <c r="S104">
        <v>0</v>
      </c>
      <c r="T104">
        <v>0</v>
      </c>
    </row>
    <row r="105" spans="1:20">
      <c r="A105" t="s">
        <v>42</v>
      </c>
      <c r="B105">
        <v>144446.83100000001</v>
      </c>
      <c r="C105">
        <v>6.13</v>
      </c>
      <c r="D105">
        <v>1307.8320000000001</v>
      </c>
      <c r="E105">
        <v>-0.34</v>
      </c>
      <c r="F105">
        <v>255.4</v>
      </c>
      <c r="G105">
        <v>255.4</v>
      </c>
      <c r="H105">
        <v>255.4</v>
      </c>
      <c r="I105">
        <v>255.4</v>
      </c>
      <c r="J105">
        <v>345.36</v>
      </c>
      <c r="K105">
        <v>345.36</v>
      </c>
      <c r="L105">
        <v>345.36</v>
      </c>
      <c r="M105">
        <v>345.36</v>
      </c>
      <c r="N105">
        <v>0.08</v>
      </c>
      <c r="O105">
        <v>0.15</v>
      </c>
      <c r="P105">
        <v>7.0000000000000007E-2</v>
      </c>
      <c r="Q105">
        <v>0.1</v>
      </c>
      <c r="R105" t="s">
        <v>41</v>
      </c>
      <c r="S105">
        <v>0</v>
      </c>
      <c r="T105">
        <v>0</v>
      </c>
    </row>
    <row r="106" spans="1:20">
      <c r="A106" t="s">
        <v>42</v>
      </c>
      <c r="B106">
        <v>144451.842</v>
      </c>
      <c r="C106">
        <v>6.87</v>
      </c>
      <c r="D106">
        <v>1307.8910000000001</v>
      </c>
      <c r="E106">
        <v>-0.27</v>
      </c>
      <c r="F106">
        <v>253.48</v>
      </c>
      <c r="G106">
        <v>253.48</v>
      </c>
      <c r="H106">
        <v>253.48</v>
      </c>
      <c r="I106">
        <v>253.48</v>
      </c>
      <c r="J106">
        <v>344.08</v>
      </c>
      <c r="K106">
        <v>344.08</v>
      </c>
      <c r="L106">
        <v>344.08</v>
      </c>
      <c r="M106">
        <v>344.08</v>
      </c>
      <c r="N106">
        <v>0.08</v>
      </c>
      <c r="O106">
        <v>0.15</v>
      </c>
      <c r="P106">
        <v>7.0000000000000007E-2</v>
      </c>
      <c r="Q106">
        <v>0.1</v>
      </c>
      <c r="R106" t="s">
        <v>41</v>
      </c>
      <c r="S106">
        <v>0</v>
      </c>
      <c r="T106">
        <v>0</v>
      </c>
    </row>
    <row r="107" spans="1:20">
      <c r="A107" t="s">
        <v>42</v>
      </c>
      <c r="B107">
        <v>144456.84099999999</v>
      </c>
      <c r="C107">
        <v>7.63</v>
      </c>
      <c r="D107">
        <v>1307.954</v>
      </c>
      <c r="E107">
        <v>-0.31</v>
      </c>
      <c r="F107">
        <v>251.36</v>
      </c>
      <c r="G107">
        <v>251.36</v>
      </c>
      <c r="H107">
        <v>251.36</v>
      </c>
      <c r="I107">
        <v>251.36</v>
      </c>
      <c r="J107">
        <v>342.72</v>
      </c>
      <c r="K107">
        <v>342.72</v>
      </c>
      <c r="L107">
        <v>342.72</v>
      </c>
      <c r="M107">
        <v>342.72</v>
      </c>
      <c r="N107">
        <v>0.08</v>
      </c>
      <c r="O107">
        <v>0.15</v>
      </c>
      <c r="P107">
        <v>7.0000000000000007E-2</v>
      </c>
      <c r="Q107">
        <v>0.1</v>
      </c>
      <c r="R107" t="s">
        <v>41</v>
      </c>
      <c r="S107">
        <v>0</v>
      </c>
      <c r="T107">
        <v>0</v>
      </c>
    </row>
    <row r="108" spans="1:20">
      <c r="A108" t="s">
        <v>42</v>
      </c>
      <c r="B108">
        <v>144501.83900000001</v>
      </c>
      <c r="C108">
        <v>8.36</v>
      </c>
      <c r="D108">
        <v>1308.0129999999999</v>
      </c>
      <c r="E108">
        <v>-0.33</v>
      </c>
      <c r="F108">
        <v>249.72</v>
      </c>
      <c r="G108">
        <v>249.72</v>
      </c>
      <c r="H108">
        <v>249.72</v>
      </c>
      <c r="I108">
        <v>249.72</v>
      </c>
      <c r="J108">
        <v>341.36</v>
      </c>
      <c r="K108">
        <v>341.36</v>
      </c>
      <c r="L108">
        <v>341.36</v>
      </c>
      <c r="M108">
        <v>341.36</v>
      </c>
      <c r="N108">
        <v>0.08</v>
      </c>
      <c r="O108">
        <v>0.15</v>
      </c>
      <c r="P108">
        <v>7.0000000000000007E-2</v>
      </c>
      <c r="Q108">
        <v>0.1</v>
      </c>
      <c r="R108" t="s">
        <v>41</v>
      </c>
      <c r="S108">
        <v>0</v>
      </c>
      <c r="T108">
        <v>0</v>
      </c>
    </row>
    <row r="109" spans="1:20">
      <c r="A109" t="s">
        <v>42</v>
      </c>
      <c r="B109">
        <v>144506.84599999999</v>
      </c>
      <c r="C109">
        <v>9.1199999999999992</v>
      </c>
      <c r="D109">
        <v>1308.0640000000001</v>
      </c>
      <c r="E109">
        <v>-0.28000000000000003</v>
      </c>
      <c r="F109">
        <v>247.68</v>
      </c>
      <c r="G109">
        <v>247.68</v>
      </c>
      <c r="H109">
        <v>247.68</v>
      </c>
      <c r="I109">
        <v>247.68</v>
      </c>
      <c r="J109">
        <v>339.88</v>
      </c>
      <c r="K109">
        <v>339.88</v>
      </c>
      <c r="L109">
        <v>339.88</v>
      </c>
      <c r="M109">
        <v>339.88</v>
      </c>
      <c r="N109">
        <v>7.0000000000000007E-2</v>
      </c>
      <c r="O109">
        <v>0.15</v>
      </c>
      <c r="P109">
        <v>7.0000000000000007E-2</v>
      </c>
      <c r="Q109">
        <v>0.1</v>
      </c>
      <c r="R109" t="s">
        <v>41</v>
      </c>
      <c r="S109">
        <v>0</v>
      </c>
      <c r="T109">
        <v>0</v>
      </c>
    </row>
    <row r="110" spans="1:20">
      <c r="A110" t="s">
        <v>42</v>
      </c>
      <c r="B110">
        <v>144511.84</v>
      </c>
      <c r="C110">
        <v>9.85</v>
      </c>
      <c r="D110">
        <v>1308.1220000000001</v>
      </c>
      <c r="E110">
        <v>-0.21</v>
      </c>
      <c r="F110">
        <v>246.04</v>
      </c>
      <c r="G110">
        <v>246.04</v>
      </c>
      <c r="H110">
        <v>246.04</v>
      </c>
      <c r="I110">
        <v>246.04</v>
      </c>
      <c r="J110">
        <v>338.36</v>
      </c>
      <c r="K110">
        <v>338.36</v>
      </c>
      <c r="L110">
        <v>338.36</v>
      </c>
      <c r="M110">
        <v>338.36</v>
      </c>
      <c r="N110">
        <v>0.08</v>
      </c>
      <c r="O110">
        <v>0.15</v>
      </c>
      <c r="P110">
        <v>7.0000000000000007E-2</v>
      </c>
      <c r="Q110">
        <v>0.1</v>
      </c>
      <c r="R110" t="s">
        <v>41</v>
      </c>
      <c r="S110">
        <v>0</v>
      </c>
      <c r="T110">
        <v>0</v>
      </c>
    </row>
    <row r="111" spans="1:20">
      <c r="A111" t="s">
        <v>42</v>
      </c>
      <c r="B111">
        <v>144516.84400000001</v>
      </c>
      <c r="C111">
        <v>10.61</v>
      </c>
      <c r="D111">
        <v>1308.181</v>
      </c>
      <c r="E111">
        <v>-0.15</v>
      </c>
      <c r="F111">
        <v>244.28</v>
      </c>
      <c r="G111">
        <v>244.28</v>
      </c>
      <c r="H111">
        <v>244.28</v>
      </c>
      <c r="I111">
        <v>244.28</v>
      </c>
      <c r="J111">
        <v>336.8</v>
      </c>
      <c r="K111">
        <v>336.8</v>
      </c>
      <c r="L111">
        <v>336.8</v>
      </c>
      <c r="M111">
        <v>336.8</v>
      </c>
      <c r="N111">
        <v>0.08</v>
      </c>
      <c r="O111">
        <v>0.15</v>
      </c>
      <c r="P111">
        <v>7.0000000000000007E-2</v>
      </c>
      <c r="Q111">
        <v>0.1</v>
      </c>
      <c r="R111" t="s">
        <v>41</v>
      </c>
      <c r="S111">
        <v>0</v>
      </c>
      <c r="T111">
        <v>0</v>
      </c>
    </row>
    <row r="112" spans="1:20">
      <c r="A112" t="s">
        <v>42</v>
      </c>
      <c r="B112">
        <v>144521.84099999999</v>
      </c>
      <c r="C112">
        <v>11.33</v>
      </c>
      <c r="D112">
        <v>1308.239</v>
      </c>
      <c r="E112">
        <v>-0.12</v>
      </c>
      <c r="F112">
        <v>242.4</v>
      </c>
      <c r="G112">
        <v>242.4</v>
      </c>
      <c r="H112">
        <v>242.4</v>
      </c>
      <c r="I112">
        <v>242.4</v>
      </c>
      <c r="J112">
        <v>335.44</v>
      </c>
      <c r="K112">
        <v>335.44</v>
      </c>
      <c r="L112">
        <v>335.44</v>
      </c>
      <c r="M112">
        <v>335.44</v>
      </c>
      <c r="N112">
        <v>0.08</v>
      </c>
      <c r="O112">
        <v>0.15</v>
      </c>
      <c r="P112">
        <v>7.0000000000000007E-2</v>
      </c>
      <c r="Q112">
        <v>0.1</v>
      </c>
      <c r="R112" t="s">
        <v>41</v>
      </c>
      <c r="S112">
        <v>0</v>
      </c>
      <c r="T112">
        <v>0</v>
      </c>
    </row>
    <row r="113" spans="1:20">
      <c r="A113" t="s">
        <v>42</v>
      </c>
      <c r="B113">
        <v>144526.84700000001</v>
      </c>
      <c r="C113">
        <v>12.06</v>
      </c>
      <c r="D113">
        <v>1308.298</v>
      </c>
      <c r="E113">
        <v>-0.1</v>
      </c>
      <c r="F113">
        <v>240.96</v>
      </c>
      <c r="G113">
        <v>240.96</v>
      </c>
      <c r="H113">
        <v>240.96</v>
      </c>
      <c r="I113">
        <v>240.96</v>
      </c>
      <c r="J113">
        <v>334.04</v>
      </c>
      <c r="K113">
        <v>334.04</v>
      </c>
      <c r="L113">
        <v>334.04</v>
      </c>
      <c r="M113">
        <v>334.04</v>
      </c>
      <c r="N113">
        <v>0.08</v>
      </c>
      <c r="O113">
        <v>0.15</v>
      </c>
      <c r="P113">
        <v>7.0000000000000007E-2</v>
      </c>
      <c r="Q113">
        <v>0.1</v>
      </c>
      <c r="R113" t="s">
        <v>41</v>
      </c>
      <c r="S113">
        <v>0</v>
      </c>
      <c r="T113">
        <v>0</v>
      </c>
    </row>
    <row r="114" spans="1:20">
      <c r="A114" t="s">
        <v>42</v>
      </c>
      <c r="B114">
        <v>144531.85</v>
      </c>
      <c r="C114">
        <v>12.8</v>
      </c>
      <c r="D114">
        <v>1308.3579999999999</v>
      </c>
      <c r="E114">
        <v>-0.05</v>
      </c>
      <c r="F114">
        <v>239.2</v>
      </c>
      <c r="G114">
        <v>239.2</v>
      </c>
      <c r="H114">
        <v>239.2</v>
      </c>
      <c r="I114">
        <v>239.2</v>
      </c>
      <c r="J114">
        <v>332.68</v>
      </c>
      <c r="K114">
        <v>332.68</v>
      </c>
      <c r="L114">
        <v>332.68</v>
      </c>
      <c r="M114">
        <v>332.64</v>
      </c>
      <c r="N114">
        <v>0.08</v>
      </c>
      <c r="O114">
        <v>0.15</v>
      </c>
      <c r="P114">
        <v>7.0000000000000007E-2</v>
      </c>
      <c r="Q114">
        <v>0.1</v>
      </c>
      <c r="R114" t="s">
        <v>41</v>
      </c>
      <c r="S114">
        <v>0</v>
      </c>
      <c r="T114">
        <v>0</v>
      </c>
    </row>
    <row r="115" spans="1:20">
      <c r="A115" t="s">
        <v>42</v>
      </c>
      <c r="B115">
        <v>144536.84899999999</v>
      </c>
      <c r="C115">
        <v>13.57</v>
      </c>
      <c r="D115">
        <v>1308.4169999999999</v>
      </c>
      <c r="E115">
        <v>-0.04</v>
      </c>
      <c r="F115">
        <v>237.68</v>
      </c>
      <c r="G115">
        <v>237.68</v>
      </c>
      <c r="H115">
        <v>237.68</v>
      </c>
      <c r="I115">
        <v>237.68</v>
      </c>
      <c r="J115">
        <v>331.4</v>
      </c>
      <c r="K115">
        <v>331.4</v>
      </c>
      <c r="L115">
        <v>331.4</v>
      </c>
      <c r="M115">
        <v>331.4</v>
      </c>
      <c r="N115">
        <v>0.08</v>
      </c>
      <c r="O115">
        <v>0.15</v>
      </c>
      <c r="P115">
        <v>7.0000000000000007E-2</v>
      </c>
      <c r="Q115">
        <v>0.1</v>
      </c>
      <c r="R115" t="s">
        <v>41</v>
      </c>
      <c r="S115">
        <v>0</v>
      </c>
      <c r="T115">
        <v>0</v>
      </c>
    </row>
    <row r="116" spans="1:20">
      <c r="A116" t="s">
        <v>42</v>
      </c>
      <c r="B116">
        <v>144541.848</v>
      </c>
      <c r="C116">
        <v>14.33</v>
      </c>
      <c r="D116">
        <v>1308.4770000000001</v>
      </c>
      <c r="E116">
        <v>-0.03</v>
      </c>
      <c r="F116">
        <v>236.08</v>
      </c>
      <c r="G116">
        <v>236.08</v>
      </c>
      <c r="H116">
        <v>236.08</v>
      </c>
      <c r="I116">
        <v>236.08</v>
      </c>
      <c r="J116">
        <v>330.16</v>
      </c>
      <c r="K116">
        <v>330.16</v>
      </c>
      <c r="L116">
        <v>330.16</v>
      </c>
      <c r="M116">
        <v>330.16</v>
      </c>
      <c r="N116">
        <v>0.08</v>
      </c>
      <c r="O116">
        <v>0.15</v>
      </c>
      <c r="P116">
        <v>7.0000000000000007E-2</v>
      </c>
      <c r="Q116">
        <v>0.1</v>
      </c>
      <c r="R116" t="s">
        <v>41</v>
      </c>
      <c r="S116">
        <v>0</v>
      </c>
      <c r="T116">
        <v>0</v>
      </c>
    </row>
    <row r="117" spans="1:20">
      <c r="A117" t="s">
        <v>42</v>
      </c>
      <c r="B117">
        <v>144546.856</v>
      </c>
      <c r="C117">
        <v>15.07</v>
      </c>
      <c r="D117">
        <v>1308.538</v>
      </c>
      <c r="E117">
        <v>-7.0000000000000007E-2</v>
      </c>
      <c r="F117">
        <v>234.68</v>
      </c>
      <c r="G117">
        <v>234.68</v>
      </c>
      <c r="H117">
        <v>234.68</v>
      </c>
      <c r="I117">
        <v>234.68</v>
      </c>
      <c r="J117">
        <v>328.96</v>
      </c>
      <c r="K117">
        <v>328.96</v>
      </c>
      <c r="L117">
        <v>328.96</v>
      </c>
      <c r="M117">
        <v>328.96</v>
      </c>
      <c r="N117">
        <v>0.08</v>
      </c>
      <c r="O117">
        <v>0.15</v>
      </c>
      <c r="P117">
        <v>7.0000000000000007E-2</v>
      </c>
      <c r="Q117">
        <v>0.1</v>
      </c>
      <c r="R117" t="s">
        <v>41</v>
      </c>
      <c r="S117">
        <v>0</v>
      </c>
      <c r="T117">
        <v>0</v>
      </c>
    </row>
    <row r="118" spans="1:20">
      <c r="A118" t="s">
        <v>42</v>
      </c>
      <c r="B118">
        <v>144551.853</v>
      </c>
      <c r="C118">
        <v>15.84</v>
      </c>
      <c r="D118">
        <v>1308.5989999999999</v>
      </c>
      <c r="E118">
        <v>-0.09</v>
      </c>
      <c r="F118">
        <v>233.32</v>
      </c>
      <c r="G118">
        <v>233.32</v>
      </c>
      <c r="H118">
        <v>233.32</v>
      </c>
      <c r="I118">
        <v>233.32</v>
      </c>
      <c r="J118">
        <v>327.8</v>
      </c>
      <c r="K118">
        <v>327.8</v>
      </c>
      <c r="L118">
        <v>327.8</v>
      </c>
      <c r="M118">
        <v>327.8</v>
      </c>
      <c r="N118">
        <v>0.08</v>
      </c>
      <c r="O118">
        <v>0.15</v>
      </c>
      <c r="P118">
        <v>7.0000000000000007E-2</v>
      </c>
      <c r="Q118">
        <v>0.1</v>
      </c>
      <c r="R118" t="s">
        <v>41</v>
      </c>
      <c r="S118">
        <v>0</v>
      </c>
      <c r="T118">
        <v>0</v>
      </c>
    </row>
    <row r="119" spans="1:20">
      <c r="A119" t="s">
        <v>42</v>
      </c>
      <c r="B119">
        <v>144556.851</v>
      </c>
      <c r="C119">
        <v>16.579999999999998</v>
      </c>
      <c r="D119">
        <v>1308.6610000000001</v>
      </c>
      <c r="E119">
        <v>-0.04</v>
      </c>
      <c r="F119">
        <v>232</v>
      </c>
      <c r="G119">
        <v>232</v>
      </c>
      <c r="H119">
        <v>232</v>
      </c>
      <c r="I119">
        <v>232</v>
      </c>
      <c r="J119">
        <v>326.72000000000003</v>
      </c>
      <c r="K119">
        <v>326.72000000000003</v>
      </c>
      <c r="L119">
        <v>326.72000000000003</v>
      </c>
      <c r="M119">
        <v>326.72000000000003</v>
      </c>
      <c r="N119">
        <v>0.08</v>
      </c>
      <c r="O119">
        <v>0.15</v>
      </c>
      <c r="P119">
        <v>7.0000000000000007E-2</v>
      </c>
      <c r="Q119">
        <v>0.1</v>
      </c>
      <c r="R119" t="s">
        <v>41</v>
      </c>
      <c r="S119">
        <v>0</v>
      </c>
      <c r="T119">
        <v>0</v>
      </c>
    </row>
    <row r="120" spans="1:20">
      <c r="A120" t="s">
        <v>42</v>
      </c>
      <c r="B120">
        <v>144601.85500000001</v>
      </c>
      <c r="C120">
        <v>17.350000000000001</v>
      </c>
      <c r="D120">
        <v>1308.729</v>
      </c>
      <c r="E120">
        <v>0.06</v>
      </c>
      <c r="F120">
        <v>230.88</v>
      </c>
      <c r="G120">
        <v>230.88</v>
      </c>
      <c r="H120">
        <v>230.88</v>
      </c>
      <c r="I120">
        <v>230.88</v>
      </c>
      <c r="J120">
        <v>325.68</v>
      </c>
      <c r="K120">
        <v>325.68</v>
      </c>
      <c r="L120">
        <v>325.68</v>
      </c>
      <c r="M120">
        <v>325.68</v>
      </c>
      <c r="N120">
        <v>0.09</v>
      </c>
      <c r="O120">
        <v>0.15</v>
      </c>
      <c r="P120">
        <v>7.0000000000000007E-2</v>
      </c>
      <c r="Q120">
        <v>0.1</v>
      </c>
      <c r="R120" t="s">
        <v>41</v>
      </c>
      <c r="S120">
        <v>0</v>
      </c>
      <c r="T120">
        <v>0</v>
      </c>
    </row>
    <row r="121" spans="1:20">
      <c r="A121" t="s">
        <v>42</v>
      </c>
      <c r="B121">
        <v>144606.85399999999</v>
      </c>
      <c r="C121">
        <v>18.079999999999998</v>
      </c>
      <c r="D121">
        <v>1308.7929999999999</v>
      </c>
      <c r="E121">
        <v>0.09</v>
      </c>
      <c r="F121">
        <v>229.76</v>
      </c>
      <c r="G121">
        <v>229.76</v>
      </c>
      <c r="H121">
        <v>229.76</v>
      </c>
      <c r="I121">
        <v>229.76</v>
      </c>
      <c r="J121">
        <v>324.76</v>
      </c>
      <c r="K121">
        <v>324.76</v>
      </c>
      <c r="L121">
        <v>324.76</v>
      </c>
      <c r="M121">
        <v>324.76</v>
      </c>
      <c r="N121">
        <v>0.09</v>
      </c>
      <c r="O121">
        <v>0.15</v>
      </c>
      <c r="P121">
        <v>7.0000000000000007E-2</v>
      </c>
      <c r="Q121">
        <v>0.1</v>
      </c>
      <c r="R121" t="s">
        <v>41</v>
      </c>
      <c r="S121">
        <v>0</v>
      </c>
      <c r="T121">
        <v>0</v>
      </c>
    </row>
    <row r="122" spans="1:20">
      <c r="A122" t="s">
        <v>42</v>
      </c>
      <c r="B122">
        <v>144611.859</v>
      </c>
      <c r="C122">
        <v>18.84</v>
      </c>
      <c r="D122">
        <v>1308.8510000000001</v>
      </c>
      <c r="E122">
        <v>0.13</v>
      </c>
      <c r="F122">
        <v>228.8</v>
      </c>
      <c r="G122">
        <v>228.8</v>
      </c>
      <c r="H122">
        <v>228.8</v>
      </c>
      <c r="I122">
        <v>228.8</v>
      </c>
      <c r="J122">
        <v>323.88</v>
      </c>
      <c r="K122">
        <v>323.88</v>
      </c>
      <c r="L122">
        <v>323.88</v>
      </c>
      <c r="M122">
        <v>323.88</v>
      </c>
      <c r="N122">
        <v>0.08</v>
      </c>
      <c r="O122">
        <v>0.15</v>
      </c>
      <c r="P122">
        <v>7.0000000000000007E-2</v>
      </c>
      <c r="Q122">
        <v>0.1</v>
      </c>
      <c r="R122" t="s">
        <v>41</v>
      </c>
      <c r="S122">
        <v>0</v>
      </c>
      <c r="T122">
        <v>0</v>
      </c>
    </row>
    <row r="123" spans="1:20">
      <c r="A123" t="s">
        <v>42</v>
      </c>
      <c r="B123">
        <v>144616.853</v>
      </c>
      <c r="C123">
        <v>19.559999999999999</v>
      </c>
      <c r="D123">
        <v>1308.921</v>
      </c>
      <c r="E123">
        <v>0.15</v>
      </c>
      <c r="F123">
        <v>227.8</v>
      </c>
      <c r="G123">
        <v>227.8</v>
      </c>
      <c r="H123">
        <v>227.8</v>
      </c>
      <c r="I123">
        <v>227.8</v>
      </c>
      <c r="J123">
        <v>323.12</v>
      </c>
      <c r="K123">
        <v>323.12</v>
      </c>
      <c r="L123">
        <v>323.12</v>
      </c>
      <c r="M123">
        <v>323.12</v>
      </c>
      <c r="N123">
        <v>0.1</v>
      </c>
      <c r="O123">
        <v>0.15</v>
      </c>
      <c r="P123">
        <v>7.0000000000000007E-2</v>
      </c>
      <c r="Q123">
        <v>0.1</v>
      </c>
      <c r="R123" t="s">
        <v>41</v>
      </c>
      <c r="S123">
        <v>0</v>
      </c>
      <c r="T123">
        <v>0</v>
      </c>
    </row>
    <row r="124" spans="1:20">
      <c r="A124" t="s">
        <v>42</v>
      </c>
      <c r="B124">
        <v>144621.856</v>
      </c>
      <c r="C124">
        <v>20.32</v>
      </c>
      <c r="D124">
        <v>1308.9860000000001</v>
      </c>
      <c r="E124">
        <v>0.13</v>
      </c>
      <c r="F124">
        <v>227</v>
      </c>
      <c r="G124">
        <v>227</v>
      </c>
      <c r="H124">
        <v>227</v>
      </c>
      <c r="I124">
        <v>227</v>
      </c>
      <c r="J124">
        <v>322.32</v>
      </c>
      <c r="K124">
        <v>322.32</v>
      </c>
      <c r="L124">
        <v>322.32</v>
      </c>
      <c r="M124">
        <v>322.32</v>
      </c>
      <c r="N124">
        <v>0.09</v>
      </c>
      <c r="O124">
        <v>0.15</v>
      </c>
      <c r="P124">
        <v>7.0000000000000007E-2</v>
      </c>
      <c r="Q124">
        <v>0.1</v>
      </c>
      <c r="R124" t="s">
        <v>41</v>
      </c>
      <c r="S124">
        <v>0</v>
      </c>
      <c r="T124">
        <v>0</v>
      </c>
    </row>
    <row r="125" spans="1:20">
      <c r="A125" t="s">
        <v>42</v>
      </c>
      <c r="B125">
        <v>144626.85800000001</v>
      </c>
      <c r="C125">
        <v>21.09</v>
      </c>
      <c r="D125">
        <v>1309.0440000000001</v>
      </c>
      <c r="E125">
        <v>0.14000000000000001</v>
      </c>
      <c r="F125">
        <v>226.16</v>
      </c>
      <c r="G125">
        <v>226.16</v>
      </c>
      <c r="H125">
        <v>226.16</v>
      </c>
      <c r="I125">
        <v>226.16</v>
      </c>
      <c r="J125">
        <v>321.8</v>
      </c>
      <c r="K125">
        <v>321.8</v>
      </c>
      <c r="L125">
        <v>321.8</v>
      </c>
      <c r="M125">
        <v>321.8</v>
      </c>
      <c r="N125">
        <v>0.08</v>
      </c>
      <c r="O125">
        <v>0.15</v>
      </c>
      <c r="P125">
        <v>7.0000000000000007E-2</v>
      </c>
      <c r="Q125">
        <v>0.1</v>
      </c>
      <c r="R125" t="s">
        <v>41</v>
      </c>
      <c r="S125">
        <v>0</v>
      </c>
      <c r="T125">
        <v>0</v>
      </c>
    </row>
    <row r="126" spans="1:20">
      <c r="A126" t="s">
        <v>42</v>
      </c>
      <c r="B126">
        <v>144631.859</v>
      </c>
      <c r="C126">
        <v>21.83</v>
      </c>
      <c r="D126">
        <v>1309.116</v>
      </c>
      <c r="E126">
        <v>0.18</v>
      </c>
      <c r="F126">
        <v>225.48</v>
      </c>
      <c r="G126">
        <v>225.48</v>
      </c>
      <c r="H126">
        <v>225.48</v>
      </c>
      <c r="I126">
        <v>225.48</v>
      </c>
      <c r="J126">
        <v>321.32</v>
      </c>
      <c r="K126">
        <v>321.32</v>
      </c>
      <c r="L126">
        <v>321.32</v>
      </c>
      <c r="M126">
        <v>321.32</v>
      </c>
      <c r="N126">
        <v>0.1</v>
      </c>
      <c r="O126">
        <v>0.15</v>
      </c>
      <c r="P126">
        <v>7.0000000000000007E-2</v>
      </c>
      <c r="Q126">
        <v>0.1</v>
      </c>
      <c r="R126" t="s">
        <v>41</v>
      </c>
      <c r="S126">
        <v>0</v>
      </c>
      <c r="T126">
        <v>0</v>
      </c>
    </row>
    <row r="127" spans="1:20">
      <c r="A127" t="s">
        <v>42</v>
      </c>
      <c r="B127">
        <v>144636.861</v>
      </c>
      <c r="C127">
        <v>22.58</v>
      </c>
      <c r="D127">
        <v>1309.175</v>
      </c>
      <c r="E127">
        <v>0.26</v>
      </c>
      <c r="F127">
        <v>224.8</v>
      </c>
      <c r="G127">
        <v>224.8</v>
      </c>
      <c r="H127">
        <v>224.8</v>
      </c>
      <c r="I127">
        <v>224.8</v>
      </c>
      <c r="J127">
        <v>320.95999999999998</v>
      </c>
      <c r="K127">
        <v>320.95999999999998</v>
      </c>
      <c r="L127">
        <v>320.95999999999998</v>
      </c>
      <c r="M127">
        <v>320.95999999999998</v>
      </c>
      <c r="N127">
        <v>0.08</v>
      </c>
      <c r="O127">
        <v>0.15</v>
      </c>
      <c r="P127">
        <v>7.0000000000000007E-2</v>
      </c>
      <c r="Q127">
        <v>0.1</v>
      </c>
      <c r="R127" t="s">
        <v>41</v>
      </c>
      <c r="S127">
        <v>0</v>
      </c>
      <c r="T127">
        <v>0</v>
      </c>
    </row>
    <row r="128" spans="1:20">
      <c r="A128" t="s">
        <v>42</v>
      </c>
      <c r="B128">
        <v>144641.861</v>
      </c>
      <c r="C128">
        <v>23.31</v>
      </c>
      <c r="D128">
        <v>1309.242</v>
      </c>
      <c r="E128">
        <v>0.37</v>
      </c>
      <c r="F128">
        <v>224.2</v>
      </c>
      <c r="G128">
        <v>224.2</v>
      </c>
      <c r="H128">
        <v>224.2</v>
      </c>
      <c r="I128">
        <v>224.2</v>
      </c>
      <c r="J128">
        <v>320.64</v>
      </c>
      <c r="K128">
        <v>320.64</v>
      </c>
      <c r="L128">
        <v>320.64</v>
      </c>
      <c r="M128">
        <v>320.64</v>
      </c>
      <c r="N128">
        <v>0.09</v>
      </c>
      <c r="O128">
        <v>0.15</v>
      </c>
      <c r="P128">
        <v>7.0000000000000007E-2</v>
      </c>
      <c r="Q128">
        <v>0.1</v>
      </c>
      <c r="R128" t="s">
        <v>41</v>
      </c>
      <c r="S128">
        <v>0</v>
      </c>
      <c r="T128">
        <v>0</v>
      </c>
    </row>
    <row r="129" spans="1:20">
      <c r="A129" t="s">
        <v>42</v>
      </c>
      <c r="B129">
        <v>144646.867</v>
      </c>
      <c r="C129">
        <v>24.04</v>
      </c>
      <c r="D129">
        <v>1309.31</v>
      </c>
      <c r="E129">
        <v>0.28999999999999998</v>
      </c>
      <c r="F129">
        <v>223.64</v>
      </c>
      <c r="G129">
        <v>223.64</v>
      </c>
      <c r="H129">
        <v>223.64</v>
      </c>
      <c r="I129">
        <v>223.64</v>
      </c>
      <c r="J129">
        <v>320.48</v>
      </c>
      <c r="K129">
        <v>320.48</v>
      </c>
      <c r="L129">
        <v>320.48</v>
      </c>
      <c r="M129">
        <v>320.48</v>
      </c>
      <c r="N129">
        <v>0.09</v>
      </c>
      <c r="O129">
        <v>0.15</v>
      </c>
      <c r="P129">
        <v>7.0000000000000007E-2</v>
      </c>
      <c r="Q129">
        <v>0.1</v>
      </c>
      <c r="R129" t="s">
        <v>41</v>
      </c>
      <c r="S129">
        <v>0</v>
      </c>
      <c r="T129">
        <v>0</v>
      </c>
    </row>
    <row r="130" spans="1:20">
      <c r="A130" t="s">
        <v>42</v>
      </c>
      <c r="B130">
        <v>144651.86499999999</v>
      </c>
      <c r="C130">
        <v>24.75</v>
      </c>
      <c r="D130">
        <v>1309.377</v>
      </c>
      <c r="E130">
        <v>0.26</v>
      </c>
      <c r="F130">
        <v>223.2</v>
      </c>
      <c r="G130">
        <v>223.2</v>
      </c>
      <c r="H130">
        <v>223.2</v>
      </c>
      <c r="I130">
        <v>223.2</v>
      </c>
      <c r="J130">
        <v>320.44</v>
      </c>
      <c r="K130">
        <v>320.44</v>
      </c>
      <c r="L130">
        <v>320.44</v>
      </c>
      <c r="M130">
        <v>320.44</v>
      </c>
      <c r="N130">
        <v>0.09</v>
      </c>
      <c r="O130">
        <v>0.15</v>
      </c>
      <c r="P130">
        <v>7.0000000000000007E-2</v>
      </c>
      <c r="Q130">
        <v>0.1</v>
      </c>
      <c r="R130" t="s">
        <v>41</v>
      </c>
      <c r="S130">
        <v>0</v>
      </c>
      <c r="T130">
        <v>0</v>
      </c>
    </row>
    <row r="131" spans="1:20">
      <c r="A131" t="s">
        <v>42</v>
      </c>
      <c r="B131">
        <v>144656.86199999999</v>
      </c>
      <c r="C131">
        <v>25.5</v>
      </c>
      <c r="D131">
        <v>1309.444</v>
      </c>
      <c r="E131">
        <v>0.15</v>
      </c>
      <c r="F131">
        <v>222.88</v>
      </c>
      <c r="G131">
        <v>222.88</v>
      </c>
      <c r="H131">
        <v>222.88</v>
      </c>
      <c r="I131">
        <v>222.88</v>
      </c>
      <c r="J131">
        <v>320.48</v>
      </c>
      <c r="K131">
        <v>320.48</v>
      </c>
      <c r="L131">
        <v>320.48</v>
      </c>
      <c r="M131">
        <v>320.48</v>
      </c>
      <c r="N131">
        <v>0.09</v>
      </c>
      <c r="O131">
        <v>0.15</v>
      </c>
      <c r="P131">
        <v>7.0000000000000007E-2</v>
      </c>
      <c r="Q131">
        <v>0.1</v>
      </c>
      <c r="R131" t="s">
        <v>41</v>
      </c>
      <c r="S131">
        <v>0</v>
      </c>
      <c r="T131">
        <v>0</v>
      </c>
    </row>
    <row r="132" spans="1:20">
      <c r="A132" t="s">
        <v>42</v>
      </c>
      <c r="B132">
        <v>144701.86799999999</v>
      </c>
      <c r="C132">
        <v>26.26</v>
      </c>
      <c r="D132">
        <v>1309.5119999999999</v>
      </c>
      <c r="E132">
        <v>0.22</v>
      </c>
      <c r="F132">
        <v>222.72</v>
      </c>
      <c r="G132">
        <v>222.72</v>
      </c>
      <c r="H132">
        <v>222.72</v>
      </c>
      <c r="I132">
        <v>222.72</v>
      </c>
      <c r="J132">
        <v>320.68</v>
      </c>
      <c r="K132">
        <v>320.68</v>
      </c>
      <c r="L132">
        <v>320.68</v>
      </c>
      <c r="M132">
        <v>320.68</v>
      </c>
      <c r="N132">
        <v>0.09</v>
      </c>
      <c r="O132">
        <v>0.15</v>
      </c>
      <c r="P132">
        <v>7.0000000000000007E-2</v>
      </c>
      <c r="Q132">
        <v>0.1</v>
      </c>
      <c r="R132" t="s">
        <v>41</v>
      </c>
      <c r="S132">
        <v>0</v>
      </c>
      <c r="T132">
        <v>0</v>
      </c>
    </row>
    <row r="133" spans="1:20">
      <c r="A133" t="s">
        <v>42</v>
      </c>
      <c r="B133">
        <v>144706.87599999999</v>
      </c>
      <c r="C133">
        <v>26.99</v>
      </c>
      <c r="D133">
        <v>1309.5809999999999</v>
      </c>
      <c r="E133">
        <v>0.32</v>
      </c>
      <c r="F133">
        <v>222.72</v>
      </c>
      <c r="G133">
        <v>222.72</v>
      </c>
      <c r="H133">
        <v>222.72</v>
      </c>
      <c r="I133">
        <v>222.72</v>
      </c>
      <c r="J133">
        <v>321</v>
      </c>
      <c r="K133">
        <v>321</v>
      </c>
      <c r="L133">
        <v>321</v>
      </c>
      <c r="M133">
        <v>321</v>
      </c>
      <c r="N133">
        <v>0.09</v>
      </c>
      <c r="O133">
        <v>0.15</v>
      </c>
      <c r="P133">
        <v>7.0000000000000007E-2</v>
      </c>
      <c r="Q133">
        <v>0.1</v>
      </c>
      <c r="R133" t="s">
        <v>41</v>
      </c>
      <c r="S133">
        <v>0</v>
      </c>
      <c r="T133">
        <v>0</v>
      </c>
    </row>
    <row r="134" spans="1:20">
      <c r="A134" t="s">
        <v>42</v>
      </c>
      <c r="B134">
        <v>144711.86799999999</v>
      </c>
      <c r="C134">
        <v>27.74</v>
      </c>
      <c r="D134">
        <v>1309.6579999999999</v>
      </c>
      <c r="E134">
        <v>0.32</v>
      </c>
      <c r="F134">
        <v>222.76</v>
      </c>
      <c r="G134">
        <v>222.76</v>
      </c>
      <c r="H134">
        <v>222.76</v>
      </c>
      <c r="I134">
        <v>222.76</v>
      </c>
      <c r="J134">
        <v>321.39999999999998</v>
      </c>
      <c r="K134">
        <v>321.39999999999998</v>
      </c>
      <c r="L134">
        <v>321.39999999999998</v>
      </c>
      <c r="M134">
        <v>321.39999999999998</v>
      </c>
      <c r="N134">
        <v>0.1</v>
      </c>
      <c r="O134">
        <v>0.15</v>
      </c>
      <c r="P134">
        <v>7.0000000000000007E-2</v>
      </c>
      <c r="Q134">
        <v>0.1</v>
      </c>
      <c r="R134" t="s">
        <v>41</v>
      </c>
      <c r="S134">
        <v>0</v>
      </c>
      <c r="T134">
        <v>0</v>
      </c>
    </row>
    <row r="135" spans="1:20">
      <c r="A135" t="s">
        <v>42</v>
      </c>
      <c r="B135">
        <v>144716.86900000001</v>
      </c>
      <c r="C135">
        <v>28.47</v>
      </c>
      <c r="D135">
        <v>1309.722</v>
      </c>
      <c r="E135">
        <v>0.28999999999999998</v>
      </c>
      <c r="F135">
        <v>222.88</v>
      </c>
      <c r="G135">
        <v>222.88</v>
      </c>
      <c r="H135">
        <v>222.88</v>
      </c>
      <c r="I135">
        <v>222.88</v>
      </c>
      <c r="J135">
        <v>321.88</v>
      </c>
      <c r="K135">
        <v>321.88</v>
      </c>
      <c r="L135">
        <v>321.88</v>
      </c>
      <c r="M135">
        <v>321.88</v>
      </c>
      <c r="N135">
        <v>0.09</v>
      </c>
      <c r="O135">
        <v>0.15</v>
      </c>
      <c r="P135">
        <v>7.0000000000000007E-2</v>
      </c>
      <c r="Q135">
        <v>0.1</v>
      </c>
      <c r="R135" t="s">
        <v>41</v>
      </c>
      <c r="S135">
        <v>0</v>
      </c>
      <c r="T135">
        <v>0</v>
      </c>
    </row>
    <row r="136" spans="1:20">
      <c r="A136" t="s">
        <v>42</v>
      </c>
      <c r="B136">
        <v>144721.87</v>
      </c>
      <c r="C136">
        <v>29.24</v>
      </c>
      <c r="D136">
        <v>1309.799</v>
      </c>
      <c r="E136">
        <v>0.33</v>
      </c>
      <c r="F136">
        <v>223.08</v>
      </c>
      <c r="G136">
        <v>223.08</v>
      </c>
      <c r="H136">
        <v>223.08</v>
      </c>
      <c r="I136">
        <v>223.08</v>
      </c>
      <c r="J136">
        <v>322.52</v>
      </c>
      <c r="K136">
        <v>322.52</v>
      </c>
      <c r="L136">
        <v>322.52</v>
      </c>
      <c r="M136">
        <v>322.52</v>
      </c>
      <c r="N136">
        <v>0.1</v>
      </c>
      <c r="O136">
        <v>0.15</v>
      </c>
      <c r="P136">
        <v>7.0000000000000007E-2</v>
      </c>
      <c r="Q136">
        <v>0.1</v>
      </c>
      <c r="R136" t="s">
        <v>41</v>
      </c>
      <c r="S136">
        <v>0</v>
      </c>
      <c r="T136">
        <v>0</v>
      </c>
    </row>
    <row r="137" spans="1:20">
      <c r="A137" t="s">
        <v>42</v>
      </c>
      <c r="B137">
        <v>144726.872</v>
      </c>
      <c r="C137">
        <v>29.97</v>
      </c>
      <c r="D137">
        <v>1309.8699999999999</v>
      </c>
      <c r="E137">
        <v>0.37</v>
      </c>
      <c r="F137">
        <v>223.4</v>
      </c>
      <c r="G137">
        <v>223.4</v>
      </c>
      <c r="H137">
        <v>223.4</v>
      </c>
      <c r="I137">
        <v>223.4</v>
      </c>
      <c r="J137">
        <v>323.16000000000003</v>
      </c>
      <c r="K137">
        <v>323.16000000000003</v>
      </c>
      <c r="L137">
        <v>323.16000000000003</v>
      </c>
      <c r="M137">
        <v>323.16000000000003</v>
      </c>
      <c r="N137">
        <v>0.1</v>
      </c>
      <c r="O137">
        <v>0.15</v>
      </c>
      <c r="P137">
        <v>7.0000000000000007E-2</v>
      </c>
      <c r="Q137">
        <v>0.1</v>
      </c>
      <c r="R137" t="s">
        <v>41</v>
      </c>
      <c r="S137">
        <v>0</v>
      </c>
      <c r="T137">
        <v>0</v>
      </c>
    </row>
    <row r="138" spans="1:20">
      <c r="A138" t="s">
        <v>42</v>
      </c>
      <c r="B138">
        <v>144731.87</v>
      </c>
      <c r="C138">
        <v>30.73</v>
      </c>
      <c r="D138">
        <v>1309.943</v>
      </c>
      <c r="E138">
        <v>0.36</v>
      </c>
      <c r="F138">
        <v>223.88</v>
      </c>
      <c r="G138">
        <v>223.88</v>
      </c>
      <c r="H138">
        <v>223.88</v>
      </c>
      <c r="I138">
        <v>223.88</v>
      </c>
      <c r="J138">
        <v>324</v>
      </c>
      <c r="K138">
        <v>324</v>
      </c>
      <c r="L138">
        <v>324</v>
      </c>
      <c r="M138">
        <v>324</v>
      </c>
      <c r="N138">
        <v>0.1</v>
      </c>
      <c r="O138">
        <v>0.15</v>
      </c>
      <c r="P138">
        <v>7.0000000000000007E-2</v>
      </c>
      <c r="Q138">
        <v>0.1</v>
      </c>
      <c r="R138" t="s">
        <v>41</v>
      </c>
      <c r="S138">
        <v>0</v>
      </c>
      <c r="T138">
        <v>0</v>
      </c>
    </row>
    <row r="139" spans="1:20">
      <c r="A139" t="s">
        <v>42</v>
      </c>
      <c r="B139">
        <v>144736.87299999999</v>
      </c>
      <c r="C139">
        <v>31.47</v>
      </c>
      <c r="D139">
        <v>1310.008</v>
      </c>
      <c r="E139">
        <v>0.33</v>
      </c>
      <c r="F139">
        <v>224.28</v>
      </c>
      <c r="G139">
        <v>224.28</v>
      </c>
      <c r="H139">
        <v>224.28</v>
      </c>
      <c r="I139">
        <v>224.28</v>
      </c>
      <c r="J139">
        <v>324.8</v>
      </c>
      <c r="K139">
        <v>324.8</v>
      </c>
      <c r="L139">
        <v>324.8</v>
      </c>
      <c r="M139">
        <v>324.8</v>
      </c>
      <c r="N139">
        <v>0.09</v>
      </c>
      <c r="O139">
        <v>0.15</v>
      </c>
      <c r="P139">
        <v>7.0000000000000007E-2</v>
      </c>
      <c r="Q139">
        <v>0.1</v>
      </c>
      <c r="R139" t="s">
        <v>41</v>
      </c>
      <c r="S139">
        <v>0</v>
      </c>
      <c r="T139">
        <v>0</v>
      </c>
    </row>
    <row r="140" spans="1:20">
      <c r="A140" t="s">
        <v>42</v>
      </c>
      <c r="B140">
        <v>144741.872</v>
      </c>
      <c r="C140">
        <v>32.22</v>
      </c>
      <c r="D140">
        <v>1310.079</v>
      </c>
      <c r="E140">
        <v>0.35</v>
      </c>
      <c r="F140">
        <v>224.84</v>
      </c>
      <c r="G140">
        <v>224.84</v>
      </c>
      <c r="H140">
        <v>224.84</v>
      </c>
      <c r="I140">
        <v>224.84</v>
      </c>
      <c r="J140">
        <v>325.72000000000003</v>
      </c>
      <c r="K140">
        <v>325.72000000000003</v>
      </c>
      <c r="L140">
        <v>325.72000000000003</v>
      </c>
      <c r="M140">
        <v>325.72000000000003</v>
      </c>
      <c r="N140">
        <v>0.09</v>
      </c>
      <c r="O140">
        <v>0.15</v>
      </c>
      <c r="P140">
        <v>7.0000000000000007E-2</v>
      </c>
      <c r="Q140">
        <v>0.1</v>
      </c>
      <c r="R140" t="s">
        <v>41</v>
      </c>
      <c r="S140">
        <v>0</v>
      </c>
      <c r="T140">
        <v>0</v>
      </c>
    </row>
    <row r="141" spans="1:20">
      <c r="A141" t="s">
        <v>42</v>
      </c>
      <c r="B141">
        <v>144746.87299999999</v>
      </c>
      <c r="C141">
        <v>32.979999999999997</v>
      </c>
      <c r="D141">
        <v>1310.152</v>
      </c>
      <c r="E141">
        <v>0.33</v>
      </c>
      <c r="F141">
        <v>225.32</v>
      </c>
      <c r="G141">
        <v>225.32</v>
      </c>
      <c r="H141">
        <v>225.32</v>
      </c>
      <c r="I141">
        <v>225.32</v>
      </c>
      <c r="J141">
        <v>326.76</v>
      </c>
      <c r="K141">
        <v>326.76</v>
      </c>
      <c r="L141">
        <v>326.76</v>
      </c>
      <c r="M141">
        <v>326.76</v>
      </c>
      <c r="N141">
        <v>0.1</v>
      </c>
      <c r="O141">
        <v>0.15</v>
      </c>
      <c r="P141">
        <v>7.0000000000000007E-2</v>
      </c>
      <c r="Q141">
        <v>0.1</v>
      </c>
      <c r="R141" t="s">
        <v>41</v>
      </c>
      <c r="S141">
        <v>0</v>
      </c>
      <c r="T141">
        <v>0</v>
      </c>
    </row>
    <row r="142" spans="1:20">
      <c r="A142" t="s">
        <v>42</v>
      </c>
      <c r="B142">
        <v>144751.87400000001</v>
      </c>
      <c r="C142">
        <v>33.729999999999997</v>
      </c>
      <c r="D142">
        <v>1310.2329999999999</v>
      </c>
      <c r="E142">
        <v>0.35</v>
      </c>
      <c r="F142">
        <v>225.92</v>
      </c>
      <c r="G142">
        <v>225.92</v>
      </c>
      <c r="H142">
        <v>225.92</v>
      </c>
      <c r="I142">
        <v>225.92</v>
      </c>
      <c r="J142">
        <v>327.84</v>
      </c>
      <c r="K142">
        <v>327.84</v>
      </c>
      <c r="L142">
        <v>327.84</v>
      </c>
      <c r="M142">
        <v>327.84</v>
      </c>
      <c r="N142">
        <v>0.11</v>
      </c>
      <c r="O142">
        <v>0.15</v>
      </c>
      <c r="P142">
        <v>7.0000000000000007E-2</v>
      </c>
      <c r="Q142">
        <v>0.1</v>
      </c>
      <c r="R142" t="s">
        <v>41</v>
      </c>
      <c r="S142">
        <v>0</v>
      </c>
      <c r="T142">
        <v>0</v>
      </c>
    </row>
    <row r="143" spans="1:20">
      <c r="A143" t="s">
        <v>42</v>
      </c>
      <c r="B143">
        <v>144756.87899999999</v>
      </c>
      <c r="C143">
        <v>34.49</v>
      </c>
      <c r="D143">
        <v>1310.308</v>
      </c>
      <c r="E143">
        <v>0.41</v>
      </c>
      <c r="F143">
        <v>226.48</v>
      </c>
      <c r="G143">
        <v>226.48</v>
      </c>
      <c r="H143">
        <v>226.48</v>
      </c>
      <c r="I143">
        <v>226.48</v>
      </c>
      <c r="J143">
        <v>329.2</v>
      </c>
      <c r="K143">
        <v>329.2</v>
      </c>
      <c r="L143">
        <v>329.2</v>
      </c>
      <c r="M143">
        <v>329.2</v>
      </c>
      <c r="N143">
        <v>0.1</v>
      </c>
      <c r="O143">
        <v>0.15</v>
      </c>
      <c r="P143">
        <v>7.0000000000000007E-2</v>
      </c>
      <c r="Q143">
        <v>0.1</v>
      </c>
      <c r="R143" t="s">
        <v>41</v>
      </c>
      <c r="S143">
        <v>0</v>
      </c>
      <c r="T143">
        <v>0</v>
      </c>
    </row>
    <row r="144" spans="1:20">
      <c r="A144" t="s">
        <v>42</v>
      </c>
      <c r="B144">
        <v>144801.87400000001</v>
      </c>
      <c r="C144">
        <v>35.22</v>
      </c>
      <c r="D144">
        <v>1310.376</v>
      </c>
      <c r="E144">
        <v>0.46</v>
      </c>
      <c r="F144">
        <v>227.32</v>
      </c>
      <c r="G144">
        <v>227.32</v>
      </c>
      <c r="H144">
        <v>227.32</v>
      </c>
      <c r="I144">
        <v>227.32</v>
      </c>
      <c r="J144">
        <v>330.6</v>
      </c>
      <c r="K144">
        <v>330.6</v>
      </c>
      <c r="L144">
        <v>330.6</v>
      </c>
      <c r="M144">
        <v>330.6</v>
      </c>
      <c r="N144">
        <v>0.09</v>
      </c>
      <c r="O144">
        <v>0.15</v>
      </c>
      <c r="P144">
        <v>7.0000000000000007E-2</v>
      </c>
      <c r="Q144">
        <v>0.1</v>
      </c>
      <c r="R144" t="s">
        <v>41</v>
      </c>
      <c r="S144">
        <v>0</v>
      </c>
      <c r="T144">
        <v>0</v>
      </c>
    </row>
    <row r="145" spans="1:20">
      <c r="A145" t="s">
        <v>42</v>
      </c>
      <c r="B145">
        <v>144806.88</v>
      </c>
      <c r="C145">
        <v>35.97</v>
      </c>
      <c r="D145">
        <v>1310.452</v>
      </c>
      <c r="E145">
        <v>0.41</v>
      </c>
      <c r="F145">
        <v>228.12</v>
      </c>
      <c r="G145">
        <v>228.12</v>
      </c>
      <c r="H145">
        <v>228.12</v>
      </c>
      <c r="I145">
        <v>228.12</v>
      </c>
      <c r="J145">
        <v>332.24</v>
      </c>
      <c r="K145">
        <v>332.24</v>
      </c>
      <c r="L145">
        <v>332.24</v>
      </c>
      <c r="M145">
        <v>332.24</v>
      </c>
      <c r="N145">
        <v>0.1</v>
      </c>
      <c r="O145">
        <v>0.15</v>
      </c>
      <c r="P145">
        <v>7.0000000000000007E-2</v>
      </c>
      <c r="Q145">
        <v>0.1</v>
      </c>
      <c r="R145" t="s">
        <v>41</v>
      </c>
      <c r="S145">
        <v>0</v>
      </c>
      <c r="T145">
        <v>0</v>
      </c>
    </row>
    <row r="146" spans="1:20">
      <c r="A146" t="s">
        <v>42</v>
      </c>
      <c r="B146">
        <v>144811.87400000001</v>
      </c>
      <c r="C146">
        <v>36.700000000000003</v>
      </c>
      <c r="D146">
        <v>1310.528</v>
      </c>
      <c r="E146">
        <v>0.35</v>
      </c>
      <c r="F146">
        <v>229</v>
      </c>
      <c r="G146">
        <v>229</v>
      </c>
      <c r="H146">
        <v>229</v>
      </c>
      <c r="I146">
        <v>229</v>
      </c>
      <c r="J146">
        <v>333.8</v>
      </c>
      <c r="K146">
        <v>333.8</v>
      </c>
      <c r="L146">
        <v>333.8</v>
      </c>
      <c r="M146">
        <v>333.8</v>
      </c>
      <c r="N146">
        <v>0.1</v>
      </c>
      <c r="O146">
        <v>0.15</v>
      </c>
      <c r="P146">
        <v>7.0000000000000007E-2</v>
      </c>
      <c r="Q146">
        <v>0.1</v>
      </c>
      <c r="R146" t="s">
        <v>41</v>
      </c>
      <c r="S146">
        <v>0</v>
      </c>
      <c r="T146">
        <v>0</v>
      </c>
    </row>
    <row r="147" spans="1:20">
      <c r="A147" t="s">
        <v>42</v>
      </c>
      <c r="B147">
        <v>144816.88099999999</v>
      </c>
      <c r="C147">
        <v>37.450000000000003</v>
      </c>
      <c r="D147">
        <v>1310.605</v>
      </c>
      <c r="E147">
        <v>0.26</v>
      </c>
      <c r="F147">
        <v>230.12</v>
      </c>
      <c r="G147">
        <v>230.12</v>
      </c>
      <c r="H147">
        <v>230.12</v>
      </c>
      <c r="I147">
        <v>230.12</v>
      </c>
      <c r="J147">
        <v>335.92</v>
      </c>
      <c r="K147">
        <v>335.92</v>
      </c>
      <c r="L147">
        <v>335.92</v>
      </c>
      <c r="M147">
        <v>335.92</v>
      </c>
      <c r="N147">
        <v>0.1</v>
      </c>
      <c r="O147">
        <v>0.15</v>
      </c>
      <c r="P147">
        <v>7.0000000000000007E-2</v>
      </c>
      <c r="Q147">
        <v>0.1</v>
      </c>
      <c r="R147" t="s">
        <v>41</v>
      </c>
      <c r="S147">
        <v>0</v>
      </c>
      <c r="T147">
        <v>0</v>
      </c>
    </row>
    <row r="148" spans="1:20">
      <c r="A148" t="s">
        <v>42</v>
      </c>
      <c r="B148">
        <v>144821.886</v>
      </c>
      <c r="C148">
        <v>38.18</v>
      </c>
      <c r="D148">
        <v>1310.683</v>
      </c>
      <c r="E148">
        <v>0.34</v>
      </c>
      <c r="F148">
        <v>231.48</v>
      </c>
      <c r="G148">
        <v>231.48</v>
      </c>
      <c r="H148">
        <v>231.48</v>
      </c>
      <c r="I148">
        <v>231.48</v>
      </c>
      <c r="J148">
        <v>338.16</v>
      </c>
      <c r="K148">
        <v>338.16</v>
      </c>
      <c r="L148">
        <v>338.16</v>
      </c>
      <c r="M148">
        <v>338.16</v>
      </c>
      <c r="N148">
        <v>0.11</v>
      </c>
      <c r="O148">
        <v>0.15</v>
      </c>
      <c r="P148">
        <v>7.0000000000000007E-2</v>
      </c>
      <c r="Q148">
        <v>0.1</v>
      </c>
      <c r="R148" t="s">
        <v>41</v>
      </c>
      <c r="S148">
        <v>0</v>
      </c>
      <c r="T148">
        <v>0</v>
      </c>
    </row>
    <row r="149" spans="1:20">
      <c r="A149" t="s">
        <v>42</v>
      </c>
      <c r="B149">
        <v>144826.88500000001</v>
      </c>
      <c r="C149">
        <v>38.950000000000003</v>
      </c>
      <c r="D149">
        <v>1310.7619999999999</v>
      </c>
      <c r="E149">
        <v>0.45</v>
      </c>
      <c r="F149">
        <v>232.84</v>
      </c>
      <c r="G149">
        <v>232.84</v>
      </c>
      <c r="H149">
        <v>232.84</v>
      </c>
      <c r="I149">
        <v>232.84</v>
      </c>
      <c r="J149">
        <v>340.36</v>
      </c>
      <c r="K149">
        <v>340.36</v>
      </c>
      <c r="L149">
        <v>340.36</v>
      </c>
      <c r="M149">
        <v>340.36</v>
      </c>
      <c r="N149">
        <v>0.1</v>
      </c>
      <c r="O149">
        <v>0.15</v>
      </c>
      <c r="P149">
        <v>7.0000000000000007E-2</v>
      </c>
      <c r="Q149">
        <v>0.1</v>
      </c>
      <c r="R149" t="s">
        <v>41</v>
      </c>
      <c r="S149">
        <v>0</v>
      </c>
      <c r="T149">
        <v>0</v>
      </c>
    </row>
    <row r="150" spans="1:20">
      <c r="A150" t="s">
        <v>42</v>
      </c>
      <c r="B150">
        <v>144831.88500000001</v>
      </c>
      <c r="C150">
        <v>39.700000000000003</v>
      </c>
      <c r="D150">
        <v>1310.8530000000001</v>
      </c>
      <c r="E150">
        <v>0.46</v>
      </c>
      <c r="F150">
        <v>234.6</v>
      </c>
      <c r="G150">
        <v>234.6</v>
      </c>
      <c r="H150">
        <v>234.6</v>
      </c>
      <c r="I150">
        <v>234.6</v>
      </c>
      <c r="J150">
        <v>343</v>
      </c>
      <c r="K150">
        <v>343</v>
      </c>
      <c r="L150">
        <v>343</v>
      </c>
      <c r="M150">
        <v>343</v>
      </c>
      <c r="N150">
        <v>0.12</v>
      </c>
      <c r="O150">
        <v>0.15</v>
      </c>
      <c r="P150">
        <v>7.0000000000000007E-2</v>
      </c>
      <c r="Q150">
        <v>0.1</v>
      </c>
      <c r="R150" t="s">
        <v>41</v>
      </c>
      <c r="S150">
        <v>0</v>
      </c>
      <c r="T150">
        <v>0</v>
      </c>
    </row>
    <row r="151" spans="1:20">
      <c r="A151" t="s">
        <v>42</v>
      </c>
      <c r="B151">
        <v>144836.88800000001</v>
      </c>
      <c r="C151">
        <v>40.44</v>
      </c>
      <c r="D151">
        <v>1310.933</v>
      </c>
      <c r="E151">
        <v>0.39</v>
      </c>
      <c r="F151">
        <v>236.24</v>
      </c>
      <c r="G151">
        <v>236.24</v>
      </c>
      <c r="H151">
        <v>236.24</v>
      </c>
      <c r="I151">
        <v>236.24</v>
      </c>
      <c r="J151">
        <v>345.6</v>
      </c>
      <c r="K151">
        <v>345.6</v>
      </c>
      <c r="L151">
        <v>345.6</v>
      </c>
      <c r="M151">
        <v>345.6</v>
      </c>
      <c r="N151">
        <v>0.11</v>
      </c>
      <c r="O151">
        <v>0.15</v>
      </c>
      <c r="P151">
        <v>7.0000000000000007E-2</v>
      </c>
      <c r="Q151">
        <v>0.1</v>
      </c>
      <c r="R151" t="s">
        <v>41</v>
      </c>
      <c r="S151">
        <v>0</v>
      </c>
      <c r="T151">
        <v>0</v>
      </c>
    </row>
    <row r="152" spans="1:20">
      <c r="A152" t="s">
        <v>42</v>
      </c>
      <c r="B152">
        <v>144841.88500000001</v>
      </c>
      <c r="C152">
        <v>41.2</v>
      </c>
      <c r="D152">
        <v>1311.008</v>
      </c>
      <c r="E152">
        <v>0.39</v>
      </c>
      <c r="F152">
        <v>238.2</v>
      </c>
      <c r="G152">
        <v>238.2</v>
      </c>
      <c r="H152">
        <v>238.2</v>
      </c>
      <c r="I152">
        <v>238.2</v>
      </c>
      <c r="J152">
        <v>348.52</v>
      </c>
      <c r="K152">
        <v>348.52</v>
      </c>
      <c r="L152">
        <v>348.52</v>
      </c>
      <c r="M152">
        <v>348.52</v>
      </c>
      <c r="N152">
        <v>0.1</v>
      </c>
      <c r="O152">
        <v>0.15</v>
      </c>
      <c r="P152">
        <v>7.0000000000000007E-2</v>
      </c>
      <c r="Q152">
        <v>0.1</v>
      </c>
      <c r="R152" t="s">
        <v>41</v>
      </c>
      <c r="S152">
        <v>0</v>
      </c>
      <c r="T152">
        <v>0</v>
      </c>
    </row>
    <row r="153" spans="1:20">
      <c r="A153" t="s">
        <v>42</v>
      </c>
      <c r="B153">
        <v>144846.88</v>
      </c>
      <c r="C153">
        <v>41.93</v>
      </c>
      <c r="D153">
        <v>1311.0909999999999</v>
      </c>
      <c r="E153">
        <v>0.35</v>
      </c>
      <c r="F153">
        <v>240.04</v>
      </c>
      <c r="G153">
        <v>240.04</v>
      </c>
      <c r="H153">
        <v>240.04</v>
      </c>
      <c r="I153">
        <v>240.04</v>
      </c>
      <c r="J153">
        <v>351.32</v>
      </c>
      <c r="K153">
        <v>351.32</v>
      </c>
      <c r="L153">
        <v>351.32</v>
      </c>
      <c r="M153">
        <v>351.32</v>
      </c>
      <c r="N153">
        <v>0.11</v>
      </c>
      <c r="O153">
        <v>0.15</v>
      </c>
      <c r="P153">
        <v>7.0000000000000007E-2</v>
      </c>
      <c r="Q153">
        <v>0.1</v>
      </c>
      <c r="R153" t="s">
        <v>41</v>
      </c>
      <c r="S153">
        <v>0</v>
      </c>
      <c r="T153">
        <v>0</v>
      </c>
    </row>
    <row r="154" spans="1:20">
      <c r="A154" t="s">
        <v>42</v>
      </c>
      <c r="B154">
        <v>144851.88399999999</v>
      </c>
      <c r="C154">
        <v>42.69</v>
      </c>
      <c r="D154">
        <v>1311.1769999999999</v>
      </c>
      <c r="E154">
        <v>0.27</v>
      </c>
      <c r="F154">
        <v>242.2</v>
      </c>
      <c r="G154">
        <v>242.2</v>
      </c>
      <c r="H154">
        <v>242.2</v>
      </c>
      <c r="I154">
        <v>242.2</v>
      </c>
      <c r="J154">
        <v>354.4</v>
      </c>
      <c r="K154">
        <v>354.44</v>
      </c>
      <c r="L154">
        <v>354.44</v>
      </c>
      <c r="M154">
        <v>354.44</v>
      </c>
      <c r="N154">
        <v>0.11</v>
      </c>
      <c r="O154">
        <v>0.15</v>
      </c>
      <c r="P154">
        <v>7.0000000000000007E-2</v>
      </c>
      <c r="Q154">
        <v>0.1</v>
      </c>
      <c r="R154" t="s">
        <v>41</v>
      </c>
      <c r="S154">
        <v>0</v>
      </c>
      <c r="T154">
        <v>0</v>
      </c>
    </row>
    <row r="155" spans="1:20">
      <c r="A155" t="s">
        <v>42</v>
      </c>
      <c r="B155">
        <v>144856.886</v>
      </c>
      <c r="C155">
        <v>43.42</v>
      </c>
      <c r="D155">
        <v>1311.2629999999999</v>
      </c>
      <c r="E155">
        <v>0.3</v>
      </c>
      <c r="F155">
        <v>244.36</v>
      </c>
      <c r="G155">
        <v>244.36</v>
      </c>
      <c r="H155">
        <v>244.36</v>
      </c>
      <c r="I155">
        <v>244.36</v>
      </c>
      <c r="J155">
        <v>357.32</v>
      </c>
      <c r="K155">
        <v>357.32</v>
      </c>
      <c r="L155">
        <v>357.32</v>
      </c>
      <c r="M155">
        <v>357.32</v>
      </c>
      <c r="N155">
        <v>0.12</v>
      </c>
      <c r="O155">
        <v>0.15</v>
      </c>
      <c r="P155">
        <v>7.0000000000000007E-2</v>
      </c>
      <c r="Q155">
        <v>0.1</v>
      </c>
      <c r="R155" t="s">
        <v>41</v>
      </c>
      <c r="S155">
        <v>0</v>
      </c>
      <c r="T155">
        <v>0</v>
      </c>
    </row>
    <row r="156" spans="1:20">
      <c r="A156" t="s">
        <v>42</v>
      </c>
      <c r="B156">
        <v>144901.89199999999</v>
      </c>
      <c r="C156">
        <v>44.17</v>
      </c>
      <c r="D156">
        <v>1311.348</v>
      </c>
      <c r="E156">
        <v>0.28000000000000003</v>
      </c>
      <c r="F156">
        <v>246.28</v>
      </c>
      <c r="G156">
        <v>246.28</v>
      </c>
      <c r="H156">
        <v>246.28</v>
      </c>
      <c r="I156">
        <v>246.28</v>
      </c>
      <c r="J156">
        <v>360.36</v>
      </c>
      <c r="K156">
        <v>360.36</v>
      </c>
      <c r="L156">
        <v>360.36</v>
      </c>
      <c r="M156">
        <v>360.36</v>
      </c>
      <c r="N156">
        <v>0.11</v>
      </c>
      <c r="O156">
        <v>0.15</v>
      </c>
      <c r="P156">
        <v>7.0000000000000007E-2</v>
      </c>
      <c r="Q156">
        <v>0.1</v>
      </c>
      <c r="R156" t="s">
        <v>41</v>
      </c>
      <c r="S156">
        <v>0</v>
      </c>
      <c r="T156">
        <v>0</v>
      </c>
    </row>
    <row r="157" spans="1:20">
      <c r="A157" t="s">
        <v>42</v>
      </c>
      <c r="B157">
        <v>144906.889</v>
      </c>
      <c r="C157">
        <v>44.9</v>
      </c>
      <c r="D157">
        <v>1311.444</v>
      </c>
      <c r="E157">
        <v>0.34</v>
      </c>
      <c r="F157">
        <v>248.72</v>
      </c>
      <c r="G157">
        <v>248.72</v>
      </c>
      <c r="H157">
        <v>248.72</v>
      </c>
      <c r="I157">
        <v>248.72</v>
      </c>
      <c r="J157">
        <v>364.04</v>
      </c>
      <c r="K157">
        <v>364.04</v>
      </c>
      <c r="L157">
        <v>364.04</v>
      </c>
      <c r="M157">
        <v>364.04</v>
      </c>
      <c r="N157">
        <v>0.13</v>
      </c>
      <c r="O157">
        <v>0.15</v>
      </c>
      <c r="P157">
        <v>7.0000000000000007E-2</v>
      </c>
      <c r="Q157">
        <v>0.1</v>
      </c>
      <c r="R157" t="s">
        <v>41</v>
      </c>
      <c r="S157">
        <v>0</v>
      </c>
      <c r="T157">
        <v>0</v>
      </c>
    </row>
    <row r="158" spans="1:20">
      <c r="A158" t="s">
        <v>42</v>
      </c>
      <c r="B158">
        <v>144911.89300000001</v>
      </c>
      <c r="C158">
        <v>45.63</v>
      </c>
      <c r="D158">
        <v>1311.5219999999999</v>
      </c>
      <c r="E158">
        <v>0.26</v>
      </c>
      <c r="F158">
        <v>251</v>
      </c>
      <c r="G158">
        <v>251</v>
      </c>
      <c r="H158">
        <v>251</v>
      </c>
      <c r="I158">
        <v>251</v>
      </c>
      <c r="J158">
        <v>367.64</v>
      </c>
      <c r="K158">
        <v>367.64</v>
      </c>
      <c r="L158">
        <v>367.64</v>
      </c>
      <c r="M158">
        <v>367.64</v>
      </c>
      <c r="N158">
        <v>0.11</v>
      </c>
      <c r="O158">
        <v>0.15</v>
      </c>
      <c r="P158">
        <v>7.0000000000000007E-2</v>
      </c>
      <c r="Q158">
        <v>0.1</v>
      </c>
      <c r="R158" t="s">
        <v>41</v>
      </c>
      <c r="S158">
        <v>0</v>
      </c>
      <c r="T158">
        <v>0</v>
      </c>
    </row>
    <row r="159" spans="1:20">
      <c r="A159" t="s">
        <v>42</v>
      </c>
      <c r="B159">
        <v>144916.891</v>
      </c>
      <c r="C159">
        <v>46.38</v>
      </c>
      <c r="D159">
        <v>1311.614</v>
      </c>
      <c r="E159">
        <v>0.32</v>
      </c>
      <c r="F159">
        <v>253.52</v>
      </c>
      <c r="G159">
        <v>253.52</v>
      </c>
      <c r="H159">
        <v>253.52</v>
      </c>
      <c r="I159">
        <v>253.52</v>
      </c>
      <c r="J159">
        <v>371.6</v>
      </c>
      <c r="K159">
        <v>371.6</v>
      </c>
      <c r="L159">
        <v>371.6</v>
      </c>
      <c r="M159">
        <v>371.6</v>
      </c>
      <c r="N159">
        <v>0.12</v>
      </c>
      <c r="O159">
        <v>0.15</v>
      </c>
      <c r="P159">
        <v>7.0000000000000007E-2</v>
      </c>
      <c r="Q159">
        <v>0.1</v>
      </c>
      <c r="R159" t="s">
        <v>41</v>
      </c>
      <c r="S159">
        <v>0</v>
      </c>
      <c r="T159">
        <v>0</v>
      </c>
    </row>
    <row r="160" spans="1:20">
      <c r="A160" t="s">
        <v>42</v>
      </c>
      <c r="B160">
        <v>144921.89300000001</v>
      </c>
      <c r="C160">
        <v>47.11</v>
      </c>
      <c r="D160">
        <v>1311.703</v>
      </c>
      <c r="E160">
        <v>0.36</v>
      </c>
      <c r="F160">
        <v>255.72</v>
      </c>
      <c r="G160">
        <v>255.72</v>
      </c>
      <c r="H160">
        <v>255.72</v>
      </c>
      <c r="I160">
        <v>255.72</v>
      </c>
      <c r="J160">
        <v>375.68</v>
      </c>
      <c r="K160">
        <v>375.68</v>
      </c>
      <c r="L160">
        <v>375.68</v>
      </c>
      <c r="M160">
        <v>375.68</v>
      </c>
      <c r="N160">
        <v>0.12</v>
      </c>
      <c r="O160">
        <v>0.15</v>
      </c>
      <c r="P160">
        <v>7.0000000000000007E-2</v>
      </c>
      <c r="Q160">
        <v>0.1</v>
      </c>
      <c r="R160" t="s">
        <v>41</v>
      </c>
      <c r="S160">
        <v>0</v>
      </c>
      <c r="T160">
        <v>0</v>
      </c>
    </row>
    <row r="161" spans="1:20">
      <c r="A161" t="s">
        <v>42</v>
      </c>
      <c r="B161">
        <v>144926.89300000001</v>
      </c>
      <c r="C161">
        <v>47.86</v>
      </c>
      <c r="D161">
        <v>1311.797</v>
      </c>
      <c r="E161">
        <v>0.28000000000000003</v>
      </c>
      <c r="F161">
        <v>258.44</v>
      </c>
      <c r="G161">
        <v>258.44</v>
      </c>
      <c r="H161">
        <v>258.44</v>
      </c>
      <c r="I161">
        <v>258.44</v>
      </c>
      <c r="J161">
        <v>380.32</v>
      </c>
      <c r="K161">
        <v>380.32</v>
      </c>
      <c r="L161">
        <v>380.32</v>
      </c>
      <c r="M161">
        <v>380.32</v>
      </c>
      <c r="N161">
        <v>0.13</v>
      </c>
      <c r="O161">
        <v>0.15</v>
      </c>
      <c r="P161">
        <v>7.0000000000000007E-2</v>
      </c>
      <c r="Q161">
        <v>0.1</v>
      </c>
      <c r="R161" t="s">
        <v>41</v>
      </c>
      <c r="S161">
        <v>0</v>
      </c>
      <c r="T161">
        <v>0</v>
      </c>
    </row>
    <row r="162" spans="1:20">
      <c r="A162" t="s">
        <v>42</v>
      </c>
      <c r="B162">
        <v>144931.891</v>
      </c>
      <c r="C162">
        <v>48.58</v>
      </c>
      <c r="D162">
        <v>1311.902</v>
      </c>
      <c r="E162">
        <v>0.25</v>
      </c>
      <c r="F162">
        <v>261.27999999999997</v>
      </c>
      <c r="G162">
        <v>261.27999999999997</v>
      </c>
      <c r="H162">
        <v>261.27999999999997</v>
      </c>
      <c r="I162">
        <v>261.27999999999997</v>
      </c>
      <c r="J162">
        <v>385.36</v>
      </c>
      <c r="K162">
        <v>385.36</v>
      </c>
      <c r="L162">
        <v>385.36</v>
      </c>
      <c r="M162">
        <v>385.36</v>
      </c>
      <c r="N162">
        <v>0.15</v>
      </c>
      <c r="O162">
        <v>0.15</v>
      </c>
      <c r="P162">
        <v>7.0000000000000007E-2</v>
      </c>
      <c r="Q162">
        <v>0.1</v>
      </c>
      <c r="R162" t="s">
        <v>41</v>
      </c>
      <c r="S162">
        <v>0</v>
      </c>
      <c r="T162">
        <v>0</v>
      </c>
    </row>
    <row r="163" spans="1:20">
      <c r="A163" t="s">
        <v>42</v>
      </c>
      <c r="B163">
        <v>144936.89799999999</v>
      </c>
      <c r="C163">
        <v>49.33</v>
      </c>
      <c r="D163">
        <v>1311.998</v>
      </c>
      <c r="E163">
        <v>0.17</v>
      </c>
      <c r="F163">
        <v>264.39999999999998</v>
      </c>
      <c r="G163">
        <v>264.39999999999998</v>
      </c>
      <c r="H163">
        <v>264.39999999999998</v>
      </c>
      <c r="I163">
        <v>264.39999999999998</v>
      </c>
      <c r="J163">
        <v>390.88</v>
      </c>
      <c r="K163">
        <v>390.88</v>
      </c>
      <c r="L163">
        <v>390.88</v>
      </c>
      <c r="M163">
        <v>390.88</v>
      </c>
      <c r="N163">
        <v>0.13</v>
      </c>
      <c r="O163">
        <v>0.15</v>
      </c>
      <c r="P163">
        <v>7.0000000000000007E-2</v>
      </c>
      <c r="Q163">
        <v>0.1</v>
      </c>
      <c r="R163" t="s">
        <v>41</v>
      </c>
      <c r="S163">
        <v>0</v>
      </c>
      <c r="T163">
        <v>0</v>
      </c>
    </row>
    <row r="164" spans="1:20">
      <c r="A164" t="s">
        <v>42</v>
      </c>
      <c r="B164">
        <v>144941.894</v>
      </c>
      <c r="C164">
        <v>50.06</v>
      </c>
      <c r="D164">
        <v>1312.09</v>
      </c>
      <c r="E164">
        <v>0.2</v>
      </c>
      <c r="F164">
        <v>267.76</v>
      </c>
      <c r="G164">
        <v>267.76</v>
      </c>
      <c r="H164">
        <v>267.76</v>
      </c>
      <c r="I164">
        <v>267.76</v>
      </c>
      <c r="J164">
        <v>396.44</v>
      </c>
      <c r="K164">
        <v>396.44</v>
      </c>
      <c r="L164">
        <v>396.44</v>
      </c>
      <c r="M164">
        <v>396.44</v>
      </c>
      <c r="N164">
        <v>0.13</v>
      </c>
      <c r="O164">
        <v>0.15</v>
      </c>
      <c r="P164">
        <v>7.0000000000000007E-2</v>
      </c>
      <c r="Q164">
        <v>0.1</v>
      </c>
      <c r="R164" t="s">
        <v>41</v>
      </c>
      <c r="S164">
        <v>0</v>
      </c>
      <c r="T164">
        <v>0</v>
      </c>
    </row>
    <row r="165" spans="1:20">
      <c r="A165" t="s">
        <v>42</v>
      </c>
      <c r="B165">
        <v>144946.89300000001</v>
      </c>
      <c r="C165">
        <v>50.83</v>
      </c>
      <c r="D165">
        <v>1312.193</v>
      </c>
      <c r="E165">
        <v>0.17</v>
      </c>
      <c r="F165">
        <v>270.95999999999998</v>
      </c>
      <c r="G165">
        <v>270.95999999999998</v>
      </c>
      <c r="H165">
        <v>270.95999999999998</v>
      </c>
      <c r="I165">
        <v>270.95999999999998</v>
      </c>
      <c r="J165">
        <v>399</v>
      </c>
      <c r="K165">
        <v>399</v>
      </c>
      <c r="L165">
        <v>399</v>
      </c>
      <c r="M165">
        <v>399</v>
      </c>
      <c r="N165">
        <v>0.13</v>
      </c>
      <c r="O165">
        <v>0.15</v>
      </c>
      <c r="P165">
        <v>7.0000000000000007E-2</v>
      </c>
      <c r="Q165">
        <v>0.1</v>
      </c>
      <c r="R165" t="s">
        <v>41</v>
      </c>
      <c r="S165">
        <v>0</v>
      </c>
      <c r="T165">
        <v>0</v>
      </c>
    </row>
    <row r="166" spans="1:20">
      <c r="A166" t="s">
        <v>42</v>
      </c>
      <c r="B166">
        <v>144951.9</v>
      </c>
      <c r="C166">
        <v>51.56</v>
      </c>
      <c r="D166">
        <v>1312.296</v>
      </c>
      <c r="E166">
        <v>0.19</v>
      </c>
      <c r="F166">
        <v>274.60000000000002</v>
      </c>
      <c r="G166">
        <v>274.60000000000002</v>
      </c>
      <c r="H166">
        <v>274.60000000000002</v>
      </c>
      <c r="I166">
        <v>274.60000000000002</v>
      </c>
      <c r="J166">
        <v>399</v>
      </c>
      <c r="K166">
        <v>399</v>
      </c>
      <c r="L166">
        <v>399</v>
      </c>
      <c r="M166">
        <v>399</v>
      </c>
      <c r="N166">
        <v>0.14000000000000001</v>
      </c>
      <c r="O166">
        <v>0.15</v>
      </c>
      <c r="P166">
        <v>7.0000000000000007E-2</v>
      </c>
      <c r="Q166">
        <v>0.1</v>
      </c>
      <c r="R166" t="s">
        <v>41</v>
      </c>
      <c r="S166">
        <v>0</v>
      </c>
      <c r="T166">
        <v>0</v>
      </c>
    </row>
    <row r="167" spans="1:20">
      <c r="A167" t="s">
        <v>42</v>
      </c>
      <c r="B167">
        <v>144956.90700000001</v>
      </c>
      <c r="C167">
        <v>52.32</v>
      </c>
      <c r="D167">
        <v>1312.376</v>
      </c>
      <c r="E167">
        <v>0.23</v>
      </c>
      <c r="F167">
        <v>278.24</v>
      </c>
      <c r="G167">
        <v>278.24</v>
      </c>
      <c r="H167">
        <v>278.24</v>
      </c>
      <c r="I167">
        <v>278.24</v>
      </c>
      <c r="J167">
        <v>399</v>
      </c>
      <c r="K167">
        <v>399</v>
      </c>
      <c r="L167">
        <v>399</v>
      </c>
      <c r="M167">
        <v>399</v>
      </c>
      <c r="N167">
        <v>0.11</v>
      </c>
      <c r="O167">
        <v>0.15</v>
      </c>
      <c r="P167">
        <v>7.0000000000000007E-2</v>
      </c>
      <c r="Q167">
        <v>0.1</v>
      </c>
      <c r="R167" t="s">
        <v>41</v>
      </c>
      <c r="S167">
        <v>0</v>
      </c>
      <c r="T167">
        <v>0</v>
      </c>
    </row>
    <row r="168" spans="1:20">
      <c r="A168" t="s">
        <v>42</v>
      </c>
      <c r="B168">
        <v>145001.902</v>
      </c>
      <c r="C168">
        <v>53.09</v>
      </c>
      <c r="D168">
        <v>1312.4490000000001</v>
      </c>
      <c r="E168">
        <v>0.16</v>
      </c>
      <c r="F168">
        <v>282.04000000000002</v>
      </c>
      <c r="G168">
        <v>282.04000000000002</v>
      </c>
      <c r="H168">
        <v>282.04000000000002</v>
      </c>
      <c r="I168">
        <v>282.04000000000002</v>
      </c>
      <c r="J168">
        <v>399</v>
      </c>
      <c r="K168">
        <v>399</v>
      </c>
      <c r="L168">
        <v>399</v>
      </c>
      <c r="M168">
        <v>399</v>
      </c>
      <c r="N168">
        <v>0.09</v>
      </c>
      <c r="O168">
        <v>0.15</v>
      </c>
      <c r="P168">
        <v>7.0000000000000007E-2</v>
      </c>
      <c r="Q168">
        <v>0.1</v>
      </c>
      <c r="R168" t="s">
        <v>41</v>
      </c>
      <c r="S168">
        <v>0</v>
      </c>
      <c r="T168">
        <v>0</v>
      </c>
    </row>
    <row r="169" spans="1:20">
      <c r="A169" t="s">
        <v>42</v>
      </c>
      <c r="B169">
        <v>145006.90100000001</v>
      </c>
      <c r="C169">
        <v>53.84</v>
      </c>
      <c r="D169">
        <v>1312.5239999999999</v>
      </c>
      <c r="E169">
        <v>0.14000000000000001</v>
      </c>
      <c r="F169">
        <v>285.95999999999998</v>
      </c>
      <c r="G169">
        <v>285.95999999999998</v>
      </c>
      <c r="H169">
        <v>285.95999999999998</v>
      </c>
      <c r="I169">
        <v>285.95999999999998</v>
      </c>
      <c r="J169">
        <v>399</v>
      </c>
      <c r="K169">
        <v>399</v>
      </c>
      <c r="L169">
        <v>399</v>
      </c>
      <c r="M169">
        <v>399</v>
      </c>
      <c r="N169">
        <v>0.1</v>
      </c>
      <c r="O169">
        <v>0.15</v>
      </c>
      <c r="P169">
        <v>7.0000000000000007E-2</v>
      </c>
      <c r="Q169">
        <v>0.1</v>
      </c>
      <c r="R169" t="s">
        <v>41</v>
      </c>
      <c r="S169">
        <v>0</v>
      </c>
      <c r="T169">
        <v>0</v>
      </c>
    </row>
    <row r="170" spans="1:20">
      <c r="A170" t="s">
        <v>42</v>
      </c>
      <c r="B170">
        <v>145011.90299999999</v>
      </c>
      <c r="C170">
        <v>54.6</v>
      </c>
      <c r="D170">
        <v>1312.597</v>
      </c>
      <c r="E170">
        <v>-0.04</v>
      </c>
      <c r="F170">
        <v>290.16000000000003</v>
      </c>
      <c r="G170">
        <v>290.16000000000003</v>
      </c>
      <c r="H170">
        <v>290.16000000000003</v>
      </c>
      <c r="I170">
        <v>290.16000000000003</v>
      </c>
      <c r="J170">
        <v>399</v>
      </c>
      <c r="K170">
        <v>399</v>
      </c>
      <c r="L170">
        <v>399</v>
      </c>
      <c r="M170">
        <v>399</v>
      </c>
      <c r="N170">
        <v>0.1</v>
      </c>
      <c r="O170">
        <v>0.15</v>
      </c>
      <c r="P170">
        <v>7.0000000000000007E-2</v>
      </c>
      <c r="Q170">
        <v>0.1</v>
      </c>
      <c r="R170" t="s">
        <v>41</v>
      </c>
      <c r="S170">
        <v>0</v>
      </c>
      <c r="T170">
        <v>0</v>
      </c>
    </row>
    <row r="171" spans="1:20">
      <c r="A171" t="s">
        <v>42</v>
      </c>
      <c r="B171">
        <v>145016.908</v>
      </c>
      <c r="C171">
        <v>55.33</v>
      </c>
      <c r="D171">
        <v>1312.671</v>
      </c>
      <c r="E171">
        <v>-0.13</v>
      </c>
      <c r="F171">
        <v>294.64</v>
      </c>
      <c r="G171">
        <v>294.64</v>
      </c>
      <c r="H171">
        <v>294.64</v>
      </c>
      <c r="I171">
        <v>294.64</v>
      </c>
      <c r="J171">
        <v>399</v>
      </c>
      <c r="K171">
        <v>399</v>
      </c>
      <c r="L171">
        <v>399</v>
      </c>
      <c r="M171">
        <v>399</v>
      </c>
      <c r="N171">
        <v>0.1</v>
      </c>
      <c r="O171">
        <v>0.15</v>
      </c>
      <c r="P171">
        <v>7.0000000000000007E-2</v>
      </c>
      <c r="Q171">
        <v>0.1</v>
      </c>
      <c r="R171" t="s">
        <v>41</v>
      </c>
      <c r="S171">
        <v>0</v>
      </c>
      <c r="T171">
        <v>0</v>
      </c>
    </row>
    <row r="172" spans="1:20">
      <c r="A172" t="s">
        <v>42</v>
      </c>
      <c r="B172">
        <v>145021.913</v>
      </c>
      <c r="C172">
        <v>56.08</v>
      </c>
      <c r="D172">
        <v>1312.752</v>
      </c>
      <c r="E172">
        <v>-0.15</v>
      </c>
      <c r="F172">
        <v>299.12</v>
      </c>
      <c r="G172">
        <v>299.12</v>
      </c>
      <c r="H172">
        <v>299.12</v>
      </c>
      <c r="I172">
        <v>299.12</v>
      </c>
      <c r="J172">
        <v>399</v>
      </c>
      <c r="K172">
        <v>399</v>
      </c>
      <c r="L172">
        <v>399</v>
      </c>
      <c r="M172">
        <v>399</v>
      </c>
      <c r="N172">
        <v>0.11</v>
      </c>
      <c r="O172">
        <v>0.15</v>
      </c>
      <c r="P172">
        <v>7.0000000000000007E-2</v>
      </c>
      <c r="Q172">
        <v>0.1</v>
      </c>
      <c r="R172" t="s">
        <v>41</v>
      </c>
      <c r="S172">
        <v>0</v>
      </c>
      <c r="T172">
        <v>0</v>
      </c>
    </row>
    <row r="173" spans="1:20">
      <c r="A173" t="s">
        <v>42</v>
      </c>
      <c r="B173">
        <v>145026.91</v>
      </c>
      <c r="C173">
        <v>56.82</v>
      </c>
      <c r="D173">
        <v>1312.819</v>
      </c>
      <c r="E173">
        <v>-0.23</v>
      </c>
      <c r="F173">
        <v>304.27999999999997</v>
      </c>
      <c r="G173">
        <v>304.27999999999997</v>
      </c>
      <c r="H173">
        <v>304.27999999999997</v>
      </c>
      <c r="I173">
        <v>304.27999999999997</v>
      </c>
      <c r="J173">
        <v>399</v>
      </c>
      <c r="K173">
        <v>399</v>
      </c>
      <c r="L173">
        <v>399</v>
      </c>
      <c r="M173">
        <v>399</v>
      </c>
      <c r="N173">
        <v>0.09</v>
      </c>
      <c r="O173">
        <v>0.15</v>
      </c>
      <c r="P173">
        <v>7.0000000000000007E-2</v>
      </c>
      <c r="Q173">
        <v>0.1</v>
      </c>
      <c r="R173" t="s">
        <v>41</v>
      </c>
      <c r="S173">
        <v>0</v>
      </c>
      <c r="T173">
        <v>0</v>
      </c>
    </row>
    <row r="174" spans="1:20">
      <c r="A174" t="s">
        <v>42</v>
      </c>
      <c r="B174">
        <v>145031.91200000001</v>
      </c>
      <c r="C174">
        <v>57.57</v>
      </c>
      <c r="D174">
        <v>1312.893</v>
      </c>
      <c r="E174">
        <v>-0.46</v>
      </c>
      <c r="F174">
        <v>309.36</v>
      </c>
      <c r="G174">
        <v>309.36</v>
      </c>
      <c r="H174">
        <v>309.36</v>
      </c>
      <c r="I174">
        <v>309.36</v>
      </c>
      <c r="J174">
        <v>399</v>
      </c>
      <c r="K174">
        <v>399</v>
      </c>
      <c r="L174">
        <v>399</v>
      </c>
      <c r="M174">
        <v>399</v>
      </c>
      <c r="N174">
        <v>0.1</v>
      </c>
      <c r="O174">
        <v>0.15</v>
      </c>
      <c r="P174">
        <v>7.0000000000000007E-2</v>
      </c>
      <c r="Q174">
        <v>0.1</v>
      </c>
      <c r="R174" t="s">
        <v>41</v>
      </c>
      <c r="S174">
        <v>0</v>
      </c>
      <c r="T174">
        <v>0</v>
      </c>
    </row>
    <row r="175" spans="1:20">
      <c r="A175" t="s">
        <v>42</v>
      </c>
      <c r="B175">
        <v>145036.921</v>
      </c>
      <c r="C175">
        <v>58.3</v>
      </c>
      <c r="D175">
        <v>1312.9659999999999</v>
      </c>
      <c r="E175">
        <v>-0.5</v>
      </c>
      <c r="F175">
        <v>314.88</v>
      </c>
      <c r="G175">
        <v>314.88</v>
      </c>
      <c r="H175">
        <v>314.88</v>
      </c>
      <c r="I175">
        <v>314.88</v>
      </c>
      <c r="J175">
        <v>399</v>
      </c>
      <c r="K175">
        <v>399</v>
      </c>
      <c r="L175">
        <v>399</v>
      </c>
      <c r="M175">
        <v>399</v>
      </c>
      <c r="N175">
        <v>0.1</v>
      </c>
      <c r="O175">
        <v>0.15</v>
      </c>
      <c r="P175">
        <v>7.0000000000000007E-2</v>
      </c>
      <c r="Q175">
        <v>0.1</v>
      </c>
      <c r="R175" t="s">
        <v>41</v>
      </c>
      <c r="S175">
        <v>0</v>
      </c>
      <c r="T175">
        <v>0</v>
      </c>
    </row>
    <row r="176" spans="1:20">
      <c r="A176" t="s">
        <v>42</v>
      </c>
      <c r="B176">
        <v>145041.921</v>
      </c>
      <c r="C176">
        <v>59.05</v>
      </c>
      <c r="D176">
        <v>1313.047</v>
      </c>
      <c r="E176">
        <v>-0.54</v>
      </c>
      <c r="F176">
        <v>320.88</v>
      </c>
      <c r="G176">
        <v>320.88</v>
      </c>
      <c r="H176">
        <v>320.88</v>
      </c>
      <c r="I176">
        <v>320.88</v>
      </c>
      <c r="J176">
        <v>399</v>
      </c>
      <c r="K176">
        <v>399</v>
      </c>
      <c r="L176">
        <v>399</v>
      </c>
      <c r="M176">
        <v>399</v>
      </c>
      <c r="N176">
        <v>0.11</v>
      </c>
      <c r="O176">
        <v>0.15</v>
      </c>
      <c r="P176">
        <v>7.0000000000000007E-2</v>
      </c>
      <c r="Q176">
        <v>0.1</v>
      </c>
      <c r="R176" t="s">
        <v>41</v>
      </c>
      <c r="S176">
        <v>0</v>
      </c>
      <c r="T176">
        <v>0</v>
      </c>
    </row>
    <row r="177" spans="1:20">
      <c r="A177" t="s">
        <v>42</v>
      </c>
      <c r="B177">
        <v>145046.91399999999</v>
      </c>
      <c r="C177">
        <v>59.81</v>
      </c>
      <c r="D177">
        <v>1313.114</v>
      </c>
      <c r="E177">
        <v>-0.56999999999999995</v>
      </c>
      <c r="F177">
        <v>326.83999999999997</v>
      </c>
      <c r="G177">
        <v>326.83999999999997</v>
      </c>
      <c r="H177">
        <v>326.83999999999997</v>
      </c>
      <c r="I177">
        <v>326.83999999999997</v>
      </c>
      <c r="J177">
        <v>399</v>
      </c>
      <c r="K177">
        <v>399</v>
      </c>
      <c r="L177">
        <v>399</v>
      </c>
      <c r="M177">
        <v>399</v>
      </c>
      <c r="N177">
        <v>0.09</v>
      </c>
      <c r="O177">
        <v>0.15</v>
      </c>
      <c r="P177">
        <v>7.0000000000000007E-2</v>
      </c>
      <c r="Q177">
        <v>0.1</v>
      </c>
      <c r="R177" t="s">
        <v>41</v>
      </c>
      <c r="S177">
        <v>0</v>
      </c>
      <c r="T177">
        <v>0</v>
      </c>
    </row>
    <row r="178" spans="1:20">
      <c r="A178" t="s">
        <v>42</v>
      </c>
      <c r="B178">
        <v>145051.91699999999</v>
      </c>
      <c r="C178">
        <v>60.55</v>
      </c>
      <c r="D178">
        <v>1313.1949999999999</v>
      </c>
      <c r="E178">
        <v>-0.68</v>
      </c>
      <c r="F178">
        <v>333.64</v>
      </c>
      <c r="G178">
        <v>333.64</v>
      </c>
      <c r="H178">
        <v>333.64</v>
      </c>
      <c r="I178">
        <v>333.64</v>
      </c>
      <c r="J178">
        <v>399</v>
      </c>
      <c r="K178">
        <v>399</v>
      </c>
      <c r="L178">
        <v>399</v>
      </c>
      <c r="M178">
        <v>399</v>
      </c>
      <c r="N178">
        <v>0.11</v>
      </c>
      <c r="O178">
        <v>0.15</v>
      </c>
      <c r="P178">
        <v>7.0000000000000007E-2</v>
      </c>
      <c r="Q178">
        <v>0.1</v>
      </c>
      <c r="R178" t="s">
        <v>41</v>
      </c>
      <c r="S178">
        <v>0</v>
      </c>
      <c r="T178">
        <v>0</v>
      </c>
    </row>
    <row r="179" spans="1:20">
      <c r="A179" t="s">
        <v>42</v>
      </c>
      <c r="B179">
        <v>145056.913</v>
      </c>
      <c r="C179">
        <v>61.3</v>
      </c>
      <c r="D179">
        <v>1313.2629999999999</v>
      </c>
      <c r="E179">
        <v>-0.7</v>
      </c>
      <c r="F179">
        <v>340.76</v>
      </c>
      <c r="G179">
        <v>340.76</v>
      </c>
      <c r="H179">
        <v>340.76</v>
      </c>
      <c r="I179">
        <v>340.76</v>
      </c>
      <c r="J179">
        <v>399</v>
      </c>
      <c r="K179">
        <v>399</v>
      </c>
      <c r="L179">
        <v>399</v>
      </c>
      <c r="M179">
        <v>399</v>
      </c>
      <c r="N179">
        <v>0.09</v>
      </c>
      <c r="O179">
        <v>0.15</v>
      </c>
      <c r="P179">
        <v>7.0000000000000007E-2</v>
      </c>
      <c r="Q179">
        <v>0.1</v>
      </c>
      <c r="R179" t="s">
        <v>41</v>
      </c>
      <c r="S179">
        <v>0</v>
      </c>
      <c r="T179">
        <v>0</v>
      </c>
    </row>
    <row r="180" spans="1:20">
      <c r="A180" t="s">
        <v>42</v>
      </c>
      <c r="B180">
        <v>145101.91699999999</v>
      </c>
      <c r="C180">
        <v>62.03</v>
      </c>
      <c r="D180">
        <v>1313.337</v>
      </c>
      <c r="E180">
        <v>-0.73</v>
      </c>
      <c r="F180">
        <v>348.56</v>
      </c>
      <c r="G180">
        <v>348.56</v>
      </c>
      <c r="H180">
        <v>348.56</v>
      </c>
      <c r="I180">
        <v>348.56</v>
      </c>
      <c r="J180">
        <v>399</v>
      </c>
      <c r="K180">
        <v>399</v>
      </c>
      <c r="L180">
        <v>399</v>
      </c>
      <c r="M180">
        <v>399</v>
      </c>
      <c r="N180">
        <v>0.1</v>
      </c>
      <c r="O180">
        <v>0.15</v>
      </c>
      <c r="P180">
        <v>7.0000000000000007E-2</v>
      </c>
      <c r="Q180">
        <v>0.1</v>
      </c>
      <c r="R180" t="s">
        <v>41</v>
      </c>
      <c r="S180">
        <v>0</v>
      </c>
      <c r="T180">
        <v>0</v>
      </c>
    </row>
    <row r="181" spans="1:20">
      <c r="A181" t="s">
        <v>42</v>
      </c>
      <c r="B181">
        <v>145106.92499999999</v>
      </c>
      <c r="C181">
        <v>62.78</v>
      </c>
      <c r="D181">
        <v>1313.413</v>
      </c>
      <c r="E181">
        <v>-0.96</v>
      </c>
      <c r="F181">
        <v>356.36</v>
      </c>
      <c r="G181">
        <v>356.36</v>
      </c>
      <c r="H181">
        <v>356.36</v>
      </c>
      <c r="I181">
        <v>356.36</v>
      </c>
      <c r="J181">
        <v>399</v>
      </c>
      <c r="K181">
        <v>399</v>
      </c>
      <c r="L181">
        <v>399</v>
      </c>
      <c r="M181">
        <v>399</v>
      </c>
      <c r="N181">
        <v>0.1</v>
      </c>
      <c r="O181">
        <v>0.15</v>
      </c>
      <c r="P181">
        <v>7.0000000000000007E-2</v>
      </c>
      <c r="Q181">
        <v>0.1</v>
      </c>
      <c r="R181" t="s">
        <v>41</v>
      </c>
      <c r="S181">
        <v>0</v>
      </c>
      <c r="T181">
        <v>0</v>
      </c>
    </row>
    <row r="182" spans="1:20">
      <c r="A182" t="s">
        <v>42</v>
      </c>
      <c r="B182">
        <v>145111.91399999999</v>
      </c>
      <c r="C182">
        <v>63.53</v>
      </c>
      <c r="D182">
        <v>1313.4880000000001</v>
      </c>
      <c r="E182">
        <v>-1.0900000000000001</v>
      </c>
      <c r="F182">
        <v>364.56</v>
      </c>
      <c r="G182">
        <v>364.56</v>
      </c>
      <c r="H182">
        <v>364.6</v>
      </c>
      <c r="I182">
        <v>364.6</v>
      </c>
      <c r="J182">
        <v>399</v>
      </c>
      <c r="K182">
        <v>399</v>
      </c>
      <c r="L182">
        <v>399</v>
      </c>
      <c r="M182">
        <v>399</v>
      </c>
      <c r="N182">
        <v>0.1</v>
      </c>
      <c r="O182">
        <v>0.15</v>
      </c>
      <c r="P182">
        <v>7.0000000000000007E-2</v>
      </c>
      <c r="Q182">
        <v>0.1</v>
      </c>
      <c r="R182" t="s">
        <v>41</v>
      </c>
      <c r="S182">
        <v>0</v>
      </c>
      <c r="T182">
        <v>0</v>
      </c>
    </row>
    <row r="183" spans="1:20">
      <c r="A183" t="s">
        <v>42</v>
      </c>
      <c r="B183">
        <v>145116.92199999999</v>
      </c>
      <c r="C183">
        <v>64.28</v>
      </c>
      <c r="D183">
        <v>1313.5719999999999</v>
      </c>
      <c r="E183">
        <v>-1.18</v>
      </c>
      <c r="F183">
        <v>374</v>
      </c>
      <c r="G183">
        <v>374</v>
      </c>
      <c r="H183">
        <v>374</v>
      </c>
      <c r="I183">
        <v>374</v>
      </c>
      <c r="J183">
        <v>399</v>
      </c>
      <c r="K183">
        <v>399</v>
      </c>
      <c r="L183">
        <v>399</v>
      </c>
      <c r="M183">
        <v>399</v>
      </c>
      <c r="N183">
        <v>0.11</v>
      </c>
      <c r="O183">
        <v>0.15</v>
      </c>
      <c r="P183">
        <v>7.0000000000000007E-2</v>
      </c>
      <c r="Q183">
        <v>0.1</v>
      </c>
      <c r="R183" t="s">
        <v>41</v>
      </c>
      <c r="S183">
        <v>0</v>
      </c>
      <c r="T183">
        <v>0</v>
      </c>
    </row>
    <row r="184" spans="1:20">
      <c r="A184" t="s">
        <v>42</v>
      </c>
      <c r="B184">
        <v>145121.92600000001</v>
      </c>
      <c r="C184">
        <v>65.010000000000005</v>
      </c>
      <c r="D184">
        <v>1313.64</v>
      </c>
      <c r="E184">
        <v>-1.34</v>
      </c>
      <c r="F184">
        <v>383.64</v>
      </c>
      <c r="G184">
        <v>383.64</v>
      </c>
      <c r="H184">
        <v>383.64</v>
      </c>
      <c r="I184">
        <v>383.64</v>
      </c>
      <c r="J184">
        <v>399</v>
      </c>
      <c r="K184">
        <v>399</v>
      </c>
      <c r="L184">
        <v>399</v>
      </c>
      <c r="M184">
        <v>399</v>
      </c>
      <c r="N184">
        <v>0.09</v>
      </c>
      <c r="O184">
        <v>0.15</v>
      </c>
      <c r="P184">
        <v>7.0000000000000007E-2</v>
      </c>
      <c r="Q184">
        <v>0.1</v>
      </c>
      <c r="R184" t="s">
        <v>41</v>
      </c>
      <c r="S184">
        <v>0</v>
      </c>
      <c r="T184">
        <v>0</v>
      </c>
    </row>
    <row r="185" spans="1:20">
      <c r="A185" t="s">
        <v>42</v>
      </c>
      <c r="B185">
        <v>145126.92600000001</v>
      </c>
      <c r="C185">
        <v>65.760000000000005</v>
      </c>
      <c r="D185">
        <v>1313.7159999999999</v>
      </c>
      <c r="E185">
        <v>-1.51</v>
      </c>
      <c r="F185">
        <v>395.04</v>
      </c>
      <c r="G185">
        <v>395.04</v>
      </c>
      <c r="H185">
        <v>395.04</v>
      </c>
      <c r="I185">
        <v>395.04</v>
      </c>
      <c r="J185">
        <v>399</v>
      </c>
      <c r="K185">
        <v>399</v>
      </c>
      <c r="L185">
        <v>399</v>
      </c>
      <c r="M185">
        <v>399</v>
      </c>
      <c r="N185">
        <v>0.1</v>
      </c>
      <c r="O185">
        <v>0.15</v>
      </c>
      <c r="P185">
        <v>7.0000000000000007E-2</v>
      </c>
      <c r="Q185">
        <v>0.1</v>
      </c>
      <c r="R185" t="s">
        <v>41</v>
      </c>
      <c r="S185">
        <v>0</v>
      </c>
      <c r="T185">
        <v>0</v>
      </c>
    </row>
    <row r="186" spans="1:20">
      <c r="A186" t="s">
        <v>42</v>
      </c>
      <c r="B186">
        <v>145131.93</v>
      </c>
      <c r="C186">
        <v>66.5</v>
      </c>
      <c r="D186">
        <v>1313.7929999999999</v>
      </c>
      <c r="E186">
        <v>-1.8</v>
      </c>
      <c r="F186">
        <v>399</v>
      </c>
      <c r="G186">
        <v>399</v>
      </c>
      <c r="H186">
        <v>399</v>
      </c>
      <c r="I186">
        <v>399</v>
      </c>
      <c r="J186">
        <v>399</v>
      </c>
      <c r="K186">
        <v>399</v>
      </c>
      <c r="L186">
        <v>399</v>
      </c>
      <c r="M186">
        <v>399</v>
      </c>
      <c r="N186">
        <v>0.1</v>
      </c>
      <c r="O186">
        <v>0.15</v>
      </c>
      <c r="P186">
        <v>7.0000000000000007E-2</v>
      </c>
      <c r="Q186">
        <v>0.1</v>
      </c>
      <c r="R186" t="s">
        <v>41</v>
      </c>
      <c r="S186">
        <v>0</v>
      </c>
      <c r="T186">
        <v>0</v>
      </c>
    </row>
    <row r="187" spans="1:20">
      <c r="A187" t="s">
        <v>42</v>
      </c>
      <c r="B187">
        <v>145136.929</v>
      </c>
      <c r="C187">
        <v>67.23</v>
      </c>
      <c r="D187">
        <v>1313.87</v>
      </c>
      <c r="E187">
        <v>-1.87</v>
      </c>
      <c r="F187">
        <v>399</v>
      </c>
      <c r="G187">
        <v>399</v>
      </c>
      <c r="H187">
        <v>399</v>
      </c>
      <c r="I187">
        <v>399</v>
      </c>
      <c r="J187">
        <v>399</v>
      </c>
      <c r="K187">
        <v>399</v>
      </c>
      <c r="L187">
        <v>399</v>
      </c>
      <c r="M187">
        <v>399</v>
      </c>
      <c r="N187">
        <v>0.11</v>
      </c>
      <c r="O187">
        <v>0.15</v>
      </c>
      <c r="P187">
        <v>7.0000000000000007E-2</v>
      </c>
      <c r="Q187">
        <v>0.1</v>
      </c>
      <c r="R187" t="s">
        <v>41</v>
      </c>
      <c r="S187">
        <v>0</v>
      </c>
      <c r="T187">
        <v>0</v>
      </c>
    </row>
    <row r="188" spans="1:20">
      <c r="A188" t="s">
        <v>42</v>
      </c>
      <c r="B188">
        <v>145141.93400000001</v>
      </c>
      <c r="C188">
        <v>67.959999999999994</v>
      </c>
      <c r="D188">
        <v>1313.944</v>
      </c>
      <c r="E188">
        <v>-2.04</v>
      </c>
      <c r="F188">
        <v>399</v>
      </c>
      <c r="G188">
        <v>399</v>
      </c>
      <c r="H188">
        <v>399</v>
      </c>
      <c r="I188">
        <v>399</v>
      </c>
      <c r="J188">
        <v>399</v>
      </c>
      <c r="K188">
        <v>399</v>
      </c>
      <c r="L188">
        <v>399</v>
      </c>
      <c r="M188">
        <v>399</v>
      </c>
      <c r="N188">
        <v>0.1</v>
      </c>
      <c r="O188">
        <v>0.15</v>
      </c>
      <c r="P188">
        <v>7.0000000000000007E-2</v>
      </c>
      <c r="Q188">
        <v>0.1</v>
      </c>
      <c r="R188" t="s">
        <v>43</v>
      </c>
      <c r="S188" t="s">
        <v>44</v>
      </c>
      <c r="T188" t="s">
        <v>45</v>
      </c>
    </row>
    <row r="189" spans="1:20">
      <c r="A189" t="s">
        <v>42</v>
      </c>
      <c r="B189">
        <v>145146.93299999999</v>
      </c>
      <c r="C189">
        <v>68.66</v>
      </c>
      <c r="D189">
        <v>1314.0250000000001</v>
      </c>
      <c r="E189">
        <v>-2.16</v>
      </c>
      <c r="F189">
        <v>399</v>
      </c>
      <c r="G189">
        <v>399</v>
      </c>
      <c r="H189">
        <v>399</v>
      </c>
      <c r="I189">
        <v>399</v>
      </c>
      <c r="J189">
        <v>399</v>
      </c>
      <c r="K189">
        <v>399</v>
      </c>
      <c r="L189">
        <v>399</v>
      </c>
      <c r="M189">
        <v>399</v>
      </c>
      <c r="N189">
        <v>0.12</v>
      </c>
      <c r="O189">
        <v>0.15</v>
      </c>
      <c r="P189">
        <v>7.0000000000000007E-2</v>
      </c>
      <c r="Q189">
        <v>0.1</v>
      </c>
      <c r="R189" t="s">
        <v>43</v>
      </c>
      <c r="S189" t="s">
        <v>44</v>
      </c>
      <c r="T189" t="s">
        <v>46</v>
      </c>
    </row>
    <row r="190" spans="1:20">
      <c r="A190" t="s">
        <v>42</v>
      </c>
      <c r="B190">
        <v>145151.932</v>
      </c>
      <c r="C190">
        <v>69.34</v>
      </c>
      <c r="D190">
        <v>1314.0989999999999</v>
      </c>
      <c r="E190">
        <v>-2.21</v>
      </c>
      <c r="F190">
        <v>399</v>
      </c>
      <c r="G190">
        <v>399</v>
      </c>
      <c r="H190">
        <v>399</v>
      </c>
      <c r="I190">
        <v>399</v>
      </c>
      <c r="J190">
        <v>399</v>
      </c>
      <c r="K190">
        <v>399</v>
      </c>
      <c r="L190">
        <v>399</v>
      </c>
      <c r="M190">
        <v>399</v>
      </c>
      <c r="N190">
        <v>0.11</v>
      </c>
      <c r="O190">
        <v>0.15</v>
      </c>
      <c r="P190">
        <v>7.0000000000000007E-2</v>
      </c>
      <c r="Q190">
        <v>0.1</v>
      </c>
      <c r="R190" t="s">
        <v>43</v>
      </c>
      <c r="S190" t="s">
        <v>44</v>
      </c>
      <c r="T190" t="s">
        <v>47</v>
      </c>
    </row>
    <row r="191" spans="1:20">
      <c r="A191" t="s">
        <v>42</v>
      </c>
      <c r="B191">
        <v>145156.943</v>
      </c>
      <c r="C191">
        <v>69.97</v>
      </c>
      <c r="D191">
        <v>1314.163</v>
      </c>
      <c r="E191">
        <v>-2.34</v>
      </c>
      <c r="F191">
        <v>399</v>
      </c>
      <c r="G191">
        <v>399</v>
      </c>
      <c r="H191">
        <v>399</v>
      </c>
      <c r="I191">
        <v>399</v>
      </c>
      <c r="J191">
        <v>399</v>
      </c>
      <c r="K191">
        <v>399</v>
      </c>
      <c r="L191">
        <v>399</v>
      </c>
      <c r="M191">
        <v>399</v>
      </c>
      <c r="N191">
        <v>0.1</v>
      </c>
      <c r="O191">
        <v>0.15</v>
      </c>
      <c r="P191">
        <v>7.0000000000000007E-2</v>
      </c>
      <c r="Q191">
        <v>0.1</v>
      </c>
      <c r="R191" t="s">
        <v>43</v>
      </c>
      <c r="S191" t="s">
        <v>44</v>
      </c>
      <c r="T191" t="s">
        <v>48</v>
      </c>
    </row>
  </sheetData>
  <autoFilter ref="A1:T19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95"/>
  <sheetViews>
    <sheetView workbookViewId="0">
      <pane ySplit="1" topLeftCell="A51" activePane="bottomLeft" state="frozen"/>
      <selection pane="bottomLeft" activeCell="I59" sqref="I59"/>
    </sheetView>
  </sheetViews>
  <sheetFormatPr defaultRowHeight="15.6"/>
  <sheetData>
    <row r="1" spans="1:20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</row>
    <row r="2" spans="1:20">
      <c r="A2" t="str">
        <f>IF(ROWS($2:2)&gt;COUNTIF(Maximum_RawData!$A:$A,"1_Maximum"),"",INDEX(Maximum_RawData!A:A,MATCH("1_Maximum",Maximum_RawData!$A:$A,0)+ROWS($2:2)-1))</f>
        <v>1_Maximum</v>
      </c>
      <c r="B2">
        <f>IF(ROWS($2:2)&gt;COUNTIF(Maximum_RawData!$A:$A,"1_Maximum"),"",INDEX(Maximum_RawData!B:B,MATCH("1_Maximum",Maximum_RawData!$A:$A,0)+ROWS($2:2)-1))</f>
        <v>145523.04399999999</v>
      </c>
      <c r="C2">
        <f>IF(ROWS($2:2)&gt;COUNTIF(Maximum_RawData!$A:$A,"1_Maximum"),"",INDEX(Maximum_RawData!C:C,MATCH("1_Maximum",Maximum_RawData!$A:$A,0)+ROWS($2:2)-1))</f>
        <v>69.760000000000005</v>
      </c>
      <c r="D2">
        <f>IF(ROWS($2:2)&gt;COUNTIF(Maximum_RawData!$A:$A,"1_Maximum"),"",INDEX(Maximum_RawData!D:D,MATCH("1_Maximum",Maximum_RawData!$A:$A,0)+ROWS($2:2)-1))</f>
        <v>1314.8579999999999</v>
      </c>
      <c r="E2">
        <f>IF(ROWS($2:2)&gt;COUNTIF(Maximum_RawData!$A:$A,"1_Maximum"),"",INDEX(Maximum_RawData!E:E,MATCH("1_Maximum",Maximum_RawData!$A:$A,0)+ROWS($2:2)-1))</f>
        <v>-2.15</v>
      </c>
      <c r="F2">
        <f>IF(ROWS($2:2)&gt;COUNTIF(Maximum_RawData!$A:$A,"1_Maximum"),"",INDEX(Maximum_RawData!F:F,MATCH("1_Maximum",Maximum_RawData!$A:$A,0)+ROWS($2:2)-1))</f>
        <v>399</v>
      </c>
      <c r="G2">
        <f>IF(ROWS($2:2)&gt;COUNTIF(Maximum_RawData!$A:$A,"1_Maximum"),"",INDEX(Maximum_RawData!G:G,MATCH("1_Maximum",Maximum_RawData!$A:$A,0)+ROWS($2:2)-1))</f>
        <v>399</v>
      </c>
      <c r="H2">
        <f>IF(ROWS($2:2)&gt;COUNTIF(Maximum_RawData!$A:$A,"1_Maximum"),"",INDEX(Maximum_RawData!H:H,MATCH("1_Maximum",Maximum_RawData!$A:$A,0)+ROWS($2:2)-1))</f>
        <v>399</v>
      </c>
      <c r="I2">
        <f>IF(ROWS($2:2)&gt;COUNTIF(Maximum_RawData!$A:$A,"1_Maximum"),"",INDEX(Maximum_RawData!I:I,MATCH("1_Maximum",Maximum_RawData!$A:$A,0)+ROWS($2:2)-1))</f>
        <v>399</v>
      </c>
      <c r="J2">
        <f>IF(ROWS($2:2)&gt;COUNTIF(Maximum_RawData!$A:$A,"1_Maximum"),"",INDEX(Maximum_RawData!J:J,MATCH("1_Maximum",Maximum_RawData!$A:$A,0)+ROWS($2:2)-1))</f>
        <v>399</v>
      </c>
      <c r="K2">
        <f>IF(ROWS($2:2)&gt;COUNTIF(Maximum_RawData!$A:$A,"1_Maximum"),"",INDEX(Maximum_RawData!K:K,MATCH("1_Maximum",Maximum_RawData!$A:$A,0)+ROWS($2:2)-1))</f>
        <v>399</v>
      </c>
      <c r="L2">
        <f>IF(ROWS($2:2)&gt;COUNTIF(Maximum_RawData!$A:$A,"1_Maximum"),"",INDEX(Maximum_RawData!L:L,MATCH("1_Maximum",Maximum_RawData!$A:$A,0)+ROWS($2:2)-1))</f>
        <v>399</v>
      </c>
      <c r="M2">
        <f>IF(ROWS($2:2)&gt;COUNTIF(Maximum_RawData!$A:$A,"1_Maximum"),"",INDEX(Maximum_RawData!M:M,MATCH("1_Maximum",Maximum_RawData!$A:$A,0)+ROWS($2:2)-1))</f>
        <v>399</v>
      </c>
      <c r="N2">
        <f>IF(ROWS($2:2)&gt;COUNTIF(Maximum_RawData!$A:$A,"1_Maximum"),"",INDEX(Maximum_RawData!N:N,MATCH("1_Maximum",Maximum_RawData!$A:$A,0)+ROWS($2:2)-1))</f>
        <v>0.08</v>
      </c>
      <c r="O2">
        <f>IF(ROWS($2:2)&gt;COUNTIF(Maximum_RawData!$A:$A,"1_Maximum"),"",INDEX(Maximum_RawData!O:O,MATCH("1_Maximum",Maximum_RawData!$A:$A,0)+ROWS($2:2)-1))</f>
        <v>0.11</v>
      </c>
      <c r="P2">
        <f>IF(ROWS($2:2)&gt;COUNTIF(Maximum_RawData!$A:$A,"1_Maximum"),"",INDEX(Maximum_RawData!P:P,MATCH("1_Maximum",Maximum_RawData!$A:$A,0)+ROWS($2:2)-1))</f>
        <v>0.08</v>
      </c>
      <c r="Q2">
        <f>IF(ROWS($2:2)&gt;COUNTIF(Maximum_RawData!$A:$A,"1_Maximum"),"",INDEX(Maximum_RawData!Q:Q,MATCH("1_Maximum",Maximum_RawData!$A:$A,0)+ROWS($2:2)-1))</f>
        <v>0.1</v>
      </c>
      <c r="R2" t="str">
        <f>IF(ROWS($2:2)&gt;COUNTIF(Maximum_RawData!$A:$A,"1_Maximum"),"",INDEX(Maximum_RawData!R:R,MATCH("1_Maximum",Maximum_RawData!$A:$A,0)+ROWS($2:2)-1))</f>
        <v>Fail</v>
      </c>
      <c r="S2" t="str">
        <f>IF(ROWS($2:2)&gt;COUNTIF(Maximum_RawData!$A:$A,"1_Maximum"),"",INDEX(Maximum_RawData!S:S,MATCH("1_Maximum",Maximum_RawData!$A:$A,0)+ROWS($2:2)-1))</f>
        <v>800G332</v>
      </c>
      <c r="T2" t="str">
        <f>IF(ROWS($2:2)&gt;COUNTIF(Maximum_RawData!$A:$A,"1_Maximum"),"",INDEX(Maximum_RawData!T:T,MATCH("1_Maximum",Maximum_RawData!$A:$A,0)+ROWS($2:2)-1))</f>
        <v>TxP Fail (TxP: -2.15)</v>
      </c>
    </row>
    <row r="3" spans="1:20">
      <c r="A3" t="str">
        <f>IF(ROWS($2:3)&gt;COUNTIF(Maximum_RawData!$A:$A,"1_Maximum"),"",INDEX(Maximum_RawData!A:A,MATCH("1_Maximum",Maximum_RawData!$A:$A,0)+ROWS($2:3)-1))</f>
        <v>1_Maximum</v>
      </c>
      <c r="B3">
        <f>IF(ROWS($2:3)&gt;COUNTIF(Maximum_RawData!$A:$A,"1_Maximum"),"",INDEX(Maximum_RawData!B:B,MATCH("1_Maximum",Maximum_RawData!$A:$A,0)+ROWS($2:3)-1))</f>
        <v>145528.05300000001</v>
      </c>
      <c r="C3">
        <f>IF(ROWS($2:3)&gt;COUNTIF(Maximum_RawData!$A:$A,"1_Maximum"),"",INDEX(Maximum_RawData!C:C,MATCH("1_Maximum",Maximum_RawData!$A:$A,0)+ROWS($2:3)-1))</f>
        <v>69.010000000000005</v>
      </c>
      <c r="D3">
        <f>IF(ROWS($2:3)&gt;COUNTIF(Maximum_RawData!$A:$A,"1_Maximum"),"",INDEX(Maximum_RawData!D:D,MATCH("1_Maximum",Maximum_RawData!$A:$A,0)+ROWS($2:3)-1))</f>
        <v>1314.7840000000001</v>
      </c>
      <c r="E3">
        <f>IF(ROWS($2:3)&gt;COUNTIF(Maximum_RawData!$A:$A,"1_Maximum"),"",INDEX(Maximum_RawData!E:E,MATCH("1_Maximum",Maximum_RawData!$A:$A,0)+ROWS($2:3)-1))</f>
        <v>-1.9</v>
      </c>
      <c r="F3">
        <f>IF(ROWS($2:3)&gt;COUNTIF(Maximum_RawData!$A:$A,"1_Maximum"),"",INDEX(Maximum_RawData!F:F,MATCH("1_Maximum",Maximum_RawData!$A:$A,0)+ROWS($2:3)-1))</f>
        <v>399</v>
      </c>
      <c r="G3">
        <f>IF(ROWS($2:3)&gt;COUNTIF(Maximum_RawData!$A:$A,"1_Maximum"),"",INDEX(Maximum_RawData!G:G,MATCH("1_Maximum",Maximum_RawData!$A:$A,0)+ROWS($2:3)-1))</f>
        <v>399</v>
      </c>
      <c r="H3">
        <f>IF(ROWS($2:3)&gt;COUNTIF(Maximum_RawData!$A:$A,"1_Maximum"),"",INDEX(Maximum_RawData!H:H,MATCH("1_Maximum",Maximum_RawData!$A:$A,0)+ROWS($2:3)-1))</f>
        <v>399</v>
      </c>
      <c r="I3">
        <f>IF(ROWS($2:3)&gt;COUNTIF(Maximum_RawData!$A:$A,"1_Maximum"),"",INDEX(Maximum_RawData!I:I,MATCH("1_Maximum",Maximum_RawData!$A:$A,0)+ROWS($2:3)-1))</f>
        <v>399</v>
      </c>
      <c r="J3">
        <f>IF(ROWS($2:3)&gt;COUNTIF(Maximum_RawData!$A:$A,"1_Maximum"),"",INDEX(Maximum_RawData!J:J,MATCH("1_Maximum",Maximum_RawData!$A:$A,0)+ROWS($2:3)-1))</f>
        <v>399</v>
      </c>
      <c r="K3">
        <f>IF(ROWS($2:3)&gt;COUNTIF(Maximum_RawData!$A:$A,"1_Maximum"),"",INDEX(Maximum_RawData!K:K,MATCH("1_Maximum",Maximum_RawData!$A:$A,0)+ROWS($2:3)-1))</f>
        <v>399</v>
      </c>
      <c r="L3">
        <f>IF(ROWS($2:3)&gt;COUNTIF(Maximum_RawData!$A:$A,"1_Maximum"),"",INDEX(Maximum_RawData!L:L,MATCH("1_Maximum",Maximum_RawData!$A:$A,0)+ROWS($2:3)-1))</f>
        <v>399</v>
      </c>
      <c r="M3">
        <f>IF(ROWS($2:3)&gt;COUNTIF(Maximum_RawData!$A:$A,"1_Maximum"),"",INDEX(Maximum_RawData!M:M,MATCH("1_Maximum",Maximum_RawData!$A:$A,0)+ROWS($2:3)-1))</f>
        <v>399</v>
      </c>
      <c r="N3">
        <f>IF(ROWS($2:3)&gt;COUNTIF(Maximum_RawData!$A:$A,"1_Maximum"),"",INDEX(Maximum_RawData!N:N,MATCH("1_Maximum",Maximum_RawData!$A:$A,0)+ROWS($2:3)-1))</f>
        <v>0.1</v>
      </c>
      <c r="O3">
        <f>IF(ROWS($2:3)&gt;COUNTIF(Maximum_RawData!$A:$A,"1_Maximum"),"",INDEX(Maximum_RawData!O:O,MATCH("1_Maximum",Maximum_RawData!$A:$A,0)+ROWS($2:3)-1))</f>
        <v>0.11</v>
      </c>
      <c r="P3">
        <f>IF(ROWS($2:3)&gt;COUNTIF(Maximum_RawData!$A:$A,"1_Maximum"),"",INDEX(Maximum_RawData!P:P,MATCH("1_Maximum",Maximum_RawData!$A:$A,0)+ROWS($2:3)-1))</f>
        <v>0.08</v>
      </c>
      <c r="Q3">
        <f>IF(ROWS($2:3)&gt;COUNTIF(Maximum_RawData!$A:$A,"1_Maximum"),"",INDEX(Maximum_RawData!Q:Q,MATCH("1_Maximum",Maximum_RawData!$A:$A,0)+ROWS($2:3)-1))</f>
        <v>0.1</v>
      </c>
      <c r="R3" t="str">
        <f>IF(ROWS($2:3)&gt;COUNTIF(Maximum_RawData!$A:$A,"1_Maximum"),"",INDEX(Maximum_RawData!R:R,MATCH("1_Maximum",Maximum_RawData!$A:$A,0)+ROWS($2:3)-1))</f>
        <v>Pass</v>
      </c>
      <c r="S3">
        <f>IF(ROWS($2:3)&gt;COUNTIF(Maximum_RawData!$A:$A,"1_Maximum"),"",INDEX(Maximum_RawData!S:S,MATCH("1_Maximum",Maximum_RawData!$A:$A,0)+ROWS($2:3)-1))</f>
        <v>0</v>
      </c>
      <c r="T3">
        <f>IF(ROWS($2:3)&gt;COUNTIF(Maximum_RawData!$A:$A,"1_Maximum"),"",INDEX(Maximum_RawData!T:T,MATCH("1_Maximum",Maximum_RawData!$A:$A,0)+ROWS($2:3)-1))</f>
        <v>0</v>
      </c>
    </row>
    <row r="4" spans="1:20">
      <c r="A4" t="str">
        <f>IF(ROWS($2:4)&gt;COUNTIF(Maximum_RawData!$A:$A,"1_Maximum"),"",INDEX(Maximum_RawData!A:A,MATCH("1_Maximum",Maximum_RawData!$A:$A,0)+ROWS($2:4)-1))</f>
        <v>1_Maximum</v>
      </c>
      <c r="B4">
        <f>IF(ROWS($2:4)&gt;COUNTIF(Maximum_RawData!$A:$A,"1_Maximum"),"",INDEX(Maximum_RawData!B:B,MATCH("1_Maximum",Maximum_RawData!$A:$A,0)+ROWS($2:4)-1))</f>
        <v>145533.04999999999</v>
      </c>
      <c r="C4">
        <f>IF(ROWS($2:4)&gt;COUNTIF(Maximum_RawData!$A:$A,"1_Maximum"),"",INDEX(Maximum_RawData!C:C,MATCH("1_Maximum",Maximum_RawData!$A:$A,0)+ROWS($2:4)-1))</f>
        <v>68.260000000000005</v>
      </c>
      <c r="D4">
        <f>IF(ROWS($2:4)&gt;COUNTIF(Maximum_RawData!$A:$A,"1_Maximum"),"",INDEX(Maximum_RawData!D:D,MATCH("1_Maximum",Maximum_RawData!$A:$A,0)+ROWS($2:4)-1))</f>
        <v>1314.7180000000001</v>
      </c>
      <c r="E4">
        <f>IF(ROWS($2:4)&gt;COUNTIF(Maximum_RawData!$A:$A,"1_Maximum"),"",INDEX(Maximum_RawData!E:E,MATCH("1_Maximum",Maximum_RawData!$A:$A,0)+ROWS($2:4)-1))</f>
        <v>-1.7</v>
      </c>
      <c r="F4">
        <f>IF(ROWS($2:4)&gt;COUNTIF(Maximum_RawData!$A:$A,"1_Maximum"),"",INDEX(Maximum_RawData!F:F,MATCH("1_Maximum",Maximum_RawData!$A:$A,0)+ROWS($2:4)-1))</f>
        <v>399</v>
      </c>
      <c r="G4">
        <f>IF(ROWS($2:4)&gt;COUNTIF(Maximum_RawData!$A:$A,"1_Maximum"),"",INDEX(Maximum_RawData!G:G,MATCH("1_Maximum",Maximum_RawData!$A:$A,0)+ROWS($2:4)-1))</f>
        <v>399</v>
      </c>
      <c r="H4">
        <f>IF(ROWS($2:4)&gt;COUNTIF(Maximum_RawData!$A:$A,"1_Maximum"),"",INDEX(Maximum_RawData!H:H,MATCH("1_Maximum",Maximum_RawData!$A:$A,0)+ROWS($2:4)-1))</f>
        <v>399</v>
      </c>
      <c r="I4">
        <f>IF(ROWS($2:4)&gt;COUNTIF(Maximum_RawData!$A:$A,"1_Maximum"),"",INDEX(Maximum_RawData!I:I,MATCH("1_Maximum",Maximum_RawData!$A:$A,0)+ROWS($2:4)-1))</f>
        <v>399</v>
      </c>
      <c r="J4">
        <f>IF(ROWS($2:4)&gt;COUNTIF(Maximum_RawData!$A:$A,"1_Maximum"),"",INDEX(Maximum_RawData!J:J,MATCH("1_Maximum",Maximum_RawData!$A:$A,0)+ROWS($2:4)-1))</f>
        <v>399</v>
      </c>
      <c r="K4">
        <f>IF(ROWS($2:4)&gt;COUNTIF(Maximum_RawData!$A:$A,"1_Maximum"),"",INDEX(Maximum_RawData!K:K,MATCH("1_Maximum",Maximum_RawData!$A:$A,0)+ROWS($2:4)-1))</f>
        <v>399</v>
      </c>
      <c r="L4">
        <f>IF(ROWS($2:4)&gt;COUNTIF(Maximum_RawData!$A:$A,"1_Maximum"),"",INDEX(Maximum_RawData!L:L,MATCH("1_Maximum",Maximum_RawData!$A:$A,0)+ROWS($2:4)-1))</f>
        <v>399</v>
      </c>
      <c r="M4">
        <f>IF(ROWS($2:4)&gt;COUNTIF(Maximum_RawData!$A:$A,"1_Maximum"),"",INDEX(Maximum_RawData!M:M,MATCH("1_Maximum",Maximum_RawData!$A:$A,0)+ROWS($2:4)-1))</f>
        <v>399</v>
      </c>
      <c r="N4">
        <f>IF(ROWS($2:4)&gt;COUNTIF(Maximum_RawData!$A:$A,"1_Maximum"),"",INDEX(Maximum_RawData!N:N,MATCH("1_Maximum",Maximum_RawData!$A:$A,0)+ROWS($2:4)-1))</f>
        <v>0.09</v>
      </c>
      <c r="O4">
        <f>IF(ROWS($2:4)&gt;COUNTIF(Maximum_RawData!$A:$A,"1_Maximum"),"",INDEX(Maximum_RawData!O:O,MATCH("1_Maximum",Maximum_RawData!$A:$A,0)+ROWS($2:4)-1))</f>
        <v>0.11</v>
      </c>
      <c r="P4">
        <f>IF(ROWS($2:4)&gt;COUNTIF(Maximum_RawData!$A:$A,"1_Maximum"),"",INDEX(Maximum_RawData!P:P,MATCH("1_Maximum",Maximum_RawData!$A:$A,0)+ROWS($2:4)-1))</f>
        <v>0.08</v>
      </c>
      <c r="Q4">
        <f>IF(ROWS($2:4)&gt;COUNTIF(Maximum_RawData!$A:$A,"1_Maximum"),"",INDEX(Maximum_RawData!Q:Q,MATCH("1_Maximum",Maximum_RawData!$A:$A,0)+ROWS($2:4)-1))</f>
        <v>0.1</v>
      </c>
      <c r="R4" t="str">
        <f>IF(ROWS($2:4)&gt;COUNTIF(Maximum_RawData!$A:$A,"1_Maximum"),"",INDEX(Maximum_RawData!R:R,MATCH("1_Maximum",Maximum_RawData!$A:$A,0)+ROWS($2:4)-1))</f>
        <v>Pass</v>
      </c>
      <c r="S4">
        <f>IF(ROWS($2:4)&gt;COUNTIF(Maximum_RawData!$A:$A,"1_Maximum"),"",INDEX(Maximum_RawData!S:S,MATCH("1_Maximum",Maximum_RawData!$A:$A,0)+ROWS($2:4)-1))</f>
        <v>0</v>
      </c>
      <c r="T4">
        <f>IF(ROWS($2:4)&gt;COUNTIF(Maximum_RawData!$A:$A,"1_Maximum"),"",INDEX(Maximum_RawData!T:T,MATCH("1_Maximum",Maximum_RawData!$A:$A,0)+ROWS($2:4)-1))</f>
        <v>0</v>
      </c>
    </row>
    <row r="5" spans="1:20">
      <c r="A5" t="str">
        <f>IF(ROWS($2:5)&gt;COUNTIF(Maximum_RawData!$A:$A,"1_Maximum"),"",INDEX(Maximum_RawData!A:A,MATCH("1_Maximum",Maximum_RawData!$A:$A,0)+ROWS($2:5)-1))</f>
        <v>1_Maximum</v>
      </c>
      <c r="B5">
        <f>IF(ROWS($2:5)&gt;COUNTIF(Maximum_RawData!$A:$A,"1_Maximum"),"",INDEX(Maximum_RawData!B:B,MATCH("1_Maximum",Maximum_RawData!$A:$A,0)+ROWS($2:5)-1))</f>
        <v>145538.049</v>
      </c>
      <c r="C5">
        <f>IF(ROWS($2:5)&gt;COUNTIF(Maximum_RawData!$A:$A,"1_Maximum"),"",INDEX(Maximum_RawData!C:C,MATCH("1_Maximum",Maximum_RawData!$A:$A,0)+ROWS($2:5)-1))</f>
        <v>67.510000000000005</v>
      </c>
      <c r="D5">
        <f>IF(ROWS($2:5)&gt;COUNTIF(Maximum_RawData!$A:$A,"1_Maximum"),"",INDEX(Maximum_RawData!D:D,MATCH("1_Maximum",Maximum_RawData!$A:$A,0)+ROWS($2:5)-1))</f>
        <v>1314.6479999999999</v>
      </c>
      <c r="E5">
        <f>IF(ROWS($2:5)&gt;COUNTIF(Maximum_RawData!$A:$A,"1_Maximum"),"",INDEX(Maximum_RawData!E:E,MATCH("1_Maximum",Maximum_RawData!$A:$A,0)+ROWS($2:5)-1))</f>
        <v>-1.47</v>
      </c>
      <c r="F5">
        <f>IF(ROWS($2:5)&gt;COUNTIF(Maximum_RawData!$A:$A,"1_Maximum"),"",INDEX(Maximum_RawData!F:F,MATCH("1_Maximum",Maximum_RawData!$A:$A,0)+ROWS($2:5)-1))</f>
        <v>399</v>
      </c>
      <c r="G5">
        <f>IF(ROWS($2:5)&gt;COUNTIF(Maximum_RawData!$A:$A,"1_Maximum"),"",INDEX(Maximum_RawData!G:G,MATCH("1_Maximum",Maximum_RawData!$A:$A,0)+ROWS($2:5)-1))</f>
        <v>399</v>
      </c>
      <c r="H5">
        <f>IF(ROWS($2:5)&gt;COUNTIF(Maximum_RawData!$A:$A,"1_Maximum"),"",INDEX(Maximum_RawData!H:H,MATCH("1_Maximum",Maximum_RawData!$A:$A,0)+ROWS($2:5)-1))</f>
        <v>399</v>
      </c>
      <c r="I5">
        <f>IF(ROWS($2:5)&gt;COUNTIF(Maximum_RawData!$A:$A,"1_Maximum"),"",INDEX(Maximum_RawData!I:I,MATCH("1_Maximum",Maximum_RawData!$A:$A,0)+ROWS($2:5)-1))</f>
        <v>399</v>
      </c>
      <c r="J5">
        <f>IF(ROWS($2:5)&gt;COUNTIF(Maximum_RawData!$A:$A,"1_Maximum"),"",INDEX(Maximum_RawData!J:J,MATCH("1_Maximum",Maximum_RawData!$A:$A,0)+ROWS($2:5)-1))</f>
        <v>399</v>
      </c>
      <c r="K5">
        <f>IF(ROWS($2:5)&gt;COUNTIF(Maximum_RawData!$A:$A,"1_Maximum"),"",INDEX(Maximum_RawData!K:K,MATCH("1_Maximum",Maximum_RawData!$A:$A,0)+ROWS($2:5)-1))</f>
        <v>399</v>
      </c>
      <c r="L5">
        <f>IF(ROWS($2:5)&gt;COUNTIF(Maximum_RawData!$A:$A,"1_Maximum"),"",INDEX(Maximum_RawData!L:L,MATCH("1_Maximum",Maximum_RawData!$A:$A,0)+ROWS($2:5)-1))</f>
        <v>399</v>
      </c>
      <c r="M5">
        <f>IF(ROWS($2:5)&gt;COUNTIF(Maximum_RawData!$A:$A,"1_Maximum"),"",INDEX(Maximum_RawData!M:M,MATCH("1_Maximum",Maximum_RawData!$A:$A,0)+ROWS($2:5)-1))</f>
        <v>399</v>
      </c>
      <c r="N5">
        <f>IF(ROWS($2:5)&gt;COUNTIF(Maximum_RawData!$A:$A,"1_Maximum"),"",INDEX(Maximum_RawData!N:N,MATCH("1_Maximum",Maximum_RawData!$A:$A,0)+ROWS($2:5)-1))</f>
        <v>0.09</v>
      </c>
      <c r="O5">
        <f>IF(ROWS($2:5)&gt;COUNTIF(Maximum_RawData!$A:$A,"1_Maximum"),"",INDEX(Maximum_RawData!O:O,MATCH("1_Maximum",Maximum_RawData!$A:$A,0)+ROWS($2:5)-1))</f>
        <v>0.11</v>
      </c>
      <c r="P5">
        <f>IF(ROWS($2:5)&gt;COUNTIF(Maximum_RawData!$A:$A,"1_Maximum"),"",INDEX(Maximum_RawData!P:P,MATCH("1_Maximum",Maximum_RawData!$A:$A,0)+ROWS($2:5)-1))</f>
        <v>0.08</v>
      </c>
      <c r="Q5">
        <f>IF(ROWS($2:5)&gt;COUNTIF(Maximum_RawData!$A:$A,"1_Maximum"),"",INDEX(Maximum_RawData!Q:Q,MATCH("1_Maximum",Maximum_RawData!$A:$A,0)+ROWS($2:5)-1))</f>
        <v>0.1</v>
      </c>
      <c r="R5" t="str">
        <f>IF(ROWS($2:5)&gt;COUNTIF(Maximum_RawData!$A:$A,"1_Maximum"),"",INDEX(Maximum_RawData!R:R,MATCH("1_Maximum",Maximum_RawData!$A:$A,0)+ROWS($2:5)-1))</f>
        <v>Pass</v>
      </c>
      <c r="S5">
        <f>IF(ROWS($2:5)&gt;COUNTIF(Maximum_RawData!$A:$A,"1_Maximum"),"",INDEX(Maximum_RawData!S:S,MATCH("1_Maximum",Maximum_RawData!$A:$A,0)+ROWS($2:5)-1))</f>
        <v>0</v>
      </c>
      <c r="T5">
        <f>IF(ROWS($2:5)&gt;COUNTIF(Maximum_RawData!$A:$A,"1_Maximum"),"",INDEX(Maximum_RawData!T:T,MATCH("1_Maximum",Maximum_RawData!$A:$A,0)+ROWS($2:5)-1))</f>
        <v>0</v>
      </c>
    </row>
    <row r="6" spans="1:20">
      <c r="A6" t="str">
        <f>IF(ROWS($2:6)&gt;COUNTIF(Maximum_RawData!$A:$A,"1_Maximum"),"",INDEX(Maximum_RawData!A:A,MATCH("1_Maximum",Maximum_RawData!$A:$A,0)+ROWS($2:6)-1))</f>
        <v>1_Maximum</v>
      </c>
      <c r="B6">
        <f>IF(ROWS($2:6)&gt;COUNTIF(Maximum_RawData!$A:$A,"1_Maximum"),"",INDEX(Maximum_RawData!B:B,MATCH("1_Maximum",Maximum_RawData!$A:$A,0)+ROWS($2:6)-1))</f>
        <v>145543.05100000001</v>
      </c>
      <c r="C6">
        <f>IF(ROWS($2:6)&gt;COUNTIF(Maximum_RawData!$A:$A,"1_Maximum"),"",INDEX(Maximum_RawData!C:C,MATCH("1_Maximum",Maximum_RawData!$A:$A,0)+ROWS($2:6)-1))</f>
        <v>66.78</v>
      </c>
      <c r="D6">
        <f>IF(ROWS($2:6)&gt;COUNTIF(Maximum_RawData!$A:$A,"1_Maximum"),"",INDEX(Maximum_RawData!D:D,MATCH("1_Maximum",Maximum_RawData!$A:$A,0)+ROWS($2:6)-1))</f>
        <v>1314.579</v>
      </c>
      <c r="E6">
        <f>IF(ROWS($2:6)&gt;COUNTIF(Maximum_RawData!$A:$A,"1_Maximum"),"",INDEX(Maximum_RawData!E:E,MATCH("1_Maximum",Maximum_RawData!$A:$A,0)+ROWS($2:6)-1))</f>
        <v>-1.23</v>
      </c>
      <c r="F6">
        <f>IF(ROWS($2:6)&gt;COUNTIF(Maximum_RawData!$A:$A,"1_Maximum"),"",INDEX(Maximum_RawData!F:F,MATCH("1_Maximum",Maximum_RawData!$A:$A,0)+ROWS($2:6)-1))</f>
        <v>399</v>
      </c>
      <c r="G6">
        <f>IF(ROWS($2:6)&gt;COUNTIF(Maximum_RawData!$A:$A,"1_Maximum"),"",INDEX(Maximum_RawData!G:G,MATCH("1_Maximum",Maximum_RawData!$A:$A,0)+ROWS($2:6)-1))</f>
        <v>399</v>
      </c>
      <c r="H6">
        <f>IF(ROWS($2:6)&gt;COUNTIF(Maximum_RawData!$A:$A,"1_Maximum"),"",INDEX(Maximum_RawData!H:H,MATCH("1_Maximum",Maximum_RawData!$A:$A,0)+ROWS($2:6)-1))</f>
        <v>399</v>
      </c>
      <c r="I6">
        <f>IF(ROWS($2:6)&gt;COUNTIF(Maximum_RawData!$A:$A,"1_Maximum"),"",INDEX(Maximum_RawData!I:I,MATCH("1_Maximum",Maximum_RawData!$A:$A,0)+ROWS($2:6)-1))</f>
        <v>399</v>
      </c>
      <c r="J6">
        <f>IF(ROWS($2:6)&gt;COUNTIF(Maximum_RawData!$A:$A,"1_Maximum"),"",INDEX(Maximum_RawData!J:J,MATCH("1_Maximum",Maximum_RawData!$A:$A,0)+ROWS($2:6)-1))</f>
        <v>399</v>
      </c>
      <c r="K6">
        <f>IF(ROWS($2:6)&gt;COUNTIF(Maximum_RawData!$A:$A,"1_Maximum"),"",INDEX(Maximum_RawData!K:K,MATCH("1_Maximum",Maximum_RawData!$A:$A,0)+ROWS($2:6)-1))</f>
        <v>399</v>
      </c>
      <c r="L6">
        <f>IF(ROWS($2:6)&gt;COUNTIF(Maximum_RawData!$A:$A,"1_Maximum"),"",INDEX(Maximum_RawData!L:L,MATCH("1_Maximum",Maximum_RawData!$A:$A,0)+ROWS($2:6)-1))</f>
        <v>399</v>
      </c>
      <c r="M6">
        <f>IF(ROWS($2:6)&gt;COUNTIF(Maximum_RawData!$A:$A,"1_Maximum"),"",INDEX(Maximum_RawData!M:M,MATCH("1_Maximum",Maximum_RawData!$A:$A,0)+ROWS($2:6)-1))</f>
        <v>399</v>
      </c>
      <c r="N6">
        <f>IF(ROWS($2:6)&gt;COUNTIF(Maximum_RawData!$A:$A,"1_Maximum"),"",INDEX(Maximum_RawData!N:N,MATCH("1_Maximum",Maximum_RawData!$A:$A,0)+ROWS($2:6)-1))</f>
        <v>0.09</v>
      </c>
      <c r="O6">
        <f>IF(ROWS($2:6)&gt;COUNTIF(Maximum_RawData!$A:$A,"1_Maximum"),"",INDEX(Maximum_RawData!O:O,MATCH("1_Maximum",Maximum_RawData!$A:$A,0)+ROWS($2:6)-1))</f>
        <v>0.11</v>
      </c>
      <c r="P6">
        <f>IF(ROWS($2:6)&gt;COUNTIF(Maximum_RawData!$A:$A,"1_Maximum"),"",INDEX(Maximum_RawData!P:P,MATCH("1_Maximum",Maximum_RawData!$A:$A,0)+ROWS($2:6)-1))</f>
        <v>0.08</v>
      </c>
      <c r="Q6">
        <f>IF(ROWS($2:6)&gt;COUNTIF(Maximum_RawData!$A:$A,"1_Maximum"),"",INDEX(Maximum_RawData!Q:Q,MATCH("1_Maximum",Maximum_RawData!$A:$A,0)+ROWS($2:6)-1))</f>
        <v>0.1</v>
      </c>
      <c r="R6" t="str">
        <f>IF(ROWS($2:6)&gt;COUNTIF(Maximum_RawData!$A:$A,"1_Maximum"),"",INDEX(Maximum_RawData!R:R,MATCH("1_Maximum",Maximum_RawData!$A:$A,0)+ROWS($2:6)-1))</f>
        <v>Pass</v>
      </c>
      <c r="S6">
        <f>IF(ROWS($2:6)&gt;COUNTIF(Maximum_RawData!$A:$A,"1_Maximum"),"",INDEX(Maximum_RawData!S:S,MATCH("1_Maximum",Maximum_RawData!$A:$A,0)+ROWS($2:6)-1))</f>
        <v>0</v>
      </c>
      <c r="T6">
        <f>IF(ROWS($2:6)&gt;COUNTIF(Maximum_RawData!$A:$A,"1_Maximum"),"",INDEX(Maximum_RawData!T:T,MATCH("1_Maximum",Maximum_RawData!$A:$A,0)+ROWS($2:6)-1))</f>
        <v>0</v>
      </c>
    </row>
    <row r="7" spans="1:20">
      <c r="A7" t="str">
        <f>IF(ROWS($2:7)&gt;COUNTIF(Maximum_RawData!$A:$A,"1_Maximum"),"",INDEX(Maximum_RawData!A:A,MATCH("1_Maximum",Maximum_RawData!$A:$A,0)+ROWS($2:7)-1))</f>
        <v>1_Maximum</v>
      </c>
      <c r="B7">
        <f>IF(ROWS($2:7)&gt;COUNTIF(Maximum_RawData!$A:$A,"1_Maximum"),"",INDEX(Maximum_RawData!B:B,MATCH("1_Maximum",Maximum_RawData!$A:$A,0)+ROWS($2:7)-1))</f>
        <v>145548.05300000001</v>
      </c>
      <c r="C7">
        <f>IF(ROWS($2:7)&gt;COUNTIF(Maximum_RawData!$A:$A,"1_Maximum"),"",INDEX(Maximum_RawData!C:C,MATCH("1_Maximum",Maximum_RawData!$A:$A,0)+ROWS($2:7)-1))</f>
        <v>66.040000000000006</v>
      </c>
      <c r="D7">
        <f>IF(ROWS($2:7)&gt;COUNTIF(Maximum_RawData!$A:$A,"1_Maximum"),"",INDEX(Maximum_RawData!D:D,MATCH("1_Maximum",Maximum_RawData!$A:$A,0)+ROWS($2:7)-1))</f>
        <v>1314.5150000000001</v>
      </c>
      <c r="E7">
        <f>IF(ROWS($2:7)&gt;COUNTIF(Maximum_RawData!$A:$A,"1_Maximum"),"",INDEX(Maximum_RawData!E:E,MATCH("1_Maximum",Maximum_RawData!$A:$A,0)+ROWS($2:7)-1))</f>
        <v>-0.98</v>
      </c>
      <c r="F7">
        <f>IF(ROWS($2:7)&gt;COUNTIF(Maximum_RawData!$A:$A,"1_Maximum"),"",INDEX(Maximum_RawData!F:F,MATCH("1_Maximum",Maximum_RawData!$A:$A,0)+ROWS($2:7)-1))</f>
        <v>399</v>
      </c>
      <c r="G7">
        <f>IF(ROWS($2:7)&gt;COUNTIF(Maximum_RawData!$A:$A,"1_Maximum"),"",INDEX(Maximum_RawData!G:G,MATCH("1_Maximum",Maximum_RawData!$A:$A,0)+ROWS($2:7)-1))</f>
        <v>399</v>
      </c>
      <c r="H7">
        <f>IF(ROWS($2:7)&gt;COUNTIF(Maximum_RawData!$A:$A,"1_Maximum"),"",INDEX(Maximum_RawData!H:H,MATCH("1_Maximum",Maximum_RawData!$A:$A,0)+ROWS($2:7)-1))</f>
        <v>399</v>
      </c>
      <c r="I7">
        <f>IF(ROWS($2:7)&gt;COUNTIF(Maximum_RawData!$A:$A,"1_Maximum"),"",INDEX(Maximum_RawData!I:I,MATCH("1_Maximum",Maximum_RawData!$A:$A,0)+ROWS($2:7)-1))</f>
        <v>399</v>
      </c>
      <c r="J7">
        <f>IF(ROWS($2:7)&gt;COUNTIF(Maximum_RawData!$A:$A,"1_Maximum"),"",INDEX(Maximum_RawData!J:J,MATCH("1_Maximum",Maximum_RawData!$A:$A,0)+ROWS($2:7)-1))</f>
        <v>399</v>
      </c>
      <c r="K7">
        <f>IF(ROWS($2:7)&gt;COUNTIF(Maximum_RawData!$A:$A,"1_Maximum"),"",INDEX(Maximum_RawData!K:K,MATCH("1_Maximum",Maximum_RawData!$A:$A,0)+ROWS($2:7)-1))</f>
        <v>399</v>
      </c>
      <c r="L7">
        <f>IF(ROWS($2:7)&gt;COUNTIF(Maximum_RawData!$A:$A,"1_Maximum"),"",INDEX(Maximum_RawData!L:L,MATCH("1_Maximum",Maximum_RawData!$A:$A,0)+ROWS($2:7)-1))</f>
        <v>399</v>
      </c>
      <c r="M7">
        <f>IF(ROWS($2:7)&gt;COUNTIF(Maximum_RawData!$A:$A,"1_Maximum"),"",INDEX(Maximum_RawData!M:M,MATCH("1_Maximum",Maximum_RawData!$A:$A,0)+ROWS($2:7)-1))</f>
        <v>399</v>
      </c>
      <c r="N7">
        <f>IF(ROWS($2:7)&gt;COUNTIF(Maximum_RawData!$A:$A,"1_Maximum"),"",INDEX(Maximum_RawData!N:N,MATCH("1_Maximum",Maximum_RawData!$A:$A,0)+ROWS($2:7)-1))</f>
        <v>0.09</v>
      </c>
      <c r="O7">
        <f>IF(ROWS($2:7)&gt;COUNTIF(Maximum_RawData!$A:$A,"1_Maximum"),"",INDEX(Maximum_RawData!O:O,MATCH("1_Maximum",Maximum_RawData!$A:$A,0)+ROWS($2:7)-1))</f>
        <v>0.11</v>
      </c>
      <c r="P7">
        <f>IF(ROWS($2:7)&gt;COUNTIF(Maximum_RawData!$A:$A,"1_Maximum"),"",INDEX(Maximum_RawData!P:P,MATCH("1_Maximum",Maximum_RawData!$A:$A,0)+ROWS($2:7)-1))</f>
        <v>0.08</v>
      </c>
      <c r="Q7">
        <f>IF(ROWS($2:7)&gt;COUNTIF(Maximum_RawData!$A:$A,"1_Maximum"),"",INDEX(Maximum_RawData!Q:Q,MATCH("1_Maximum",Maximum_RawData!$A:$A,0)+ROWS($2:7)-1))</f>
        <v>0.1</v>
      </c>
      <c r="R7" t="str">
        <f>IF(ROWS($2:7)&gt;COUNTIF(Maximum_RawData!$A:$A,"1_Maximum"),"",INDEX(Maximum_RawData!R:R,MATCH("1_Maximum",Maximum_RawData!$A:$A,0)+ROWS($2:7)-1))</f>
        <v>Pass</v>
      </c>
      <c r="S7">
        <f>IF(ROWS($2:7)&gt;COUNTIF(Maximum_RawData!$A:$A,"1_Maximum"),"",INDEX(Maximum_RawData!S:S,MATCH("1_Maximum",Maximum_RawData!$A:$A,0)+ROWS($2:7)-1))</f>
        <v>0</v>
      </c>
      <c r="T7">
        <f>IF(ROWS($2:7)&gt;COUNTIF(Maximum_RawData!$A:$A,"1_Maximum"),"",INDEX(Maximum_RawData!T:T,MATCH("1_Maximum",Maximum_RawData!$A:$A,0)+ROWS($2:7)-1))</f>
        <v>0</v>
      </c>
    </row>
    <row r="8" spans="1:20">
      <c r="A8" t="str">
        <f>IF(ROWS($2:8)&gt;COUNTIF(Maximum_RawData!$A:$A,"1_Maximum"),"",INDEX(Maximum_RawData!A:A,MATCH("1_Maximum",Maximum_RawData!$A:$A,0)+ROWS($2:8)-1))</f>
        <v>1_Maximum</v>
      </c>
      <c r="B8">
        <f>IF(ROWS($2:8)&gt;COUNTIF(Maximum_RawData!$A:$A,"1_Maximum"),"",INDEX(Maximum_RawData!B:B,MATCH("1_Maximum",Maximum_RawData!$A:$A,0)+ROWS($2:8)-1))</f>
        <v>145553.04999999999</v>
      </c>
      <c r="C8">
        <f>IF(ROWS($2:8)&gt;COUNTIF(Maximum_RawData!$A:$A,"1_Maximum"),"",INDEX(Maximum_RawData!C:C,MATCH("1_Maximum",Maximum_RawData!$A:$A,0)+ROWS($2:8)-1))</f>
        <v>65.31</v>
      </c>
      <c r="D8">
        <f>IF(ROWS($2:8)&gt;COUNTIF(Maximum_RawData!$A:$A,"1_Maximum"),"",INDEX(Maximum_RawData!D:D,MATCH("1_Maximum",Maximum_RawData!$A:$A,0)+ROWS($2:8)-1))</f>
        <v>1314.4359999999999</v>
      </c>
      <c r="E8">
        <f>IF(ROWS($2:8)&gt;COUNTIF(Maximum_RawData!$A:$A,"1_Maximum"),"",INDEX(Maximum_RawData!E:E,MATCH("1_Maximum",Maximum_RawData!$A:$A,0)+ROWS($2:8)-1))</f>
        <v>-0.66</v>
      </c>
      <c r="F8">
        <f>IF(ROWS($2:8)&gt;COUNTIF(Maximum_RawData!$A:$A,"1_Maximum"),"",INDEX(Maximum_RawData!F:F,MATCH("1_Maximum",Maximum_RawData!$A:$A,0)+ROWS($2:8)-1))</f>
        <v>399</v>
      </c>
      <c r="G8">
        <f>IF(ROWS($2:8)&gt;COUNTIF(Maximum_RawData!$A:$A,"1_Maximum"),"",INDEX(Maximum_RawData!G:G,MATCH("1_Maximum",Maximum_RawData!$A:$A,0)+ROWS($2:8)-1))</f>
        <v>399</v>
      </c>
      <c r="H8">
        <f>IF(ROWS($2:8)&gt;COUNTIF(Maximum_RawData!$A:$A,"1_Maximum"),"",INDEX(Maximum_RawData!H:H,MATCH("1_Maximum",Maximum_RawData!$A:$A,0)+ROWS($2:8)-1))</f>
        <v>399</v>
      </c>
      <c r="I8">
        <f>IF(ROWS($2:8)&gt;COUNTIF(Maximum_RawData!$A:$A,"1_Maximum"),"",INDEX(Maximum_RawData!I:I,MATCH("1_Maximum",Maximum_RawData!$A:$A,0)+ROWS($2:8)-1))</f>
        <v>399</v>
      </c>
      <c r="J8">
        <f>IF(ROWS($2:8)&gt;COUNTIF(Maximum_RawData!$A:$A,"1_Maximum"),"",INDEX(Maximum_RawData!J:J,MATCH("1_Maximum",Maximum_RawData!$A:$A,0)+ROWS($2:8)-1))</f>
        <v>399</v>
      </c>
      <c r="K8">
        <f>IF(ROWS($2:8)&gt;COUNTIF(Maximum_RawData!$A:$A,"1_Maximum"),"",INDEX(Maximum_RawData!K:K,MATCH("1_Maximum",Maximum_RawData!$A:$A,0)+ROWS($2:8)-1))</f>
        <v>399</v>
      </c>
      <c r="L8">
        <f>IF(ROWS($2:8)&gt;COUNTIF(Maximum_RawData!$A:$A,"1_Maximum"),"",INDEX(Maximum_RawData!L:L,MATCH("1_Maximum",Maximum_RawData!$A:$A,0)+ROWS($2:8)-1))</f>
        <v>399</v>
      </c>
      <c r="M8">
        <f>IF(ROWS($2:8)&gt;COUNTIF(Maximum_RawData!$A:$A,"1_Maximum"),"",INDEX(Maximum_RawData!M:M,MATCH("1_Maximum",Maximum_RawData!$A:$A,0)+ROWS($2:8)-1))</f>
        <v>399</v>
      </c>
      <c r="N8">
        <f>IF(ROWS($2:8)&gt;COUNTIF(Maximum_RawData!$A:$A,"1_Maximum"),"",INDEX(Maximum_RawData!N:N,MATCH("1_Maximum",Maximum_RawData!$A:$A,0)+ROWS($2:8)-1))</f>
        <v>0.11</v>
      </c>
      <c r="O8">
        <f>IF(ROWS($2:8)&gt;COUNTIF(Maximum_RawData!$A:$A,"1_Maximum"),"",INDEX(Maximum_RawData!O:O,MATCH("1_Maximum",Maximum_RawData!$A:$A,0)+ROWS($2:8)-1))</f>
        <v>0.11</v>
      </c>
      <c r="P8">
        <f>IF(ROWS($2:8)&gt;COUNTIF(Maximum_RawData!$A:$A,"1_Maximum"),"",INDEX(Maximum_RawData!P:P,MATCH("1_Maximum",Maximum_RawData!$A:$A,0)+ROWS($2:8)-1))</f>
        <v>0.08</v>
      </c>
      <c r="Q8">
        <f>IF(ROWS($2:8)&gt;COUNTIF(Maximum_RawData!$A:$A,"1_Maximum"),"",INDEX(Maximum_RawData!Q:Q,MATCH("1_Maximum",Maximum_RawData!$A:$A,0)+ROWS($2:8)-1))</f>
        <v>0.1</v>
      </c>
      <c r="R8" t="str">
        <f>IF(ROWS($2:8)&gt;COUNTIF(Maximum_RawData!$A:$A,"1_Maximum"),"",INDEX(Maximum_RawData!R:R,MATCH("1_Maximum",Maximum_RawData!$A:$A,0)+ROWS($2:8)-1))</f>
        <v>Pass</v>
      </c>
      <c r="S8">
        <f>IF(ROWS($2:8)&gt;COUNTIF(Maximum_RawData!$A:$A,"1_Maximum"),"",INDEX(Maximum_RawData!S:S,MATCH("1_Maximum",Maximum_RawData!$A:$A,0)+ROWS($2:8)-1))</f>
        <v>0</v>
      </c>
      <c r="T8">
        <f>IF(ROWS($2:8)&gt;COUNTIF(Maximum_RawData!$A:$A,"1_Maximum"),"",INDEX(Maximum_RawData!T:T,MATCH("1_Maximum",Maximum_RawData!$A:$A,0)+ROWS($2:8)-1))</f>
        <v>0</v>
      </c>
    </row>
    <row r="9" spans="1:20">
      <c r="A9" t="str">
        <f>IF(ROWS($2:9)&gt;COUNTIF(Maximum_RawData!$A:$A,"1_Maximum"),"",INDEX(Maximum_RawData!A:A,MATCH("1_Maximum",Maximum_RawData!$A:$A,0)+ROWS($2:9)-1))</f>
        <v>1_Maximum</v>
      </c>
      <c r="B9">
        <f>IF(ROWS($2:9)&gt;COUNTIF(Maximum_RawData!$A:$A,"1_Maximum"),"",INDEX(Maximum_RawData!B:B,MATCH("1_Maximum",Maximum_RawData!$A:$A,0)+ROWS($2:9)-1))</f>
        <v>145558.05499999999</v>
      </c>
      <c r="C9">
        <f>IF(ROWS($2:9)&gt;COUNTIF(Maximum_RawData!$A:$A,"1_Maximum"),"",INDEX(Maximum_RawData!C:C,MATCH("1_Maximum",Maximum_RawData!$A:$A,0)+ROWS($2:9)-1))</f>
        <v>64.569999999999993</v>
      </c>
      <c r="D9">
        <f>IF(ROWS($2:9)&gt;COUNTIF(Maximum_RawData!$A:$A,"1_Maximum"),"",INDEX(Maximum_RawData!D:D,MATCH("1_Maximum",Maximum_RawData!$A:$A,0)+ROWS($2:9)-1))</f>
        <v>1314.364</v>
      </c>
      <c r="E9">
        <f>IF(ROWS($2:9)&gt;COUNTIF(Maximum_RawData!$A:$A,"1_Maximum"),"",INDEX(Maximum_RawData!E:E,MATCH("1_Maximum",Maximum_RawData!$A:$A,0)+ROWS($2:9)-1))</f>
        <v>-0.51</v>
      </c>
      <c r="F9">
        <f>IF(ROWS($2:9)&gt;COUNTIF(Maximum_RawData!$A:$A,"1_Maximum"),"",INDEX(Maximum_RawData!F:F,MATCH("1_Maximum",Maximum_RawData!$A:$A,0)+ROWS($2:9)-1))</f>
        <v>399</v>
      </c>
      <c r="G9">
        <f>IF(ROWS($2:9)&gt;COUNTIF(Maximum_RawData!$A:$A,"1_Maximum"),"",INDEX(Maximum_RawData!G:G,MATCH("1_Maximum",Maximum_RawData!$A:$A,0)+ROWS($2:9)-1))</f>
        <v>399</v>
      </c>
      <c r="H9">
        <f>IF(ROWS($2:9)&gt;COUNTIF(Maximum_RawData!$A:$A,"1_Maximum"),"",INDEX(Maximum_RawData!H:H,MATCH("1_Maximum",Maximum_RawData!$A:$A,0)+ROWS($2:9)-1))</f>
        <v>399</v>
      </c>
      <c r="I9">
        <f>IF(ROWS($2:9)&gt;COUNTIF(Maximum_RawData!$A:$A,"1_Maximum"),"",INDEX(Maximum_RawData!I:I,MATCH("1_Maximum",Maximum_RawData!$A:$A,0)+ROWS($2:9)-1))</f>
        <v>399</v>
      </c>
      <c r="J9">
        <f>IF(ROWS($2:9)&gt;COUNTIF(Maximum_RawData!$A:$A,"1_Maximum"),"",INDEX(Maximum_RawData!J:J,MATCH("1_Maximum",Maximum_RawData!$A:$A,0)+ROWS($2:9)-1))</f>
        <v>399</v>
      </c>
      <c r="K9">
        <f>IF(ROWS($2:9)&gt;COUNTIF(Maximum_RawData!$A:$A,"1_Maximum"),"",INDEX(Maximum_RawData!K:K,MATCH("1_Maximum",Maximum_RawData!$A:$A,0)+ROWS($2:9)-1))</f>
        <v>399</v>
      </c>
      <c r="L9">
        <f>IF(ROWS($2:9)&gt;COUNTIF(Maximum_RawData!$A:$A,"1_Maximum"),"",INDEX(Maximum_RawData!L:L,MATCH("1_Maximum",Maximum_RawData!$A:$A,0)+ROWS($2:9)-1))</f>
        <v>399</v>
      </c>
      <c r="M9">
        <f>IF(ROWS($2:9)&gt;COUNTIF(Maximum_RawData!$A:$A,"1_Maximum"),"",INDEX(Maximum_RawData!M:M,MATCH("1_Maximum",Maximum_RawData!$A:$A,0)+ROWS($2:9)-1))</f>
        <v>399</v>
      </c>
      <c r="N9">
        <f>IF(ROWS($2:9)&gt;COUNTIF(Maximum_RawData!$A:$A,"1_Maximum"),"",INDEX(Maximum_RawData!N:N,MATCH("1_Maximum",Maximum_RawData!$A:$A,0)+ROWS($2:9)-1))</f>
        <v>0.1</v>
      </c>
      <c r="O9">
        <f>IF(ROWS($2:9)&gt;COUNTIF(Maximum_RawData!$A:$A,"1_Maximum"),"",INDEX(Maximum_RawData!O:O,MATCH("1_Maximum",Maximum_RawData!$A:$A,0)+ROWS($2:9)-1))</f>
        <v>0.11</v>
      </c>
      <c r="P9">
        <f>IF(ROWS($2:9)&gt;COUNTIF(Maximum_RawData!$A:$A,"1_Maximum"),"",INDEX(Maximum_RawData!P:P,MATCH("1_Maximum",Maximum_RawData!$A:$A,0)+ROWS($2:9)-1))</f>
        <v>0.08</v>
      </c>
      <c r="Q9">
        <f>IF(ROWS($2:9)&gt;COUNTIF(Maximum_RawData!$A:$A,"1_Maximum"),"",INDEX(Maximum_RawData!Q:Q,MATCH("1_Maximum",Maximum_RawData!$A:$A,0)+ROWS($2:9)-1))</f>
        <v>0.1</v>
      </c>
      <c r="R9" t="str">
        <f>IF(ROWS($2:9)&gt;COUNTIF(Maximum_RawData!$A:$A,"1_Maximum"),"",INDEX(Maximum_RawData!R:R,MATCH("1_Maximum",Maximum_RawData!$A:$A,0)+ROWS($2:9)-1))</f>
        <v>Pass</v>
      </c>
      <c r="S9">
        <f>IF(ROWS($2:9)&gt;COUNTIF(Maximum_RawData!$A:$A,"1_Maximum"),"",INDEX(Maximum_RawData!S:S,MATCH("1_Maximum",Maximum_RawData!$A:$A,0)+ROWS($2:9)-1))</f>
        <v>0</v>
      </c>
      <c r="T9">
        <f>IF(ROWS($2:9)&gt;COUNTIF(Maximum_RawData!$A:$A,"1_Maximum"),"",INDEX(Maximum_RawData!T:T,MATCH("1_Maximum",Maximum_RawData!$A:$A,0)+ROWS($2:9)-1))</f>
        <v>0</v>
      </c>
    </row>
    <row r="10" spans="1:20">
      <c r="A10" t="str">
        <f>IF(ROWS($2:10)&gt;COUNTIF(Maximum_RawData!$A:$A,"1_Maximum"),"",INDEX(Maximum_RawData!A:A,MATCH("1_Maximum",Maximum_RawData!$A:$A,0)+ROWS($2:10)-1))</f>
        <v>1_Maximum</v>
      </c>
      <c r="B10">
        <f>IF(ROWS($2:10)&gt;COUNTIF(Maximum_RawData!$A:$A,"1_Maximum"),"",INDEX(Maximum_RawData!B:B,MATCH("1_Maximum",Maximum_RawData!$A:$A,0)+ROWS($2:10)-1))</f>
        <v>145603.05499999999</v>
      </c>
      <c r="C10">
        <f>IF(ROWS($2:10)&gt;COUNTIF(Maximum_RawData!$A:$A,"1_Maximum"),"",INDEX(Maximum_RawData!C:C,MATCH("1_Maximum",Maximum_RawData!$A:$A,0)+ROWS($2:10)-1))</f>
        <v>63.84</v>
      </c>
      <c r="D10">
        <f>IF(ROWS($2:10)&gt;COUNTIF(Maximum_RawData!$A:$A,"1_Maximum"),"",INDEX(Maximum_RawData!D:D,MATCH("1_Maximum",Maximum_RawData!$A:$A,0)+ROWS($2:10)-1))</f>
        <v>1314.3</v>
      </c>
      <c r="E10">
        <f>IF(ROWS($2:10)&gt;COUNTIF(Maximum_RawData!$A:$A,"1_Maximum"),"",INDEX(Maximum_RawData!E:E,MATCH("1_Maximum",Maximum_RawData!$A:$A,0)+ROWS($2:10)-1))</f>
        <v>-0.35</v>
      </c>
      <c r="F10">
        <f>IF(ROWS($2:10)&gt;COUNTIF(Maximum_RawData!$A:$A,"1_Maximum"),"",INDEX(Maximum_RawData!F:F,MATCH("1_Maximum",Maximum_RawData!$A:$A,0)+ROWS($2:10)-1))</f>
        <v>399</v>
      </c>
      <c r="G10">
        <f>IF(ROWS($2:10)&gt;COUNTIF(Maximum_RawData!$A:$A,"1_Maximum"),"",INDEX(Maximum_RawData!G:G,MATCH("1_Maximum",Maximum_RawData!$A:$A,0)+ROWS($2:10)-1))</f>
        <v>399</v>
      </c>
      <c r="H10">
        <f>IF(ROWS($2:10)&gt;COUNTIF(Maximum_RawData!$A:$A,"1_Maximum"),"",INDEX(Maximum_RawData!H:H,MATCH("1_Maximum",Maximum_RawData!$A:$A,0)+ROWS($2:10)-1))</f>
        <v>399</v>
      </c>
      <c r="I10">
        <f>IF(ROWS($2:10)&gt;COUNTIF(Maximum_RawData!$A:$A,"1_Maximum"),"",INDEX(Maximum_RawData!I:I,MATCH("1_Maximum",Maximum_RawData!$A:$A,0)+ROWS($2:10)-1))</f>
        <v>399</v>
      </c>
      <c r="J10">
        <f>IF(ROWS($2:10)&gt;COUNTIF(Maximum_RawData!$A:$A,"1_Maximum"),"",INDEX(Maximum_RawData!J:J,MATCH("1_Maximum",Maximum_RawData!$A:$A,0)+ROWS($2:10)-1))</f>
        <v>399</v>
      </c>
      <c r="K10">
        <f>IF(ROWS($2:10)&gt;COUNTIF(Maximum_RawData!$A:$A,"1_Maximum"),"",INDEX(Maximum_RawData!K:K,MATCH("1_Maximum",Maximum_RawData!$A:$A,0)+ROWS($2:10)-1))</f>
        <v>399</v>
      </c>
      <c r="L10">
        <f>IF(ROWS($2:10)&gt;COUNTIF(Maximum_RawData!$A:$A,"1_Maximum"),"",INDEX(Maximum_RawData!L:L,MATCH("1_Maximum",Maximum_RawData!$A:$A,0)+ROWS($2:10)-1))</f>
        <v>399</v>
      </c>
      <c r="M10">
        <f>IF(ROWS($2:10)&gt;COUNTIF(Maximum_RawData!$A:$A,"1_Maximum"),"",INDEX(Maximum_RawData!M:M,MATCH("1_Maximum",Maximum_RawData!$A:$A,0)+ROWS($2:10)-1))</f>
        <v>399</v>
      </c>
      <c r="N10">
        <f>IF(ROWS($2:10)&gt;COUNTIF(Maximum_RawData!$A:$A,"1_Maximum"),"",INDEX(Maximum_RawData!N:N,MATCH("1_Maximum",Maximum_RawData!$A:$A,0)+ROWS($2:10)-1))</f>
        <v>0.09</v>
      </c>
      <c r="O10">
        <f>IF(ROWS($2:10)&gt;COUNTIF(Maximum_RawData!$A:$A,"1_Maximum"),"",INDEX(Maximum_RawData!O:O,MATCH("1_Maximum",Maximum_RawData!$A:$A,0)+ROWS($2:10)-1))</f>
        <v>0.11</v>
      </c>
      <c r="P10">
        <f>IF(ROWS($2:10)&gt;COUNTIF(Maximum_RawData!$A:$A,"1_Maximum"),"",INDEX(Maximum_RawData!P:P,MATCH("1_Maximum",Maximum_RawData!$A:$A,0)+ROWS($2:10)-1))</f>
        <v>0.08</v>
      </c>
      <c r="Q10">
        <f>IF(ROWS($2:10)&gt;COUNTIF(Maximum_RawData!$A:$A,"1_Maximum"),"",INDEX(Maximum_RawData!Q:Q,MATCH("1_Maximum",Maximum_RawData!$A:$A,0)+ROWS($2:10)-1))</f>
        <v>0.1</v>
      </c>
      <c r="R10" t="str">
        <f>IF(ROWS($2:10)&gt;COUNTIF(Maximum_RawData!$A:$A,"1_Maximum"),"",INDEX(Maximum_RawData!R:R,MATCH("1_Maximum",Maximum_RawData!$A:$A,0)+ROWS($2:10)-1))</f>
        <v>Pass</v>
      </c>
      <c r="S10">
        <f>IF(ROWS($2:10)&gt;COUNTIF(Maximum_RawData!$A:$A,"1_Maximum"),"",INDEX(Maximum_RawData!S:S,MATCH("1_Maximum",Maximum_RawData!$A:$A,0)+ROWS($2:10)-1))</f>
        <v>0</v>
      </c>
      <c r="T10">
        <f>IF(ROWS($2:10)&gt;COUNTIF(Maximum_RawData!$A:$A,"1_Maximum"),"",INDEX(Maximum_RawData!T:T,MATCH("1_Maximum",Maximum_RawData!$A:$A,0)+ROWS($2:10)-1))</f>
        <v>0</v>
      </c>
    </row>
    <row r="11" spans="1:20">
      <c r="A11" t="str">
        <f>IF(ROWS($2:11)&gt;COUNTIF(Maximum_RawData!$A:$A,"1_Maximum"),"",INDEX(Maximum_RawData!A:A,MATCH("1_Maximum",Maximum_RawData!$A:$A,0)+ROWS($2:11)-1))</f>
        <v>1_Maximum</v>
      </c>
      <c r="B11">
        <f>IF(ROWS($2:11)&gt;COUNTIF(Maximum_RawData!$A:$A,"1_Maximum"),"",INDEX(Maximum_RawData!B:B,MATCH("1_Maximum",Maximum_RawData!$A:$A,0)+ROWS($2:11)-1))</f>
        <v>145608.049</v>
      </c>
      <c r="C11">
        <f>IF(ROWS($2:11)&gt;COUNTIF(Maximum_RawData!$A:$A,"1_Maximum"),"",INDEX(Maximum_RawData!C:C,MATCH("1_Maximum",Maximum_RawData!$A:$A,0)+ROWS($2:11)-1))</f>
        <v>63.09</v>
      </c>
      <c r="D11">
        <f>IF(ROWS($2:11)&gt;COUNTIF(Maximum_RawData!$A:$A,"1_Maximum"),"",INDEX(Maximum_RawData!D:D,MATCH("1_Maximum",Maximum_RawData!$A:$A,0)+ROWS($2:11)-1))</f>
        <v>1314.221</v>
      </c>
      <c r="E11">
        <f>IF(ROWS($2:11)&gt;COUNTIF(Maximum_RawData!$A:$A,"1_Maximum"),"",INDEX(Maximum_RawData!E:E,MATCH("1_Maximum",Maximum_RawData!$A:$A,0)+ROWS($2:11)-1))</f>
        <v>-0.1</v>
      </c>
      <c r="F11">
        <f>IF(ROWS($2:11)&gt;COUNTIF(Maximum_RawData!$A:$A,"1_Maximum"),"",INDEX(Maximum_RawData!F:F,MATCH("1_Maximum",Maximum_RawData!$A:$A,0)+ROWS($2:11)-1))</f>
        <v>399</v>
      </c>
      <c r="G11">
        <f>IF(ROWS($2:11)&gt;COUNTIF(Maximum_RawData!$A:$A,"1_Maximum"),"",INDEX(Maximum_RawData!G:G,MATCH("1_Maximum",Maximum_RawData!$A:$A,0)+ROWS($2:11)-1))</f>
        <v>399</v>
      </c>
      <c r="H11">
        <f>IF(ROWS($2:11)&gt;COUNTIF(Maximum_RawData!$A:$A,"1_Maximum"),"",INDEX(Maximum_RawData!H:H,MATCH("1_Maximum",Maximum_RawData!$A:$A,0)+ROWS($2:11)-1))</f>
        <v>399</v>
      </c>
      <c r="I11">
        <f>IF(ROWS($2:11)&gt;COUNTIF(Maximum_RawData!$A:$A,"1_Maximum"),"",INDEX(Maximum_RawData!I:I,MATCH("1_Maximum",Maximum_RawData!$A:$A,0)+ROWS($2:11)-1))</f>
        <v>399</v>
      </c>
      <c r="J11">
        <f>IF(ROWS($2:11)&gt;COUNTIF(Maximum_RawData!$A:$A,"1_Maximum"),"",INDEX(Maximum_RawData!J:J,MATCH("1_Maximum",Maximum_RawData!$A:$A,0)+ROWS($2:11)-1))</f>
        <v>399</v>
      </c>
      <c r="K11">
        <f>IF(ROWS($2:11)&gt;COUNTIF(Maximum_RawData!$A:$A,"1_Maximum"),"",INDEX(Maximum_RawData!K:K,MATCH("1_Maximum",Maximum_RawData!$A:$A,0)+ROWS($2:11)-1))</f>
        <v>399</v>
      </c>
      <c r="L11">
        <f>IF(ROWS($2:11)&gt;COUNTIF(Maximum_RawData!$A:$A,"1_Maximum"),"",INDEX(Maximum_RawData!L:L,MATCH("1_Maximum",Maximum_RawData!$A:$A,0)+ROWS($2:11)-1))</f>
        <v>399</v>
      </c>
      <c r="M11">
        <f>IF(ROWS($2:11)&gt;COUNTIF(Maximum_RawData!$A:$A,"1_Maximum"),"",INDEX(Maximum_RawData!M:M,MATCH("1_Maximum",Maximum_RawData!$A:$A,0)+ROWS($2:11)-1))</f>
        <v>399</v>
      </c>
      <c r="N11">
        <f>IF(ROWS($2:11)&gt;COUNTIF(Maximum_RawData!$A:$A,"1_Maximum"),"",INDEX(Maximum_RawData!N:N,MATCH("1_Maximum",Maximum_RawData!$A:$A,0)+ROWS($2:11)-1))</f>
        <v>0.11</v>
      </c>
      <c r="O11">
        <f>IF(ROWS($2:11)&gt;COUNTIF(Maximum_RawData!$A:$A,"1_Maximum"),"",INDEX(Maximum_RawData!O:O,MATCH("1_Maximum",Maximum_RawData!$A:$A,0)+ROWS($2:11)-1))</f>
        <v>0.11</v>
      </c>
      <c r="P11">
        <f>IF(ROWS($2:11)&gt;COUNTIF(Maximum_RawData!$A:$A,"1_Maximum"),"",INDEX(Maximum_RawData!P:P,MATCH("1_Maximum",Maximum_RawData!$A:$A,0)+ROWS($2:11)-1))</f>
        <v>0.08</v>
      </c>
      <c r="Q11">
        <f>IF(ROWS($2:11)&gt;COUNTIF(Maximum_RawData!$A:$A,"1_Maximum"),"",INDEX(Maximum_RawData!Q:Q,MATCH("1_Maximum",Maximum_RawData!$A:$A,0)+ROWS($2:11)-1))</f>
        <v>0.1</v>
      </c>
      <c r="R11" t="str">
        <f>IF(ROWS($2:11)&gt;COUNTIF(Maximum_RawData!$A:$A,"1_Maximum"),"",INDEX(Maximum_RawData!R:R,MATCH("1_Maximum",Maximum_RawData!$A:$A,0)+ROWS($2:11)-1))</f>
        <v>Pass</v>
      </c>
      <c r="S11">
        <f>IF(ROWS($2:11)&gt;COUNTIF(Maximum_RawData!$A:$A,"1_Maximum"),"",INDEX(Maximum_RawData!S:S,MATCH("1_Maximum",Maximum_RawData!$A:$A,0)+ROWS($2:11)-1))</f>
        <v>0</v>
      </c>
      <c r="T11">
        <f>IF(ROWS($2:11)&gt;COUNTIF(Maximum_RawData!$A:$A,"1_Maximum"),"",INDEX(Maximum_RawData!T:T,MATCH("1_Maximum",Maximum_RawData!$A:$A,0)+ROWS($2:11)-1))</f>
        <v>0</v>
      </c>
    </row>
    <row r="12" spans="1:20">
      <c r="A12" t="str">
        <f>IF(ROWS($2:12)&gt;COUNTIF(Maximum_RawData!$A:$A,"1_Maximum"),"",INDEX(Maximum_RawData!A:A,MATCH("1_Maximum",Maximum_RawData!$A:$A,0)+ROWS($2:12)-1))</f>
        <v>1_Maximum</v>
      </c>
      <c r="B12">
        <f>IF(ROWS($2:12)&gt;COUNTIF(Maximum_RawData!$A:$A,"1_Maximum"),"",INDEX(Maximum_RawData!B:B,MATCH("1_Maximum",Maximum_RawData!$A:$A,0)+ROWS($2:12)-1))</f>
        <v>145613.04699999999</v>
      </c>
      <c r="C12">
        <f>IF(ROWS($2:12)&gt;COUNTIF(Maximum_RawData!$A:$A,"1_Maximum"),"",INDEX(Maximum_RawData!C:C,MATCH("1_Maximum",Maximum_RawData!$A:$A,0)+ROWS($2:12)-1))</f>
        <v>62.37</v>
      </c>
      <c r="D12">
        <f>IF(ROWS($2:12)&gt;COUNTIF(Maximum_RawData!$A:$A,"1_Maximum"),"",INDEX(Maximum_RawData!D:D,MATCH("1_Maximum",Maximum_RawData!$A:$A,0)+ROWS($2:12)-1))</f>
        <v>1314.1510000000001</v>
      </c>
      <c r="E12">
        <f>IF(ROWS($2:12)&gt;COUNTIF(Maximum_RawData!$A:$A,"1_Maximum"),"",INDEX(Maximum_RawData!E:E,MATCH("1_Maximum",Maximum_RawData!$A:$A,0)+ROWS($2:12)-1))</f>
        <v>0.13</v>
      </c>
      <c r="F12">
        <f>IF(ROWS($2:12)&gt;COUNTIF(Maximum_RawData!$A:$A,"1_Maximum"),"",INDEX(Maximum_RawData!F:F,MATCH("1_Maximum",Maximum_RawData!$A:$A,0)+ROWS($2:12)-1))</f>
        <v>399</v>
      </c>
      <c r="G12">
        <f>IF(ROWS($2:12)&gt;COUNTIF(Maximum_RawData!$A:$A,"1_Maximum"),"",INDEX(Maximum_RawData!G:G,MATCH("1_Maximum",Maximum_RawData!$A:$A,0)+ROWS($2:12)-1))</f>
        <v>399</v>
      </c>
      <c r="H12">
        <f>IF(ROWS($2:12)&gt;COUNTIF(Maximum_RawData!$A:$A,"1_Maximum"),"",INDEX(Maximum_RawData!H:H,MATCH("1_Maximum",Maximum_RawData!$A:$A,0)+ROWS($2:12)-1))</f>
        <v>399</v>
      </c>
      <c r="I12">
        <f>IF(ROWS($2:12)&gt;COUNTIF(Maximum_RawData!$A:$A,"1_Maximum"),"",INDEX(Maximum_RawData!I:I,MATCH("1_Maximum",Maximum_RawData!$A:$A,0)+ROWS($2:12)-1))</f>
        <v>399</v>
      </c>
      <c r="J12">
        <f>IF(ROWS($2:12)&gt;COUNTIF(Maximum_RawData!$A:$A,"1_Maximum"),"",INDEX(Maximum_RawData!J:J,MATCH("1_Maximum",Maximum_RawData!$A:$A,0)+ROWS($2:12)-1))</f>
        <v>399</v>
      </c>
      <c r="K12">
        <f>IF(ROWS($2:12)&gt;COUNTIF(Maximum_RawData!$A:$A,"1_Maximum"),"",INDEX(Maximum_RawData!K:K,MATCH("1_Maximum",Maximum_RawData!$A:$A,0)+ROWS($2:12)-1))</f>
        <v>399</v>
      </c>
      <c r="L12">
        <f>IF(ROWS($2:12)&gt;COUNTIF(Maximum_RawData!$A:$A,"1_Maximum"),"",INDEX(Maximum_RawData!L:L,MATCH("1_Maximum",Maximum_RawData!$A:$A,0)+ROWS($2:12)-1))</f>
        <v>399</v>
      </c>
      <c r="M12">
        <f>IF(ROWS($2:12)&gt;COUNTIF(Maximum_RawData!$A:$A,"1_Maximum"),"",INDEX(Maximum_RawData!M:M,MATCH("1_Maximum",Maximum_RawData!$A:$A,0)+ROWS($2:12)-1))</f>
        <v>399</v>
      </c>
      <c r="N12">
        <f>IF(ROWS($2:12)&gt;COUNTIF(Maximum_RawData!$A:$A,"1_Maximum"),"",INDEX(Maximum_RawData!N:N,MATCH("1_Maximum",Maximum_RawData!$A:$A,0)+ROWS($2:12)-1))</f>
        <v>0.1</v>
      </c>
      <c r="O12">
        <f>IF(ROWS($2:12)&gt;COUNTIF(Maximum_RawData!$A:$A,"1_Maximum"),"",INDEX(Maximum_RawData!O:O,MATCH("1_Maximum",Maximum_RawData!$A:$A,0)+ROWS($2:12)-1))</f>
        <v>0.11</v>
      </c>
      <c r="P12">
        <f>IF(ROWS($2:12)&gt;COUNTIF(Maximum_RawData!$A:$A,"1_Maximum"),"",INDEX(Maximum_RawData!P:P,MATCH("1_Maximum",Maximum_RawData!$A:$A,0)+ROWS($2:12)-1))</f>
        <v>0.08</v>
      </c>
      <c r="Q12">
        <f>IF(ROWS($2:12)&gt;COUNTIF(Maximum_RawData!$A:$A,"1_Maximum"),"",INDEX(Maximum_RawData!Q:Q,MATCH("1_Maximum",Maximum_RawData!$A:$A,0)+ROWS($2:12)-1))</f>
        <v>0.1</v>
      </c>
      <c r="R12" t="str">
        <f>IF(ROWS($2:12)&gt;COUNTIF(Maximum_RawData!$A:$A,"1_Maximum"),"",INDEX(Maximum_RawData!R:R,MATCH("1_Maximum",Maximum_RawData!$A:$A,0)+ROWS($2:12)-1))</f>
        <v>Pass</v>
      </c>
      <c r="S12">
        <f>IF(ROWS($2:12)&gt;COUNTIF(Maximum_RawData!$A:$A,"1_Maximum"),"",INDEX(Maximum_RawData!S:S,MATCH("1_Maximum",Maximum_RawData!$A:$A,0)+ROWS($2:12)-1))</f>
        <v>0</v>
      </c>
      <c r="T12">
        <f>IF(ROWS($2:12)&gt;COUNTIF(Maximum_RawData!$A:$A,"1_Maximum"),"",INDEX(Maximum_RawData!T:T,MATCH("1_Maximum",Maximum_RawData!$A:$A,0)+ROWS($2:12)-1))</f>
        <v>0</v>
      </c>
    </row>
    <row r="13" spans="1:20">
      <c r="A13" t="str">
        <f>IF(ROWS($2:13)&gt;COUNTIF(Maximum_RawData!$A:$A,"1_Maximum"),"",INDEX(Maximum_RawData!A:A,MATCH("1_Maximum",Maximum_RawData!$A:$A,0)+ROWS($2:13)-1))</f>
        <v>1_Maximum</v>
      </c>
      <c r="B13">
        <f>IF(ROWS($2:13)&gt;COUNTIF(Maximum_RawData!$A:$A,"1_Maximum"),"",INDEX(Maximum_RawData!B:B,MATCH("1_Maximum",Maximum_RawData!$A:$A,0)+ROWS($2:13)-1))</f>
        <v>145618.052</v>
      </c>
      <c r="C13">
        <f>IF(ROWS($2:13)&gt;COUNTIF(Maximum_RawData!$A:$A,"1_Maximum"),"",INDEX(Maximum_RawData!C:C,MATCH("1_Maximum",Maximum_RawData!$A:$A,0)+ROWS($2:13)-1))</f>
        <v>61.62</v>
      </c>
      <c r="D13">
        <f>IF(ROWS($2:13)&gt;COUNTIF(Maximum_RawData!$A:$A,"1_Maximum"),"",INDEX(Maximum_RawData!D:D,MATCH("1_Maximum",Maximum_RawData!$A:$A,0)+ROWS($2:13)-1))</f>
        <v>1314.077</v>
      </c>
      <c r="E13">
        <f>IF(ROWS($2:13)&gt;COUNTIF(Maximum_RawData!$A:$A,"1_Maximum"),"",INDEX(Maximum_RawData!E:E,MATCH("1_Maximum",Maximum_RawData!$A:$A,0)+ROWS($2:13)-1))</f>
        <v>0.31</v>
      </c>
      <c r="F13">
        <f>IF(ROWS($2:13)&gt;COUNTIF(Maximum_RawData!$A:$A,"1_Maximum"),"",INDEX(Maximum_RawData!F:F,MATCH("1_Maximum",Maximum_RawData!$A:$A,0)+ROWS($2:13)-1))</f>
        <v>399</v>
      </c>
      <c r="G13">
        <f>IF(ROWS($2:13)&gt;COUNTIF(Maximum_RawData!$A:$A,"1_Maximum"),"",INDEX(Maximum_RawData!G:G,MATCH("1_Maximum",Maximum_RawData!$A:$A,0)+ROWS($2:13)-1))</f>
        <v>399</v>
      </c>
      <c r="H13">
        <f>IF(ROWS($2:13)&gt;COUNTIF(Maximum_RawData!$A:$A,"1_Maximum"),"",INDEX(Maximum_RawData!H:H,MATCH("1_Maximum",Maximum_RawData!$A:$A,0)+ROWS($2:13)-1))</f>
        <v>399</v>
      </c>
      <c r="I13">
        <f>IF(ROWS($2:13)&gt;COUNTIF(Maximum_RawData!$A:$A,"1_Maximum"),"",INDEX(Maximum_RawData!I:I,MATCH("1_Maximum",Maximum_RawData!$A:$A,0)+ROWS($2:13)-1))</f>
        <v>399</v>
      </c>
      <c r="J13">
        <f>IF(ROWS($2:13)&gt;COUNTIF(Maximum_RawData!$A:$A,"1_Maximum"),"",INDEX(Maximum_RawData!J:J,MATCH("1_Maximum",Maximum_RawData!$A:$A,0)+ROWS($2:13)-1))</f>
        <v>399</v>
      </c>
      <c r="K13">
        <f>IF(ROWS($2:13)&gt;COUNTIF(Maximum_RawData!$A:$A,"1_Maximum"),"",INDEX(Maximum_RawData!K:K,MATCH("1_Maximum",Maximum_RawData!$A:$A,0)+ROWS($2:13)-1))</f>
        <v>399</v>
      </c>
      <c r="L13">
        <f>IF(ROWS($2:13)&gt;COUNTIF(Maximum_RawData!$A:$A,"1_Maximum"),"",INDEX(Maximum_RawData!L:L,MATCH("1_Maximum",Maximum_RawData!$A:$A,0)+ROWS($2:13)-1))</f>
        <v>399</v>
      </c>
      <c r="M13">
        <f>IF(ROWS($2:13)&gt;COUNTIF(Maximum_RawData!$A:$A,"1_Maximum"),"",INDEX(Maximum_RawData!M:M,MATCH("1_Maximum",Maximum_RawData!$A:$A,0)+ROWS($2:13)-1))</f>
        <v>399</v>
      </c>
      <c r="N13">
        <f>IF(ROWS($2:13)&gt;COUNTIF(Maximum_RawData!$A:$A,"1_Maximum"),"",INDEX(Maximum_RawData!N:N,MATCH("1_Maximum",Maximum_RawData!$A:$A,0)+ROWS($2:13)-1))</f>
        <v>0.1</v>
      </c>
      <c r="O13">
        <f>IF(ROWS($2:13)&gt;COUNTIF(Maximum_RawData!$A:$A,"1_Maximum"),"",INDEX(Maximum_RawData!O:O,MATCH("1_Maximum",Maximum_RawData!$A:$A,0)+ROWS($2:13)-1))</f>
        <v>0.11</v>
      </c>
      <c r="P13">
        <f>IF(ROWS($2:13)&gt;COUNTIF(Maximum_RawData!$A:$A,"1_Maximum"),"",INDEX(Maximum_RawData!P:P,MATCH("1_Maximum",Maximum_RawData!$A:$A,0)+ROWS($2:13)-1))</f>
        <v>0.08</v>
      </c>
      <c r="Q13">
        <f>IF(ROWS($2:13)&gt;COUNTIF(Maximum_RawData!$A:$A,"1_Maximum"),"",INDEX(Maximum_RawData!Q:Q,MATCH("1_Maximum",Maximum_RawData!$A:$A,0)+ROWS($2:13)-1))</f>
        <v>0.1</v>
      </c>
      <c r="R13" t="str">
        <f>IF(ROWS($2:13)&gt;COUNTIF(Maximum_RawData!$A:$A,"1_Maximum"),"",INDEX(Maximum_RawData!R:R,MATCH("1_Maximum",Maximum_RawData!$A:$A,0)+ROWS($2:13)-1))</f>
        <v>Pass</v>
      </c>
      <c r="S13">
        <f>IF(ROWS($2:13)&gt;COUNTIF(Maximum_RawData!$A:$A,"1_Maximum"),"",INDEX(Maximum_RawData!S:S,MATCH("1_Maximum",Maximum_RawData!$A:$A,0)+ROWS($2:13)-1))</f>
        <v>0</v>
      </c>
      <c r="T13">
        <f>IF(ROWS($2:13)&gt;COUNTIF(Maximum_RawData!$A:$A,"1_Maximum"),"",INDEX(Maximum_RawData!T:T,MATCH("1_Maximum",Maximum_RawData!$A:$A,0)+ROWS($2:13)-1))</f>
        <v>0</v>
      </c>
    </row>
    <row r="14" spans="1:20">
      <c r="A14" t="str">
        <f>IF(ROWS($2:14)&gt;COUNTIF(Maximum_RawData!$A:$A,"1_Maximum"),"",INDEX(Maximum_RawData!A:A,MATCH("1_Maximum",Maximum_RawData!$A:$A,0)+ROWS($2:14)-1))</f>
        <v>1_Maximum</v>
      </c>
      <c r="B14">
        <f>IF(ROWS($2:14)&gt;COUNTIF(Maximum_RawData!$A:$A,"1_Maximum"),"",INDEX(Maximum_RawData!B:B,MATCH("1_Maximum",Maximum_RawData!$A:$A,0)+ROWS($2:14)-1))</f>
        <v>145623.057</v>
      </c>
      <c r="C14">
        <f>IF(ROWS($2:14)&gt;COUNTIF(Maximum_RawData!$A:$A,"1_Maximum"),"",INDEX(Maximum_RawData!C:C,MATCH("1_Maximum",Maximum_RawData!$A:$A,0)+ROWS($2:14)-1))</f>
        <v>60.89</v>
      </c>
      <c r="D14">
        <f>IF(ROWS($2:14)&gt;COUNTIF(Maximum_RawData!$A:$A,"1_Maximum"),"",INDEX(Maximum_RawData!D:D,MATCH("1_Maximum",Maximum_RawData!$A:$A,0)+ROWS($2:14)-1))</f>
        <v>1314.0060000000001</v>
      </c>
      <c r="E14">
        <f>IF(ROWS($2:14)&gt;COUNTIF(Maximum_RawData!$A:$A,"1_Maximum"),"",INDEX(Maximum_RawData!E:E,MATCH("1_Maximum",Maximum_RawData!$A:$A,0)+ROWS($2:14)-1))</f>
        <v>0.48</v>
      </c>
      <c r="F14">
        <f>IF(ROWS($2:14)&gt;COUNTIF(Maximum_RawData!$A:$A,"1_Maximum"),"",INDEX(Maximum_RawData!F:F,MATCH("1_Maximum",Maximum_RawData!$A:$A,0)+ROWS($2:14)-1))</f>
        <v>399</v>
      </c>
      <c r="G14">
        <f>IF(ROWS($2:14)&gt;COUNTIF(Maximum_RawData!$A:$A,"1_Maximum"),"",INDEX(Maximum_RawData!G:G,MATCH("1_Maximum",Maximum_RawData!$A:$A,0)+ROWS($2:14)-1))</f>
        <v>399</v>
      </c>
      <c r="H14">
        <f>IF(ROWS($2:14)&gt;COUNTIF(Maximum_RawData!$A:$A,"1_Maximum"),"",INDEX(Maximum_RawData!H:H,MATCH("1_Maximum",Maximum_RawData!$A:$A,0)+ROWS($2:14)-1))</f>
        <v>399</v>
      </c>
      <c r="I14">
        <f>IF(ROWS($2:14)&gt;COUNTIF(Maximum_RawData!$A:$A,"1_Maximum"),"",INDEX(Maximum_RawData!I:I,MATCH("1_Maximum",Maximum_RawData!$A:$A,0)+ROWS($2:14)-1))</f>
        <v>399</v>
      </c>
      <c r="J14">
        <f>IF(ROWS($2:14)&gt;COUNTIF(Maximum_RawData!$A:$A,"1_Maximum"),"",INDEX(Maximum_RawData!J:J,MATCH("1_Maximum",Maximum_RawData!$A:$A,0)+ROWS($2:14)-1))</f>
        <v>399</v>
      </c>
      <c r="K14">
        <f>IF(ROWS($2:14)&gt;COUNTIF(Maximum_RawData!$A:$A,"1_Maximum"),"",INDEX(Maximum_RawData!K:K,MATCH("1_Maximum",Maximum_RawData!$A:$A,0)+ROWS($2:14)-1))</f>
        <v>399</v>
      </c>
      <c r="L14">
        <f>IF(ROWS($2:14)&gt;COUNTIF(Maximum_RawData!$A:$A,"1_Maximum"),"",INDEX(Maximum_RawData!L:L,MATCH("1_Maximum",Maximum_RawData!$A:$A,0)+ROWS($2:14)-1))</f>
        <v>399</v>
      </c>
      <c r="M14">
        <f>IF(ROWS($2:14)&gt;COUNTIF(Maximum_RawData!$A:$A,"1_Maximum"),"",INDEX(Maximum_RawData!M:M,MATCH("1_Maximum",Maximum_RawData!$A:$A,0)+ROWS($2:14)-1))</f>
        <v>399</v>
      </c>
      <c r="N14">
        <f>IF(ROWS($2:14)&gt;COUNTIF(Maximum_RawData!$A:$A,"1_Maximum"),"",INDEX(Maximum_RawData!N:N,MATCH("1_Maximum",Maximum_RawData!$A:$A,0)+ROWS($2:14)-1))</f>
        <v>0.1</v>
      </c>
      <c r="O14">
        <f>IF(ROWS($2:14)&gt;COUNTIF(Maximum_RawData!$A:$A,"1_Maximum"),"",INDEX(Maximum_RawData!O:O,MATCH("1_Maximum",Maximum_RawData!$A:$A,0)+ROWS($2:14)-1))</f>
        <v>0.11</v>
      </c>
      <c r="P14">
        <f>IF(ROWS($2:14)&gt;COUNTIF(Maximum_RawData!$A:$A,"1_Maximum"),"",INDEX(Maximum_RawData!P:P,MATCH("1_Maximum",Maximum_RawData!$A:$A,0)+ROWS($2:14)-1))</f>
        <v>0.08</v>
      </c>
      <c r="Q14">
        <f>IF(ROWS($2:14)&gt;COUNTIF(Maximum_RawData!$A:$A,"1_Maximum"),"",INDEX(Maximum_RawData!Q:Q,MATCH("1_Maximum",Maximum_RawData!$A:$A,0)+ROWS($2:14)-1))</f>
        <v>0.1</v>
      </c>
      <c r="R14" t="str">
        <f>IF(ROWS($2:14)&gt;COUNTIF(Maximum_RawData!$A:$A,"1_Maximum"),"",INDEX(Maximum_RawData!R:R,MATCH("1_Maximum",Maximum_RawData!$A:$A,0)+ROWS($2:14)-1))</f>
        <v>Pass</v>
      </c>
      <c r="S14">
        <f>IF(ROWS($2:14)&gt;COUNTIF(Maximum_RawData!$A:$A,"1_Maximum"),"",INDEX(Maximum_RawData!S:S,MATCH("1_Maximum",Maximum_RawData!$A:$A,0)+ROWS($2:14)-1))</f>
        <v>0</v>
      </c>
      <c r="T14">
        <f>IF(ROWS($2:14)&gt;COUNTIF(Maximum_RawData!$A:$A,"1_Maximum"),"",INDEX(Maximum_RawData!T:T,MATCH("1_Maximum",Maximum_RawData!$A:$A,0)+ROWS($2:14)-1))</f>
        <v>0</v>
      </c>
    </row>
    <row r="15" spans="1:20">
      <c r="A15" t="str">
        <f>IF(ROWS($2:15)&gt;COUNTIF(Maximum_RawData!$A:$A,"1_Maximum"),"",INDEX(Maximum_RawData!A:A,MATCH("1_Maximum",Maximum_RawData!$A:$A,0)+ROWS($2:15)-1))</f>
        <v>1_Maximum</v>
      </c>
      <c r="B15">
        <f>IF(ROWS($2:15)&gt;COUNTIF(Maximum_RawData!$A:$A,"1_Maximum"),"",INDEX(Maximum_RawData!B:B,MATCH("1_Maximum",Maximum_RawData!$A:$A,0)+ROWS($2:15)-1))</f>
        <v>145628.06099999999</v>
      </c>
      <c r="C15">
        <f>IF(ROWS($2:15)&gt;COUNTIF(Maximum_RawData!$A:$A,"1_Maximum"),"",INDEX(Maximum_RawData!C:C,MATCH("1_Maximum",Maximum_RawData!$A:$A,0)+ROWS($2:15)-1))</f>
        <v>60.12</v>
      </c>
      <c r="D15">
        <f>IF(ROWS($2:15)&gt;COUNTIF(Maximum_RawData!$A:$A,"1_Maximum"),"",INDEX(Maximum_RawData!D:D,MATCH("1_Maximum",Maximum_RawData!$A:$A,0)+ROWS($2:15)-1))</f>
        <v>1313.9349999999999</v>
      </c>
      <c r="E15">
        <f>IF(ROWS($2:15)&gt;COUNTIF(Maximum_RawData!$A:$A,"1_Maximum"),"",INDEX(Maximum_RawData!E:E,MATCH("1_Maximum",Maximum_RawData!$A:$A,0)+ROWS($2:15)-1))</f>
        <v>0.77</v>
      </c>
      <c r="F15">
        <f>IF(ROWS($2:15)&gt;COUNTIF(Maximum_RawData!$A:$A,"1_Maximum"),"",INDEX(Maximum_RawData!F:F,MATCH("1_Maximum",Maximum_RawData!$A:$A,0)+ROWS($2:15)-1))</f>
        <v>399</v>
      </c>
      <c r="G15">
        <f>IF(ROWS($2:15)&gt;COUNTIF(Maximum_RawData!$A:$A,"1_Maximum"),"",INDEX(Maximum_RawData!G:G,MATCH("1_Maximum",Maximum_RawData!$A:$A,0)+ROWS($2:15)-1))</f>
        <v>399</v>
      </c>
      <c r="H15">
        <f>IF(ROWS($2:15)&gt;COUNTIF(Maximum_RawData!$A:$A,"1_Maximum"),"",INDEX(Maximum_RawData!H:H,MATCH("1_Maximum",Maximum_RawData!$A:$A,0)+ROWS($2:15)-1))</f>
        <v>399</v>
      </c>
      <c r="I15">
        <f>IF(ROWS($2:15)&gt;COUNTIF(Maximum_RawData!$A:$A,"1_Maximum"),"",INDEX(Maximum_RawData!I:I,MATCH("1_Maximum",Maximum_RawData!$A:$A,0)+ROWS($2:15)-1))</f>
        <v>399</v>
      </c>
      <c r="J15">
        <f>IF(ROWS($2:15)&gt;COUNTIF(Maximum_RawData!$A:$A,"1_Maximum"),"",INDEX(Maximum_RawData!J:J,MATCH("1_Maximum",Maximum_RawData!$A:$A,0)+ROWS($2:15)-1))</f>
        <v>399</v>
      </c>
      <c r="K15">
        <f>IF(ROWS($2:15)&gt;COUNTIF(Maximum_RawData!$A:$A,"1_Maximum"),"",INDEX(Maximum_RawData!K:K,MATCH("1_Maximum",Maximum_RawData!$A:$A,0)+ROWS($2:15)-1))</f>
        <v>399</v>
      </c>
      <c r="L15">
        <f>IF(ROWS($2:15)&gt;COUNTIF(Maximum_RawData!$A:$A,"1_Maximum"),"",INDEX(Maximum_RawData!L:L,MATCH("1_Maximum",Maximum_RawData!$A:$A,0)+ROWS($2:15)-1))</f>
        <v>399</v>
      </c>
      <c r="M15">
        <f>IF(ROWS($2:15)&gt;COUNTIF(Maximum_RawData!$A:$A,"1_Maximum"),"",INDEX(Maximum_RawData!M:M,MATCH("1_Maximum",Maximum_RawData!$A:$A,0)+ROWS($2:15)-1))</f>
        <v>399</v>
      </c>
      <c r="N15">
        <f>IF(ROWS($2:15)&gt;COUNTIF(Maximum_RawData!$A:$A,"1_Maximum"),"",INDEX(Maximum_RawData!N:N,MATCH("1_Maximum",Maximum_RawData!$A:$A,0)+ROWS($2:15)-1))</f>
        <v>0.09</v>
      </c>
      <c r="O15">
        <f>IF(ROWS($2:15)&gt;COUNTIF(Maximum_RawData!$A:$A,"1_Maximum"),"",INDEX(Maximum_RawData!O:O,MATCH("1_Maximum",Maximum_RawData!$A:$A,0)+ROWS($2:15)-1))</f>
        <v>0.11</v>
      </c>
      <c r="P15">
        <f>IF(ROWS($2:15)&gt;COUNTIF(Maximum_RawData!$A:$A,"1_Maximum"),"",INDEX(Maximum_RawData!P:P,MATCH("1_Maximum",Maximum_RawData!$A:$A,0)+ROWS($2:15)-1))</f>
        <v>0.08</v>
      </c>
      <c r="Q15">
        <f>IF(ROWS($2:15)&gt;COUNTIF(Maximum_RawData!$A:$A,"1_Maximum"),"",INDEX(Maximum_RawData!Q:Q,MATCH("1_Maximum",Maximum_RawData!$A:$A,0)+ROWS($2:15)-1))</f>
        <v>0.1</v>
      </c>
      <c r="R15" t="str">
        <f>IF(ROWS($2:15)&gt;COUNTIF(Maximum_RawData!$A:$A,"1_Maximum"),"",INDEX(Maximum_RawData!R:R,MATCH("1_Maximum",Maximum_RawData!$A:$A,0)+ROWS($2:15)-1))</f>
        <v>Pass</v>
      </c>
      <c r="S15">
        <f>IF(ROWS($2:15)&gt;COUNTIF(Maximum_RawData!$A:$A,"1_Maximum"),"",INDEX(Maximum_RawData!S:S,MATCH("1_Maximum",Maximum_RawData!$A:$A,0)+ROWS($2:15)-1))</f>
        <v>0</v>
      </c>
      <c r="T15">
        <f>IF(ROWS($2:15)&gt;COUNTIF(Maximum_RawData!$A:$A,"1_Maximum"),"",INDEX(Maximum_RawData!T:T,MATCH("1_Maximum",Maximum_RawData!$A:$A,0)+ROWS($2:15)-1))</f>
        <v>0</v>
      </c>
    </row>
    <row r="16" spans="1:20">
      <c r="A16" t="str">
        <f>IF(ROWS($2:16)&gt;COUNTIF(Maximum_RawData!$A:$A,"1_Maximum"),"",INDEX(Maximum_RawData!A:A,MATCH("1_Maximum",Maximum_RawData!$A:$A,0)+ROWS($2:16)-1))</f>
        <v>1_Maximum</v>
      </c>
      <c r="B16">
        <f>IF(ROWS($2:16)&gt;COUNTIF(Maximum_RawData!$A:$A,"1_Maximum"),"",INDEX(Maximum_RawData!B:B,MATCH("1_Maximum",Maximum_RawData!$A:$A,0)+ROWS($2:16)-1))</f>
        <v>145633.05900000001</v>
      </c>
      <c r="C16">
        <f>IF(ROWS($2:16)&gt;COUNTIF(Maximum_RawData!$A:$A,"1_Maximum"),"",INDEX(Maximum_RawData!C:C,MATCH("1_Maximum",Maximum_RawData!$A:$A,0)+ROWS($2:16)-1))</f>
        <v>59.35</v>
      </c>
      <c r="D16">
        <f>IF(ROWS($2:16)&gt;COUNTIF(Maximum_RawData!$A:$A,"1_Maximum"),"",INDEX(Maximum_RawData!D:D,MATCH("1_Maximum",Maximum_RawData!$A:$A,0)+ROWS($2:16)-1))</f>
        <v>1313.8620000000001</v>
      </c>
      <c r="E16">
        <f>IF(ROWS($2:16)&gt;COUNTIF(Maximum_RawData!$A:$A,"1_Maximum"),"",INDEX(Maximum_RawData!E:E,MATCH("1_Maximum",Maximum_RawData!$A:$A,0)+ROWS($2:16)-1))</f>
        <v>1.02</v>
      </c>
      <c r="F16">
        <f>IF(ROWS($2:16)&gt;COUNTIF(Maximum_RawData!$A:$A,"1_Maximum"),"",INDEX(Maximum_RawData!F:F,MATCH("1_Maximum",Maximum_RawData!$A:$A,0)+ROWS($2:16)-1))</f>
        <v>399</v>
      </c>
      <c r="G16">
        <f>IF(ROWS($2:16)&gt;COUNTIF(Maximum_RawData!$A:$A,"1_Maximum"),"",INDEX(Maximum_RawData!G:G,MATCH("1_Maximum",Maximum_RawData!$A:$A,0)+ROWS($2:16)-1))</f>
        <v>399</v>
      </c>
      <c r="H16">
        <f>IF(ROWS($2:16)&gt;COUNTIF(Maximum_RawData!$A:$A,"1_Maximum"),"",INDEX(Maximum_RawData!H:H,MATCH("1_Maximum",Maximum_RawData!$A:$A,0)+ROWS($2:16)-1))</f>
        <v>399</v>
      </c>
      <c r="I16">
        <f>IF(ROWS($2:16)&gt;COUNTIF(Maximum_RawData!$A:$A,"1_Maximum"),"",INDEX(Maximum_RawData!I:I,MATCH("1_Maximum",Maximum_RawData!$A:$A,0)+ROWS($2:16)-1))</f>
        <v>399</v>
      </c>
      <c r="J16">
        <f>IF(ROWS($2:16)&gt;COUNTIF(Maximum_RawData!$A:$A,"1_Maximum"),"",INDEX(Maximum_RawData!J:J,MATCH("1_Maximum",Maximum_RawData!$A:$A,0)+ROWS($2:16)-1))</f>
        <v>399</v>
      </c>
      <c r="K16">
        <f>IF(ROWS($2:16)&gt;COUNTIF(Maximum_RawData!$A:$A,"1_Maximum"),"",INDEX(Maximum_RawData!K:K,MATCH("1_Maximum",Maximum_RawData!$A:$A,0)+ROWS($2:16)-1))</f>
        <v>399</v>
      </c>
      <c r="L16">
        <f>IF(ROWS($2:16)&gt;COUNTIF(Maximum_RawData!$A:$A,"1_Maximum"),"",INDEX(Maximum_RawData!L:L,MATCH("1_Maximum",Maximum_RawData!$A:$A,0)+ROWS($2:16)-1))</f>
        <v>399</v>
      </c>
      <c r="M16">
        <f>IF(ROWS($2:16)&gt;COUNTIF(Maximum_RawData!$A:$A,"1_Maximum"),"",INDEX(Maximum_RawData!M:M,MATCH("1_Maximum",Maximum_RawData!$A:$A,0)+ROWS($2:16)-1))</f>
        <v>399</v>
      </c>
      <c r="N16">
        <f>IF(ROWS($2:16)&gt;COUNTIF(Maximum_RawData!$A:$A,"1_Maximum"),"",INDEX(Maximum_RawData!N:N,MATCH("1_Maximum",Maximum_RawData!$A:$A,0)+ROWS($2:16)-1))</f>
        <v>0.09</v>
      </c>
      <c r="O16">
        <f>IF(ROWS($2:16)&gt;COUNTIF(Maximum_RawData!$A:$A,"1_Maximum"),"",INDEX(Maximum_RawData!O:O,MATCH("1_Maximum",Maximum_RawData!$A:$A,0)+ROWS($2:16)-1))</f>
        <v>0.11</v>
      </c>
      <c r="P16">
        <f>IF(ROWS($2:16)&gt;COUNTIF(Maximum_RawData!$A:$A,"1_Maximum"),"",INDEX(Maximum_RawData!P:P,MATCH("1_Maximum",Maximum_RawData!$A:$A,0)+ROWS($2:16)-1))</f>
        <v>0.08</v>
      </c>
      <c r="Q16">
        <f>IF(ROWS($2:16)&gt;COUNTIF(Maximum_RawData!$A:$A,"1_Maximum"),"",INDEX(Maximum_RawData!Q:Q,MATCH("1_Maximum",Maximum_RawData!$A:$A,0)+ROWS($2:16)-1))</f>
        <v>0.1</v>
      </c>
      <c r="R16" t="str">
        <f>IF(ROWS($2:16)&gt;COUNTIF(Maximum_RawData!$A:$A,"1_Maximum"),"",INDEX(Maximum_RawData!R:R,MATCH("1_Maximum",Maximum_RawData!$A:$A,0)+ROWS($2:16)-1))</f>
        <v>Pass</v>
      </c>
      <c r="S16">
        <f>IF(ROWS($2:16)&gt;COUNTIF(Maximum_RawData!$A:$A,"1_Maximum"),"",INDEX(Maximum_RawData!S:S,MATCH("1_Maximum",Maximum_RawData!$A:$A,0)+ROWS($2:16)-1))</f>
        <v>0</v>
      </c>
      <c r="T16">
        <f>IF(ROWS($2:16)&gt;COUNTIF(Maximum_RawData!$A:$A,"1_Maximum"),"",INDEX(Maximum_RawData!T:T,MATCH("1_Maximum",Maximum_RawData!$A:$A,0)+ROWS($2:16)-1))</f>
        <v>0</v>
      </c>
    </row>
    <row r="17" spans="1:20">
      <c r="A17" t="str">
        <f>IF(ROWS($2:17)&gt;COUNTIF(Maximum_RawData!$A:$A,"1_Maximum"),"",INDEX(Maximum_RawData!A:A,MATCH("1_Maximum",Maximum_RawData!$A:$A,0)+ROWS($2:17)-1))</f>
        <v>1_Maximum</v>
      </c>
      <c r="B17">
        <f>IF(ROWS($2:17)&gt;COUNTIF(Maximum_RawData!$A:$A,"1_Maximum"),"",INDEX(Maximum_RawData!B:B,MATCH("1_Maximum",Maximum_RawData!$A:$A,0)+ROWS($2:17)-1))</f>
        <v>145638.054</v>
      </c>
      <c r="C17">
        <f>IF(ROWS($2:17)&gt;COUNTIF(Maximum_RawData!$A:$A,"1_Maximum"),"",INDEX(Maximum_RawData!C:C,MATCH("1_Maximum",Maximum_RawData!$A:$A,0)+ROWS($2:17)-1))</f>
        <v>58.59</v>
      </c>
      <c r="D17">
        <f>IF(ROWS($2:17)&gt;COUNTIF(Maximum_RawData!$A:$A,"1_Maximum"),"",INDEX(Maximum_RawData!D:D,MATCH("1_Maximum",Maximum_RawData!$A:$A,0)+ROWS($2:17)-1))</f>
        <v>1313.789</v>
      </c>
      <c r="E17">
        <f>IF(ROWS($2:17)&gt;COUNTIF(Maximum_RawData!$A:$A,"1_Maximum"),"",INDEX(Maximum_RawData!E:E,MATCH("1_Maximum",Maximum_RawData!$A:$A,0)+ROWS($2:17)-1))</f>
        <v>1.25</v>
      </c>
      <c r="F17">
        <f>IF(ROWS($2:17)&gt;COUNTIF(Maximum_RawData!$A:$A,"1_Maximum"),"",INDEX(Maximum_RawData!F:F,MATCH("1_Maximum",Maximum_RawData!$A:$A,0)+ROWS($2:17)-1))</f>
        <v>399</v>
      </c>
      <c r="G17">
        <f>IF(ROWS($2:17)&gt;COUNTIF(Maximum_RawData!$A:$A,"1_Maximum"),"",INDEX(Maximum_RawData!G:G,MATCH("1_Maximum",Maximum_RawData!$A:$A,0)+ROWS($2:17)-1))</f>
        <v>399</v>
      </c>
      <c r="H17">
        <f>IF(ROWS($2:17)&gt;COUNTIF(Maximum_RawData!$A:$A,"1_Maximum"),"",INDEX(Maximum_RawData!H:H,MATCH("1_Maximum",Maximum_RawData!$A:$A,0)+ROWS($2:17)-1))</f>
        <v>399</v>
      </c>
      <c r="I17">
        <f>IF(ROWS($2:17)&gt;COUNTIF(Maximum_RawData!$A:$A,"1_Maximum"),"",INDEX(Maximum_RawData!I:I,MATCH("1_Maximum",Maximum_RawData!$A:$A,0)+ROWS($2:17)-1))</f>
        <v>399</v>
      </c>
      <c r="J17">
        <f>IF(ROWS($2:17)&gt;COUNTIF(Maximum_RawData!$A:$A,"1_Maximum"),"",INDEX(Maximum_RawData!J:J,MATCH("1_Maximum",Maximum_RawData!$A:$A,0)+ROWS($2:17)-1))</f>
        <v>399</v>
      </c>
      <c r="K17">
        <f>IF(ROWS($2:17)&gt;COUNTIF(Maximum_RawData!$A:$A,"1_Maximum"),"",INDEX(Maximum_RawData!K:K,MATCH("1_Maximum",Maximum_RawData!$A:$A,0)+ROWS($2:17)-1))</f>
        <v>399</v>
      </c>
      <c r="L17">
        <f>IF(ROWS($2:17)&gt;COUNTIF(Maximum_RawData!$A:$A,"1_Maximum"),"",INDEX(Maximum_RawData!L:L,MATCH("1_Maximum",Maximum_RawData!$A:$A,0)+ROWS($2:17)-1))</f>
        <v>399</v>
      </c>
      <c r="M17">
        <f>IF(ROWS($2:17)&gt;COUNTIF(Maximum_RawData!$A:$A,"1_Maximum"),"",INDEX(Maximum_RawData!M:M,MATCH("1_Maximum",Maximum_RawData!$A:$A,0)+ROWS($2:17)-1))</f>
        <v>399</v>
      </c>
      <c r="N17">
        <f>IF(ROWS($2:17)&gt;COUNTIF(Maximum_RawData!$A:$A,"1_Maximum"),"",INDEX(Maximum_RawData!N:N,MATCH("1_Maximum",Maximum_RawData!$A:$A,0)+ROWS($2:17)-1))</f>
        <v>0.1</v>
      </c>
      <c r="O17">
        <f>IF(ROWS($2:17)&gt;COUNTIF(Maximum_RawData!$A:$A,"1_Maximum"),"",INDEX(Maximum_RawData!O:O,MATCH("1_Maximum",Maximum_RawData!$A:$A,0)+ROWS($2:17)-1))</f>
        <v>0.11</v>
      </c>
      <c r="P17">
        <f>IF(ROWS($2:17)&gt;COUNTIF(Maximum_RawData!$A:$A,"1_Maximum"),"",INDEX(Maximum_RawData!P:P,MATCH("1_Maximum",Maximum_RawData!$A:$A,0)+ROWS($2:17)-1))</f>
        <v>0.08</v>
      </c>
      <c r="Q17">
        <f>IF(ROWS($2:17)&gt;COUNTIF(Maximum_RawData!$A:$A,"1_Maximum"),"",INDEX(Maximum_RawData!Q:Q,MATCH("1_Maximum",Maximum_RawData!$A:$A,0)+ROWS($2:17)-1))</f>
        <v>0.1</v>
      </c>
      <c r="R17" t="str">
        <f>IF(ROWS($2:17)&gt;COUNTIF(Maximum_RawData!$A:$A,"1_Maximum"),"",INDEX(Maximum_RawData!R:R,MATCH("1_Maximum",Maximum_RawData!$A:$A,0)+ROWS($2:17)-1))</f>
        <v>Pass</v>
      </c>
      <c r="S17">
        <f>IF(ROWS($2:17)&gt;COUNTIF(Maximum_RawData!$A:$A,"1_Maximum"),"",INDEX(Maximum_RawData!S:S,MATCH("1_Maximum",Maximum_RawData!$A:$A,0)+ROWS($2:17)-1))</f>
        <v>0</v>
      </c>
      <c r="T17">
        <f>IF(ROWS($2:17)&gt;COUNTIF(Maximum_RawData!$A:$A,"1_Maximum"),"",INDEX(Maximum_RawData!T:T,MATCH("1_Maximum",Maximum_RawData!$A:$A,0)+ROWS($2:17)-1))</f>
        <v>0</v>
      </c>
    </row>
    <row r="18" spans="1:20">
      <c r="A18" t="str">
        <f>IF(ROWS($2:18)&gt;COUNTIF(Maximum_RawData!$A:$A,"1_Maximum"),"",INDEX(Maximum_RawData!A:A,MATCH("1_Maximum",Maximum_RawData!$A:$A,0)+ROWS($2:18)-1))</f>
        <v>1_Maximum</v>
      </c>
      <c r="B18">
        <f>IF(ROWS($2:18)&gt;COUNTIF(Maximum_RawData!$A:$A,"1_Maximum"),"",INDEX(Maximum_RawData!B:B,MATCH("1_Maximum",Maximum_RawData!$A:$A,0)+ROWS($2:18)-1))</f>
        <v>145643.065</v>
      </c>
      <c r="C18">
        <f>IF(ROWS($2:18)&gt;COUNTIF(Maximum_RawData!$A:$A,"1_Maximum"),"",INDEX(Maximum_RawData!C:C,MATCH("1_Maximum",Maximum_RawData!$A:$A,0)+ROWS($2:18)-1))</f>
        <v>57.84</v>
      </c>
      <c r="D18">
        <f>IF(ROWS($2:18)&gt;COUNTIF(Maximum_RawData!$A:$A,"1_Maximum"),"",INDEX(Maximum_RawData!D:D,MATCH("1_Maximum",Maximum_RawData!$A:$A,0)+ROWS($2:18)-1))</f>
        <v>1313.7149999999999</v>
      </c>
      <c r="E18">
        <f>IF(ROWS($2:18)&gt;COUNTIF(Maximum_RawData!$A:$A,"1_Maximum"),"",INDEX(Maximum_RawData!E:E,MATCH("1_Maximum",Maximum_RawData!$A:$A,0)+ROWS($2:18)-1))</f>
        <v>1.41</v>
      </c>
      <c r="F18">
        <f>IF(ROWS($2:18)&gt;COUNTIF(Maximum_RawData!$A:$A,"1_Maximum"),"",INDEX(Maximum_RawData!F:F,MATCH("1_Maximum",Maximum_RawData!$A:$A,0)+ROWS($2:18)-1))</f>
        <v>399</v>
      </c>
      <c r="G18">
        <f>IF(ROWS($2:18)&gt;COUNTIF(Maximum_RawData!$A:$A,"1_Maximum"),"",INDEX(Maximum_RawData!G:G,MATCH("1_Maximum",Maximum_RawData!$A:$A,0)+ROWS($2:18)-1))</f>
        <v>399</v>
      </c>
      <c r="H18">
        <f>IF(ROWS($2:18)&gt;COUNTIF(Maximum_RawData!$A:$A,"1_Maximum"),"",INDEX(Maximum_RawData!H:H,MATCH("1_Maximum",Maximum_RawData!$A:$A,0)+ROWS($2:18)-1))</f>
        <v>399</v>
      </c>
      <c r="I18">
        <f>IF(ROWS($2:18)&gt;COUNTIF(Maximum_RawData!$A:$A,"1_Maximum"),"",INDEX(Maximum_RawData!I:I,MATCH("1_Maximum",Maximum_RawData!$A:$A,0)+ROWS($2:18)-1))</f>
        <v>399</v>
      </c>
      <c r="J18">
        <f>IF(ROWS($2:18)&gt;COUNTIF(Maximum_RawData!$A:$A,"1_Maximum"),"",INDEX(Maximum_RawData!J:J,MATCH("1_Maximum",Maximum_RawData!$A:$A,0)+ROWS($2:18)-1))</f>
        <v>399</v>
      </c>
      <c r="K18">
        <f>IF(ROWS($2:18)&gt;COUNTIF(Maximum_RawData!$A:$A,"1_Maximum"),"",INDEX(Maximum_RawData!K:K,MATCH("1_Maximum",Maximum_RawData!$A:$A,0)+ROWS($2:18)-1))</f>
        <v>399</v>
      </c>
      <c r="L18">
        <f>IF(ROWS($2:18)&gt;COUNTIF(Maximum_RawData!$A:$A,"1_Maximum"),"",INDEX(Maximum_RawData!L:L,MATCH("1_Maximum",Maximum_RawData!$A:$A,0)+ROWS($2:18)-1))</f>
        <v>399</v>
      </c>
      <c r="M18">
        <f>IF(ROWS($2:18)&gt;COUNTIF(Maximum_RawData!$A:$A,"1_Maximum"),"",INDEX(Maximum_RawData!M:M,MATCH("1_Maximum",Maximum_RawData!$A:$A,0)+ROWS($2:18)-1))</f>
        <v>399</v>
      </c>
      <c r="N18">
        <f>IF(ROWS($2:18)&gt;COUNTIF(Maximum_RawData!$A:$A,"1_Maximum"),"",INDEX(Maximum_RawData!N:N,MATCH("1_Maximum",Maximum_RawData!$A:$A,0)+ROWS($2:18)-1))</f>
        <v>0.1</v>
      </c>
      <c r="O18">
        <f>IF(ROWS($2:18)&gt;COUNTIF(Maximum_RawData!$A:$A,"1_Maximum"),"",INDEX(Maximum_RawData!O:O,MATCH("1_Maximum",Maximum_RawData!$A:$A,0)+ROWS($2:18)-1))</f>
        <v>0.11</v>
      </c>
      <c r="P18">
        <f>IF(ROWS($2:18)&gt;COUNTIF(Maximum_RawData!$A:$A,"1_Maximum"),"",INDEX(Maximum_RawData!P:P,MATCH("1_Maximum",Maximum_RawData!$A:$A,0)+ROWS($2:18)-1))</f>
        <v>0.08</v>
      </c>
      <c r="Q18">
        <f>IF(ROWS($2:18)&gt;COUNTIF(Maximum_RawData!$A:$A,"1_Maximum"),"",INDEX(Maximum_RawData!Q:Q,MATCH("1_Maximum",Maximum_RawData!$A:$A,0)+ROWS($2:18)-1))</f>
        <v>0.1</v>
      </c>
      <c r="R18" t="str">
        <f>IF(ROWS($2:18)&gt;COUNTIF(Maximum_RawData!$A:$A,"1_Maximum"),"",INDEX(Maximum_RawData!R:R,MATCH("1_Maximum",Maximum_RawData!$A:$A,0)+ROWS($2:18)-1))</f>
        <v>Pass</v>
      </c>
      <c r="S18">
        <f>IF(ROWS($2:18)&gt;COUNTIF(Maximum_RawData!$A:$A,"1_Maximum"),"",INDEX(Maximum_RawData!S:S,MATCH("1_Maximum",Maximum_RawData!$A:$A,0)+ROWS($2:18)-1))</f>
        <v>0</v>
      </c>
      <c r="T18">
        <f>IF(ROWS($2:18)&gt;COUNTIF(Maximum_RawData!$A:$A,"1_Maximum"),"",INDEX(Maximum_RawData!T:T,MATCH("1_Maximum",Maximum_RawData!$A:$A,0)+ROWS($2:18)-1))</f>
        <v>0</v>
      </c>
    </row>
    <row r="19" spans="1:20">
      <c r="A19" t="str">
        <f>IF(ROWS($2:19)&gt;COUNTIF(Maximum_RawData!$A:$A,"1_Maximum"),"",INDEX(Maximum_RawData!A:A,MATCH("1_Maximum",Maximum_RawData!$A:$A,0)+ROWS($2:19)-1))</f>
        <v>1_Maximum</v>
      </c>
      <c r="B19">
        <f>IF(ROWS($2:19)&gt;COUNTIF(Maximum_RawData!$A:$A,"1_Maximum"),"",INDEX(Maximum_RawData!B:B,MATCH("1_Maximum",Maximum_RawData!$A:$A,0)+ROWS($2:19)-1))</f>
        <v>145648.06200000001</v>
      </c>
      <c r="C19">
        <f>IF(ROWS($2:19)&gt;COUNTIF(Maximum_RawData!$A:$A,"1_Maximum"),"",INDEX(Maximum_RawData!C:C,MATCH("1_Maximum",Maximum_RawData!$A:$A,0)+ROWS($2:19)-1))</f>
        <v>57.11</v>
      </c>
      <c r="D19">
        <f>IF(ROWS($2:19)&gt;COUNTIF(Maximum_RawData!$A:$A,"1_Maximum"),"",INDEX(Maximum_RawData!D:D,MATCH("1_Maximum",Maximum_RawData!$A:$A,0)+ROWS($2:19)-1))</f>
        <v>1313.6420000000001</v>
      </c>
      <c r="E19">
        <f>IF(ROWS($2:19)&gt;COUNTIF(Maximum_RawData!$A:$A,"1_Maximum"),"",INDEX(Maximum_RawData!E:E,MATCH("1_Maximum",Maximum_RawData!$A:$A,0)+ROWS($2:19)-1))</f>
        <v>1.62</v>
      </c>
      <c r="F19">
        <f>IF(ROWS($2:19)&gt;COUNTIF(Maximum_RawData!$A:$A,"1_Maximum"),"",INDEX(Maximum_RawData!F:F,MATCH("1_Maximum",Maximum_RawData!$A:$A,0)+ROWS($2:19)-1))</f>
        <v>399</v>
      </c>
      <c r="G19">
        <f>IF(ROWS($2:19)&gt;COUNTIF(Maximum_RawData!$A:$A,"1_Maximum"),"",INDEX(Maximum_RawData!G:G,MATCH("1_Maximum",Maximum_RawData!$A:$A,0)+ROWS($2:19)-1))</f>
        <v>399</v>
      </c>
      <c r="H19">
        <f>IF(ROWS($2:19)&gt;COUNTIF(Maximum_RawData!$A:$A,"1_Maximum"),"",INDEX(Maximum_RawData!H:H,MATCH("1_Maximum",Maximum_RawData!$A:$A,0)+ROWS($2:19)-1))</f>
        <v>399</v>
      </c>
      <c r="I19">
        <f>IF(ROWS($2:19)&gt;COUNTIF(Maximum_RawData!$A:$A,"1_Maximum"),"",INDEX(Maximum_RawData!I:I,MATCH("1_Maximum",Maximum_RawData!$A:$A,0)+ROWS($2:19)-1))</f>
        <v>399</v>
      </c>
      <c r="J19">
        <f>IF(ROWS($2:19)&gt;COUNTIF(Maximum_RawData!$A:$A,"1_Maximum"),"",INDEX(Maximum_RawData!J:J,MATCH("1_Maximum",Maximum_RawData!$A:$A,0)+ROWS($2:19)-1))</f>
        <v>399</v>
      </c>
      <c r="K19">
        <f>IF(ROWS($2:19)&gt;COUNTIF(Maximum_RawData!$A:$A,"1_Maximum"),"",INDEX(Maximum_RawData!K:K,MATCH("1_Maximum",Maximum_RawData!$A:$A,0)+ROWS($2:19)-1))</f>
        <v>399</v>
      </c>
      <c r="L19">
        <f>IF(ROWS($2:19)&gt;COUNTIF(Maximum_RawData!$A:$A,"1_Maximum"),"",INDEX(Maximum_RawData!L:L,MATCH("1_Maximum",Maximum_RawData!$A:$A,0)+ROWS($2:19)-1))</f>
        <v>399</v>
      </c>
      <c r="M19">
        <f>IF(ROWS($2:19)&gt;COUNTIF(Maximum_RawData!$A:$A,"1_Maximum"),"",INDEX(Maximum_RawData!M:M,MATCH("1_Maximum",Maximum_RawData!$A:$A,0)+ROWS($2:19)-1))</f>
        <v>399</v>
      </c>
      <c r="N19">
        <f>IF(ROWS($2:19)&gt;COUNTIF(Maximum_RawData!$A:$A,"1_Maximum"),"",INDEX(Maximum_RawData!N:N,MATCH("1_Maximum",Maximum_RawData!$A:$A,0)+ROWS($2:19)-1))</f>
        <v>0.1</v>
      </c>
      <c r="O19">
        <f>IF(ROWS($2:19)&gt;COUNTIF(Maximum_RawData!$A:$A,"1_Maximum"),"",INDEX(Maximum_RawData!O:O,MATCH("1_Maximum",Maximum_RawData!$A:$A,0)+ROWS($2:19)-1))</f>
        <v>0.11</v>
      </c>
      <c r="P19">
        <f>IF(ROWS($2:19)&gt;COUNTIF(Maximum_RawData!$A:$A,"1_Maximum"),"",INDEX(Maximum_RawData!P:P,MATCH("1_Maximum",Maximum_RawData!$A:$A,0)+ROWS($2:19)-1))</f>
        <v>0.08</v>
      </c>
      <c r="Q19">
        <f>IF(ROWS($2:19)&gt;COUNTIF(Maximum_RawData!$A:$A,"1_Maximum"),"",INDEX(Maximum_RawData!Q:Q,MATCH("1_Maximum",Maximum_RawData!$A:$A,0)+ROWS($2:19)-1))</f>
        <v>0.1</v>
      </c>
      <c r="R19" t="str">
        <f>IF(ROWS($2:19)&gt;COUNTIF(Maximum_RawData!$A:$A,"1_Maximum"),"",INDEX(Maximum_RawData!R:R,MATCH("1_Maximum",Maximum_RawData!$A:$A,0)+ROWS($2:19)-1))</f>
        <v>Pass</v>
      </c>
      <c r="S19">
        <f>IF(ROWS($2:19)&gt;COUNTIF(Maximum_RawData!$A:$A,"1_Maximum"),"",INDEX(Maximum_RawData!S:S,MATCH("1_Maximum",Maximum_RawData!$A:$A,0)+ROWS($2:19)-1))</f>
        <v>0</v>
      </c>
      <c r="T19">
        <f>IF(ROWS($2:19)&gt;COUNTIF(Maximum_RawData!$A:$A,"1_Maximum"),"",INDEX(Maximum_RawData!T:T,MATCH("1_Maximum",Maximum_RawData!$A:$A,0)+ROWS($2:19)-1))</f>
        <v>0</v>
      </c>
    </row>
    <row r="20" spans="1:20">
      <c r="A20" t="str">
        <f>IF(ROWS($2:20)&gt;COUNTIF(Maximum_RawData!$A:$A,"1_Maximum"),"",INDEX(Maximum_RawData!A:A,MATCH("1_Maximum",Maximum_RawData!$A:$A,0)+ROWS($2:20)-1))</f>
        <v>1_Maximum</v>
      </c>
      <c r="B20">
        <f>IF(ROWS($2:20)&gt;COUNTIF(Maximum_RawData!$A:$A,"1_Maximum"),"",INDEX(Maximum_RawData!B:B,MATCH("1_Maximum",Maximum_RawData!$A:$A,0)+ROWS($2:20)-1))</f>
        <v>145653.06400000001</v>
      </c>
      <c r="C20">
        <f>IF(ROWS($2:20)&gt;COUNTIF(Maximum_RawData!$A:$A,"1_Maximum"),"",INDEX(Maximum_RawData!C:C,MATCH("1_Maximum",Maximum_RawData!$A:$A,0)+ROWS($2:20)-1))</f>
        <v>56.35</v>
      </c>
      <c r="D20">
        <f>IF(ROWS($2:20)&gt;COUNTIF(Maximum_RawData!$A:$A,"1_Maximum"),"",INDEX(Maximum_RawData!D:D,MATCH("1_Maximum",Maximum_RawData!$A:$A,0)+ROWS($2:20)-1))</f>
        <v>1313.57</v>
      </c>
      <c r="E20">
        <f>IF(ROWS($2:20)&gt;COUNTIF(Maximum_RawData!$A:$A,"1_Maximum"),"",INDEX(Maximum_RawData!E:E,MATCH("1_Maximum",Maximum_RawData!$A:$A,0)+ROWS($2:20)-1))</f>
        <v>1.75</v>
      </c>
      <c r="F20">
        <f>IF(ROWS($2:20)&gt;COUNTIF(Maximum_RawData!$A:$A,"1_Maximum"),"",INDEX(Maximum_RawData!F:F,MATCH("1_Maximum",Maximum_RawData!$A:$A,0)+ROWS($2:20)-1))</f>
        <v>399</v>
      </c>
      <c r="G20">
        <f>IF(ROWS($2:20)&gt;COUNTIF(Maximum_RawData!$A:$A,"1_Maximum"),"",INDEX(Maximum_RawData!G:G,MATCH("1_Maximum",Maximum_RawData!$A:$A,0)+ROWS($2:20)-1))</f>
        <v>399</v>
      </c>
      <c r="H20">
        <f>IF(ROWS($2:20)&gt;COUNTIF(Maximum_RawData!$A:$A,"1_Maximum"),"",INDEX(Maximum_RawData!H:H,MATCH("1_Maximum",Maximum_RawData!$A:$A,0)+ROWS($2:20)-1))</f>
        <v>399</v>
      </c>
      <c r="I20">
        <f>IF(ROWS($2:20)&gt;COUNTIF(Maximum_RawData!$A:$A,"1_Maximum"),"",INDEX(Maximum_RawData!I:I,MATCH("1_Maximum",Maximum_RawData!$A:$A,0)+ROWS($2:20)-1))</f>
        <v>399</v>
      </c>
      <c r="J20">
        <f>IF(ROWS($2:20)&gt;COUNTIF(Maximum_RawData!$A:$A,"1_Maximum"),"",INDEX(Maximum_RawData!J:J,MATCH("1_Maximum",Maximum_RawData!$A:$A,0)+ROWS($2:20)-1))</f>
        <v>399</v>
      </c>
      <c r="K20">
        <f>IF(ROWS($2:20)&gt;COUNTIF(Maximum_RawData!$A:$A,"1_Maximum"),"",INDEX(Maximum_RawData!K:K,MATCH("1_Maximum",Maximum_RawData!$A:$A,0)+ROWS($2:20)-1))</f>
        <v>399</v>
      </c>
      <c r="L20">
        <f>IF(ROWS($2:20)&gt;COUNTIF(Maximum_RawData!$A:$A,"1_Maximum"),"",INDEX(Maximum_RawData!L:L,MATCH("1_Maximum",Maximum_RawData!$A:$A,0)+ROWS($2:20)-1))</f>
        <v>399</v>
      </c>
      <c r="M20">
        <f>IF(ROWS($2:20)&gt;COUNTIF(Maximum_RawData!$A:$A,"1_Maximum"),"",INDEX(Maximum_RawData!M:M,MATCH("1_Maximum",Maximum_RawData!$A:$A,0)+ROWS($2:20)-1))</f>
        <v>399</v>
      </c>
      <c r="N20">
        <f>IF(ROWS($2:20)&gt;COUNTIF(Maximum_RawData!$A:$A,"1_Maximum"),"",INDEX(Maximum_RawData!N:N,MATCH("1_Maximum",Maximum_RawData!$A:$A,0)+ROWS($2:20)-1))</f>
        <v>0.09</v>
      </c>
      <c r="O20">
        <f>IF(ROWS($2:20)&gt;COUNTIF(Maximum_RawData!$A:$A,"1_Maximum"),"",INDEX(Maximum_RawData!O:O,MATCH("1_Maximum",Maximum_RawData!$A:$A,0)+ROWS($2:20)-1))</f>
        <v>0.11</v>
      </c>
      <c r="P20">
        <f>IF(ROWS($2:20)&gt;COUNTIF(Maximum_RawData!$A:$A,"1_Maximum"),"",INDEX(Maximum_RawData!P:P,MATCH("1_Maximum",Maximum_RawData!$A:$A,0)+ROWS($2:20)-1))</f>
        <v>0.08</v>
      </c>
      <c r="Q20">
        <f>IF(ROWS($2:20)&gt;COUNTIF(Maximum_RawData!$A:$A,"1_Maximum"),"",INDEX(Maximum_RawData!Q:Q,MATCH("1_Maximum",Maximum_RawData!$A:$A,0)+ROWS($2:20)-1))</f>
        <v>0.1</v>
      </c>
      <c r="R20" t="str">
        <f>IF(ROWS($2:20)&gt;COUNTIF(Maximum_RawData!$A:$A,"1_Maximum"),"",INDEX(Maximum_RawData!R:R,MATCH("1_Maximum",Maximum_RawData!$A:$A,0)+ROWS($2:20)-1))</f>
        <v>Pass</v>
      </c>
      <c r="S20">
        <f>IF(ROWS($2:20)&gt;COUNTIF(Maximum_RawData!$A:$A,"1_Maximum"),"",INDEX(Maximum_RawData!S:S,MATCH("1_Maximum",Maximum_RawData!$A:$A,0)+ROWS($2:20)-1))</f>
        <v>0</v>
      </c>
      <c r="T20">
        <f>IF(ROWS($2:20)&gt;COUNTIF(Maximum_RawData!$A:$A,"1_Maximum"),"",INDEX(Maximum_RawData!T:T,MATCH("1_Maximum",Maximum_RawData!$A:$A,0)+ROWS($2:20)-1))</f>
        <v>0</v>
      </c>
    </row>
    <row r="21" spans="1:20">
      <c r="A21" t="str">
        <f>IF(ROWS($2:21)&gt;COUNTIF(Maximum_RawData!$A:$A,"1_Maximum"),"",INDEX(Maximum_RawData!A:A,MATCH("1_Maximum",Maximum_RawData!$A:$A,0)+ROWS($2:21)-1))</f>
        <v>1_Maximum</v>
      </c>
      <c r="B21">
        <f>IF(ROWS($2:21)&gt;COUNTIF(Maximum_RawData!$A:$A,"1_Maximum"),"",INDEX(Maximum_RawData!B:B,MATCH("1_Maximum",Maximum_RawData!$A:$A,0)+ROWS($2:21)-1))</f>
        <v>145658.06299999999</v>
      </c>
      <c r="C21">
        <f>IF(ROWS($2:21)&gt;COUNTIF(Maximum_RawData!$A:$A,"1_Maximum"),"",INDEX(Maximum_RawData!C:C,MATCH("1_Maximum",Maximum_RawData!$A:$A,0)+ROWS($2:21)-1))</f>
        <v>55.61</v>
      </c>
      <c r="D21">
        <f>IF(ROWS($2:21)&gt;COUNTIF(Maximum_RawData!$A:$A,"1_Maximum"),"",INDEX(Maximum_RawData!D:D,MATCH("1_Maximum",Maximum_RawData!$A:$A,0)+ROWS($2:21)-1))</f>
        <v>1313.5</v>
      </c>
      <c r="E21">
        <f>IF(ROWS($2:21)&gt;COUNTIF(Maximum_RawData!$A:$A,"1_Maximum"),"",INDEX(Maximum_RawData!E:E,MATCH("1_Maximum",Maximum_RawData!$A:$A,0)+ROWS($2:21)-1))</f>
        <v>1.93</v>
      </c>
      <c r="F21">
        <f>IF(ROWS($2:21)&gt;COUNTIF(Maximum_RawData!$A:$A,"1_Maximum"),"",INDEX(Maximum_RawData!F:F,MATCH("1_Maximum",Maximum_RawData!$A:$A,0)+ROWS($2:21)-1))</f>
        <v>399</v>
      </c>
      <c r="G21">
        <f>IF(ROWS($2:21)&gt;COUNTIF(Maximum_RawData!$A:$A,"1_Maximum"),"",INDEX(Maximum_RawData!G:G,MATCH("1_Maximum",Maximum_RawData!$A:$A,0)+ROWS($2:21)-1))</f>
        <v>399</v>
      </c>
      <c r="H21">
        <f>IF(ROWS($2:21)&gt;COUNTIF(Maximum_RawData!$A:$A,"1_Maximum"),"",INDEX(Maximum_RawData!H:H,MATCH("1_Maximum",Maximum_RawData!$A:$A,0)+ROWS($2:21)-1))</f>
        <v>399</v>
      </c>
      <c r="I21">
        <f>IF(ROWS($2:21)&gt;COUNTIF(Maximum_RawData!$A:$A,"1_Maximum"),"",INDEX(Maximum_RawData!I:I,MATCH("1_Maximum",Maximum_RawData!$A:$A,0)+ROWS($2:21)-1))</f>
        <v>399</v>
      </c>
      <c r="J21">
        <f>IF(ROWS($2:21)&gt;COUNTIF(Maximum_RawData!$A:$A,"1_Maximum"),"",INDEX(Maximum_RawData!J:J,MATCH("1_Maximum",Maximum_RawData!$A:$A,0)+ROWS($2:21)-1))</f>
        <v>399</v>
      </c>
      <c r="K21">
        <f>IF(ROWS($2:21)&gt;COUNTIF(Maximum_RawData!$A:$A,"1_Maximum"),"",INDEX(Maximum_RawData!K:K,MATCH("1_Maximum",Maximum_RawData!$A:$A,0)+ROWS($2:21)-1))</f>
        <v>399</v>
      </c>
      <c r="L21">
        <f>IF(ROWS($2:21)&gt;COUNTIF(Maximum_RawData!$A:$A,"1_Maximum"),"",INDEX(Maximum_RawData!L:L,MATCH("1_Maximum",Maximum_RawData!$A:$A,0)+ROWS($2:21)-1))</f>
        <v>399</v>
      </c>
      <c r="M21">
        <f>IF(ROWS($2:21)&gt;COUNTIF(Maximum_RawData!$A:$A,"1_Maximum"),"",INDEX(Maximum_RawData!M:M,MATCH("1_Maximum",Maximum_RawData!$A:$A,0)+ROWS($2:21)-1))</f>
        <v>399</v>
      </c>
      <c r="N21">
        <f>IF(ROWS($2:21)&gt;COUNTIF(Maximum_RawData!$A:$A,"1_Maximum"),"",INDEX(Maximum_RawData!N:N,MATCH("1_Maximum",Maximum_RawData!$A:$A,0)+ROWS($2:21)-1))</f>
        <v>0.09</v>
      </c>
      <c r="O21">
        <f>IF(ROWS($2:21)&gt;COUNTIF(Maximum_RawData!$A:$A,"1_Maximum"),"",INDEX(Maximum_RawData!O:O,MATCH("1_Maximum",Maximum_RawData!$A:$A,0)+ROWS($2:21)-1))</f>
        <v>0.11</v>
      </c>
      <c r="P21">
        <f>IF(ROWS($2:21)&gt;COUNTIF(Maximum_RawData!$A:$A,"1_Maximum"),"",INDEX(Maximum_RawData!P:P,MATCH("1_Maximum",Maximum_RawData!$A:$A,0)+ROWS($2:21)-1))</f>
        <v>0.08</v>
      </c>
      <c r="Q21">
        <f>IF(ROWS($2:21)&gt;COUNTIF(Maximum_RawData!$A:$A,"1_Maximum"),"",INDEX(Maximum_RawData!Q:Q,MATCH("1_Maximum",Maximum_RawData!$A:$A,0)+ROWS($2:21)-1))</f>
        <v>0.1</v>
      </c>
      <c r="R21" t="str">
        <f>IF(ROWS($2:21)&gt;COUNTIF(Maximum_RawData!$A:$A,"1_Maximum"),"",INDEX(Maximum_RawData!R:R,MATCH("1_Maximum",Maximum_RawData!$A:$A,0)+ROWS($2:21)-1))</f>
        <v>Pass</v>
      </c>
      <c r="S21">
        <f>IF(ROWS($2:21)&gt;COUNTIF(Maximum_RawData!$A:$A,"1_Maximum"),"",INDEX(Maximum_RawData!S:S,MATCH("1_Maximum",Maximum_RawData!$A:$A,0)+ROWS($2:21)-1))</f>
        <v>0</v>
      </c>
      <c r="T21">
        <f>IF(ROWS($2:21)&gt;COUNTIF(Maximum_RawData!$A:$A,"1_Maximum"),"",INDEX(Maximum_RawData!T:T,MATCH("1_Maximum",Maximum_RawData!$A:$A,0)+ROWS($2:21)-1))</f>
        <v>0</v>
      </c>
    </row>
    <row r="22" spans="1:20">
      <c r="A22" t="str">
        <f>IF(ROWS($2:22)&gt;COUNTIF(Maximum_RawData!$A:$A,"1_Maximum"),"",INDEX(Maximum_RawData!A:A,MATCH("1_Maximum",Maximum_RawData!$A:$A,0)+ROWS($2:22)-1))</f>
        <v>1_Maximum</v>
      </c>
      <c r="B22">
        <f>IF(ROWS($2:22)&gt;COUNTIF(Maximum_RawData!$A:$A,"1_Maximum"),"",INDEX(Maximum_RawData!B:B,MATCH("1_Maximum",Maximum_RawData!$A:$A,0)+ROWS($2:22)-1))</f>
        <v>145703.076</v>
      </c>
      <c r="C22">
        <f>IF(ROWS($2:22)&gt;COUNTIF(Maximum_RawData!$A:$A,"1_Maximum"),"",INDEX(Maximum_RawData!C:C,MATCH("1_Maximum",Maximum_RawData!$A:$A,0)+ROWS($2:22)-1))</f>
        <v>54.86</v>
      </c>
      <c r="D22">
        <f>IF(ROWS($2:22)&gt;COUNTIF(Maximum_RawData!$A:$A,"1_Maximum"),"",INDEX(Maximum_RawData!D:D,MATCH("1_Maximum",Maximum_RawData!$A:$A,0)+ROWS($2:22)-1))</f>
        <v>1313.4259999999999</v>
      </c>
      <c r="E22">
        <f>IF(ROWS($2:22)&gt;COUNTIF(Maximum_RawData!$A:$A,"1_Maximum"),"",INDEX(Maximum_RawData!E:E,MATCH("1_Maximum",Maximum_RawData!$A:$A,0)+ROWS($2:22)-1))</f>
        <v>2.17</v>
      </c>
      <c r="F22">
        <f>IF(ROWS($2:22)&gt;COUNTIF(Maximum_RawData!$A:$A,"1_Maximum"),"",INDEX(Maximum_RawData!F:F,MATCH("1_Maximum",Maximum_RawData!$A:$A,0)+ROWS($2:22)-1))</f>
        <v>399</v>
      </c>
      <c r="G22">
        <f>IF(ROWS($2:22)&gt;COUNTIF(Maximum_RawData!$A:$A,"1_Maximum"),"",INDEX(Maximum_RawData!G:G,MATCH("1_Maximum",Maximum_RawData!$A:$A,0)+ROWS($2:22)-1))</f>
        <v>399</v>
      </c>
      <c r="H22">
        <f>IF(ROWS($2:22)&gt;COUNTIF(Maximum_RawData!$A:$A,"1_Maximum"),"",INDEX(Maximum_RawData!H:H,MATCH("1_Maximum",Maximum_RawData!$A:$A,0)+ROWS($2:22)-1))</f>
        <v>399</v>
      </c>
      <c r="I22">
        <f>IF(ROWS($2:22)&gt;COUNTIF(Maximum_RawData!$A:$A,"1_Maximum"),"",INDEX(Maximum_RawData!I:I,MATCH("1_Maximum",Maximum_RawData!$A:$A,0)+ROWS($2:22)-1))</f>
        <v>399</v>
      </c>
      <c r="J22">
        <f>IF(ROWS($2:22)&gt;COUNTIF(Maximum_RawData!$A:$A,"1_Maximum"),"",INDEX(Maximum_RawData!J:J,MATCH("1_Maximum",Maximum_RawData!$A:$A,0)+ROWS($2:22)-1))</f>
        <v>399</v>
      </c>
      <c r="K22">
        <f>IF(ROWS($2:22)&gt;COUNTIF(Maximum_RawData!$A:$A,"1_Maximum"),"",INDEX(Maximum_RawData!K:K,MATCH("1_Maximum",Maximum_RawData!$A:$A,0)+ROWS($2:22)-1))</f>
        <v>399</v>
      </c>
      <c r="L22">
        <f>IF(ROWS($2:22)&gt;COUNTIF(Maximum_RawData!$A:$A,"1_Maximum"),"",INDEX(Maximum_RawData!L:L,MATCH("1_Maximum",Maximum_RawData!$A:$A,0)+ROWS($2:22)-1))</f>
        <v>399</v>
      </c>
      <c r="M22">
        <f>IF(ROWS($2:22)&gt;COUNTIF(Maximum_RawData!$A:$A,"1_Maximum"),"",INDEX(Maximum_RawData!M:M,MATCH("1_Maximum",Maximum_RawData!$A:$A,0)+ROWS($2:22)-1))</f>
        <v>399</v>
      </c>
      <c r="N22">
        <f>IF(ROWS($2:22)&gt;COUNTIF(Maximum_RawData!$A:$A,"1_Maximum"),"",INDEX(Maximum_RawData!N:N,MATCH("1_Maximum",Maximum_RawData!$A:$A,0)+ROWS($2:22)-1))</f>
        <v>0.1</v>
      </c>
      <c r="O22">
        <f>IF(ROWS($2:22)&gt;COUNTIF(Maximum_RawData!$A:$A,"1_Maximum"),"",INDEX(Maximum_RawData!O:O,MATCH("1_Maximum",Maximum_RawData!$A:$A,0)+ROWS($2:22)-1))</f>
        <v>0.11</v>
      </c>
      <c r="P22">
        <f>IF(ROWS($2:22)&gt;COUNTIF(Maximum_RawData!$A:$A,"1_Maximum"),"",INDEX(Maximum_RawData!P:P,MATCH("1_Maximum",Maximum_RawData!$A:$A,0)+ROWS($2:22)-1))</f>
        <v>0.08</v>
      </c>
      <c r="Q22">
        <f>IF(ROWS($2:22)&gt;COUNTIF(Maximum_RawData!$A:$A,"1_Maximum"),"",INDEX(Maximum_RawData!Q:Q,MATCH("1_Maximum",Maximum_RawData!$A:$A,0)+ROWS($2:22)-1))</f>
        <v>0.1</v>
      </c>
      <c r="R22" t="str">
        <f>IF(ROWS($2:22)&gt;COUNTIF(Maximum_RawData!$A:$A,"1_Maximum"),"",INDEX(Maximum_RawData!R:R,MATCH("1_Maximum",Maximum_RawData!$A:$A,0)+ROWS($2:22)-1))</f>
        <v>Pass</v>
      </c>
      <c r="S22">
        <f>IF(ROWS($2:22)&gt;COUNTIF(Maximum_RawData!$A:$A,"1_Maximum"),"",INDEX(Maximum_RawData!S:S,MATCH("1_Maximum",Maximum_RawData!$A:$A,0)+ROWS($2:22)-1))</f>
        <v>0</v>
      </c>
      <c r="T22">
        <f>IF(ROWS($2:22)&gt;COUNTIF(Maximum_RawData!$A:$A,"1_Maximum"),"",INDEX(Maximum_RawData!T:T,MATCH("1_Maximum",Maximum_RawData!$A:$A,0)+ROWS($2:22)-1))</f>
        <v>0</v>
      </c>
    </row>
    <row r="23" spans="1:20">
      <c r="A23" t="str">
        <f>IF(ROWS($2:23)&gt;COUNTIF(Maximum_RawData!$A:$A,"1_Maximum"),"",INDEX(Maximum_RawData!A:A,MATCH("1_Maximum",Maximum_RawData!$A:$A,0)+ROWS($2:23)-1))</f>
        <v>1_Maximum</v>
      </c>
      <c r="B23">
        <f>IF(ROWS($2:23)&gt;COUNTIF(Maximum_RawData!$A:$A,"1_Maximum"),"",INDEX(Maximum_RawData!B:B,MATCH("1_Maximum",Maximum_RawData!$A:$A,0)+ROWS($2:23)-1))</f>
        <v>145708.07199999999</v>
      </c>
      <c r="C23">
        <f>IF(ROWS($2:23)&gt;COUNTIF(Maximum_RawData!$A:$A,"1_Maximum"),"",INDEX(Maximum_RawData!C:C,MATCH("1_Maximum",Maximum_RawData!$A:$A,0)+ROWS($2:23)-1))</f>
        <v>54.1</v>
      </c>
      <c r="D23">
        <f>IF(ROWS($2:23)&gt;COUNTIF(Maximum_RawData!$A:$A,"1_Maximum"),"",INDEX(Maximum_RawData!D:D,MATCH("1_Maximum",Maximum_RawData!$A:$A,0)+ROWS($2:23)-1))</f>
        <v>1313.3610000000001</v>
      </c>
      <c r="E23">
        <f>IF(ROWS($2:23)&gt;COUNTIF(Maximum_RawData!$A:$A,"1_Maximum"),"",INDEX(Maximum_RawData!E:E,MATCH("1_Maximum",Maximum_RawData!$A:$A,0)+ROWS($2:23)-1))</f>
        <v>2.37</v>
      </c>
      <c r="F23">
        <f>IF(ROWS($2:23)&gt;COUNTIF(Maximum_RawData!$A:$A,"1_Maximum"),"",INDEX(Maximum_RawData!F:F,MATCH("1_Maximum",Maximum_RawData!$A:$A,0)+ROWS($2:23)-1))</f>
        <v>399</v>
      </c>
      <c r="G23">
        <f>IF(ROWS($2:23)&gt;COUNTIF(Maximum_RawData!$A:$A,"1_Maximum"),"",INDEX(Maximum_RawData!G:G,MATCH("1_Maximum",Maximum_RawData!$A:$A,0)+ROWS($2:23)-1))</f>
        <v>399</v>
      </c>
      <c r="H23">
        <f>IF(ROWS($2:23)&gt;COUNTIF(Maximum_RawData!$A:$A,"1_Maximum"),"",INDEX(Maximum_RawData!H:H,MATCH("1_Maximum",Maximum_RawData!$A:$A,0)+ROWS($2:23)-1))</f>
        <v>399</v>
      </c>
      <c r="I23">
        <f>IF(ROWS($2:23)&gt;COUNTIF(Maximum_RawData!$A:$A,"1_Maximum"),"",INDEX(Maximum_RawData!I:I,MATCH("1_Maximum",Maximum_RawData!$A:$A,0)+ROWS($2:23)-1))</f>
        <v>399</v>
      </c>
      <c r="J23">
        <f>IF(ROWS($2:23)&gt;COUNTIF(Maximum_RawData!$A:$A,"1_Maximum"),"",INDEX(Maximum_RawData!J:J,MATCH("1_Maximum",Maximum_RawData!$A:$A,0)+ROWS($2:23)-1))</f>
        <v>399</v>
      </c>
      <c r="K23">
        <f>IF(ROWS($2:23)&gt;COUNTIF(Maximum_RawData!$A:$A,"1_Maximum"),"",INDEX(Maximum_RawData!K:K,MATCH("1_Maximum",Maximum_RawData!$A:$A,0)+ROWS($2:23)-1))</f>
        <v>399</v>
      </c>
      <c r="L23">
        <f>IF(ROWS($2:23)&gt;COUNTIF(Maximum_RawData!$A:$A,"1_Maximum"),"",INDEX(Maximum_RawData!L:L,MATCH("1_Maximum",Maximum_RawData!$A:$A,0)+ROWS($2:23)-1))</f>
        <v>399</v>
      </c>
      <c r="M23">
        <f>IF(ROWS($2:23)&gt;COUNTIF(Maximum_RawData!$A:$A,"1_Maximum"),"",INDEX(Maximum_RawData!M:M,MATCH("1_Maximum",Maximum_RawData!$A:$A,0)+ROWS($2:23)-1))</f>
        <v>399</v>
      </c>
      <c r="N23">
        <f>IF(ROWS($2:23)&gt;COUNTIF(Maximum_RawData!$A:$A,"1_Maximum"),"",INDEX(Maximum_RawData!N:N,MATCH("1_Maximum",Maximum_RawData!$A:$A,0)+ROWS($2:23)-1))</f>
        <v>0.09</v>
      </c>
      <c r="O23">
        <f>IF(ROWS($2:23)&gt;COUNTIF(Maximum_RawData!$A:$A,"1_Maximum"),"",INDEX(Maximum_RawData!O:O,MATCH("1_Maximum",Maximum_RawData!$A:$A,0)+ROWS($2:23)-1))</f>
        <v>0.11</v>
      </c>
      <c r="P23">
        <f>IF(ROWS($2:23)&gt;COUNTIF(Maximum_RawData!$A:$A,"1_Maximum"),"",INDEX(Maximum_RawData!P:P,MATCH("1_Maximum",Maximum_RawData!$A:$A,0)+ROWS($2:23)-1))</f>
        <v>0.08</v>
      </c>
      <c r="Q23">
        <f>IF(ROWS($2:23)&gt;COUNTIF(Maximum_RawData!$A:$A,"1_Maximum"),"",INDEX(Maximum_RawData!Q:Q,MATCH("1_Maximum",Maximum_RawData!$A:$A,0)+ROWS($2:23)-1))</f>
        <v>0.1</v>
      </c>
      <c r="R23" t="str">
        <f>IF(ROWS($2:23)&gt;COUNTIF(Maximum_RawData!$A:$A,"1_Maximum"),"",INDEX(Maximum_RawData!R:R,MATCH("1_Maximum",Maximum_RawData!$A:$A,0)+ROWS($2:23)-1))</f>
        <v>Pass</v>
      </c>
      <c r="S23">
        <f>IF(ROWS($2:23)&gt;COUNTIF(Maximum_RawData!$A:$A,"1_Maximum"),"",INDEX(Maximum_RawData!S:S,MATCH("1_Maximum",Maximum_RawData!$A:$A,0)+ROWS($2:23)-1))</f>
        <v>0</v>
      </c>
      <c r="T23">
        <f>IF(ROWS($2:23)&gt;COUNTIF(Maximum_RawData!$A:$A,"1_Maximum"),"",INDEX(Maximum_RawData!T:T,MATCH("1_Maximum",Maximum_RawData!$A:$A,0)+ROWS($2:23)-1))</f>
        <v>0</v>
      </c>
    </row>
    <row r="24" spans="1:20">
      <c r="A24" t="str">
        <f>IF(ROWS($2:24)&gt;COUNTIF(Maximum_RawData!$A:$A,"1_Maximum"),"",INDEX(Maximum_RawData!A:A,MATCH("1_Maximum",Maximum_RawData!$A:$A,0)+ROWS($2:24)-1))</f>
        <v>1_Maximum</v>
      </c>
      <c r="B24">
        <f>IF(ROWS($2:24)&gt;COUNTIF(Maximum_RawData!$A:$A,"1_Maximum"),"",INDEX(Maximum_RawData!B:B,MATCH("1_Maximum",Maximum_RawData!$A:$A,0)+ROWS($2:24)-1))</f>
        <v>145713.06400000001</v>
      </c>
      <c r="C24">
        <f>IF(ROWS($2:24)&gt;COUNTIF(Maximum_RawData!$A:$A,"1_Maximum"),"",INDEX(Maximum_RawData!C:C,MATCH("1_Maximum",Maximum_RawData!$A:$A,0)+ROWS($2:24)-1))</f>
        <v>53.36</v>
      </c>
      <c r="D24">
        <f>IF(ROWS($2:24)&gt;COUNTIF(Maximum_RawData!$A:$A,"1_Maximum"),"",INDEX(Maximum_RawData!D:D,MATCH("1_Maximum",Maximum_RawData!$A:$A,0)+ROWS($2:24)-1))</f>
        <v>1313.289</v>
      </c>
      <c r="E24">
        <f>IF(ROWS($2:24)&gt;COUNTIF(Maximum_RawData!$A:$A,"1_Maximum"),"",INDEX(Maximum_RawData!E:E,MATCH("1_Maximum",Maximum_RawData!$A:$A,0)+ROWS($2:24)-1))</f>
        <v>2.5099999999999998</v>
      </c>
      <c r="F24">
        <f>IF(ROWS($2:24)&gt;COUNTIF(Maximum_RawData!$A:$A,"1_Maximum"),"",INDEX(Maximum_RawData!F:F,MATCH("1_Maximum",Maximum_RawData!$A:$A,0)+ROWS($2:24)-1))</f>
        <v>399</v>
      </c>
      <c r="G24">
        <f>IF(ROWS($2:24)&gt;COUNTIF(Maximum_RawData!$A:$A,"1_Maximum"),"",INDEX(Maximum_RawData!G:G,MATCH("1_Maximum",Maximum_RawData!$A:$A,0)+ROWS($2:24)-1))</f>
        <v>399</v>
      </c>
      <c r="H24">
        <f>IF(ROWS($2:24)&gt;COUNTIF(Maximum_RawData!$A:$A,"1_Maximum"),"",INDEX(Maximum_RawData!H:H,MATCH("1_Maximum",Maximum_RawData!$A:$A,0)+ROWS($2:24)-1))</f>
        <v>399</v>
      </c>
      <c r="I24">
        <f>IF(ROWS($2:24)&gt;COUNTIF(Maximum_RawData!$A:$A,"1_Maximum"),"",INDEX(Maximum_RawData!I:I,MATCH("1_Maximum",Maximum_RawData!$A:$A,0)+ROWS($2:24)-1))</f>
        <v>399</v>
      </c>
      <c r="J24">
        <f>IF(ROWS($2:24)&gt;COUNTIF(Maximum_RawData!$A:$A,"1_Maximum"),"",INDEX(Maximum_RawData!J:J,MATCH("1_Maximum",Maximum_RawData!$A:$A,0)+ROWS($2:24)-1))</f>
        <v>399</v>
      </c>
      <c r="K24">
        <f>IF(ROWS($2:24)&gt;COUNTIF(Maximum_RawData!$A:$A,"1_Maximum"),"",INDEX(Maximum_RawData!K:K,MATCH("1_Maximum",Maximum_RawData!$A:$A,0)+ROWS($2:24)-1))</f>
        <v>399</v>
      </c>
      <c r="L24">
        <f>IF(ROWS($2:24)&gt;COUNTIF(Maximum_RawData!$A:$A,"1_Maximum"),"",INDEX(Maximum_RawData!L:L,MATCH("1_Maximum",Maximum_RawData!$A:$A,0)+ROWS($2:24)-1))</f>
        <v>399</v>
      </c>
      <c r="M24">
        <f>IF(ROWS($2:24)&gt;COUNTIF(Maximum_RawData!$A:$A,"1_Maximum"),"",INDEX(Maximum_RawData!M:M,MATCH("1_Maximum",Maximum_RawData!$A:$A,0)+ROWS($2:24)-1))</f>
        <v>399</v>
      </c>
      <c r="N24">
        <f>IF(ROWS($2:24)&gt;COUNTIF(Maximum_RawData!$A:$A,"1_Maximum"),"",INDEX(Maximum_RawData!N:N,MATCH("1_Maximum",Maximum_RawData!$A:$A,0)+ROWS($2:24)-1))</f>
        <v>0.1</v>
      </c>
      <c r="O24">
        <f>IF(ROWS($2:24)&gt;COUNTIF(Maximum_RawData!$A:$A,"1_Maximum"),"",INDEX(Maximum_RawData!O:O,MATCH("1_Maximum",Maximum_RawData!$A:$A,0)+ROWS($2:24)-1))</f>
        <v>0.11</v>
      </c>
      <c r="P24">
        <f>IF(ROWS($2:24)&gt;COUNTIF(Maximum_RawData!$A:$A,"1_Maximum"),"",INDEX(Maximum_RawData!P:P,MATCH("1_Maximum",Maximum_RawData!$A:$A,0)+ROWS($2:24)-1))</f>
        <v>0.08</v>
      </c>
      <c r="Q24">
        <f>IF(ROWS($2:24)&gt;COUNTIF(Maximum_RawData!$A:$A,"1_Maximum"),"",INDEX(Maximum_RawData!Q:Q,MATCH("1_Maximum",Maximum_RawData!$A:$A,0)+ROWS($2:24)-1))</f>
        <v>0.1</v>
      </c>
      <c r="R24" t="str">
        <f>IF(ROWS($2:24)&gt;COUNTIF(Maximum_RawData!$A:$A,"1_Maximum"),"",INDEX(Maximum_RawData!R:R,MATCH("1_Maximum",Maximum_RawData!$A:$A,0)+ROWS($2:24)-1))</f>
        <v>Pass</v>
      </c>
      <c r="S24">
        <f>IF(ROWS($2:24)&gt;COUNTIF(Maximum_RawData!$A:$A,"1_Maximum"),"",INDEX(Maximum_RawData!S:S,MATCH("1_Maximum",Maximum_RawData!$A:$A,0)+ROWS($2:24)-1))</f>
        <v>0</v>
      </c>
      <c r="T24">
        <f>IF(ROWS($2:24)&gt;COUNTIF(Maximum_RawData!$A:$A,"1_Maximum"),"",INDEX(Maximum_RawData!T:T,MATCH("1_Maximum",Maximum_RawData!$A:$A,0)+ROWS($2:24)-1))</f>
        <v>0</v>
      </c>
    </row>
    <row r="25" spans="1:20">
      <c r="A25" t="str">
        <f>IF(ROWS($2:25)&gt;COUNTIF(Maximum_RawData!$A:$A,"1_Maximum"),"",INDEX(Maximum_RawData!A:A,MATCH("1_Maximum",Maximum_RawData!$A:$A,0)+ROWS($2:25)-1))</f>
        <v>1_Maximum</v>
      </c>
      <c r="B25">
        <f>IF(ROWS($2:25)&gt;COUNTIF(Maximum_RawData!$A:$A,"1_Maximum"),"",INDEX(Maximum_RawData!B:B,MATCH("1_Maximum",Maximum_RawData!$A:$A,0)+ROWS($2:25)-1))</f>
        <v>145718.065</v>
      </c>
      <c r="C25">
        <f>IF(ROWS($2:25)&gt;COUNTIF(Maximum_RawData!$A:$A,"1_Maximum"),"",INDEX(Maximum_RawData!C:C,MATCH("1_Maximum",Maximum_RawData!$A:$A,0)+ROWS($2:25)-1))</f>
        <v>52.6</v>
      </c>
      <c r="D25">
        <f>IF(ROWS($2:25)&gt;COUNTIF(Maximum_RawData!$A:$A,"1_Maximum"),"",INDEX(Maximum_RawData!D:D,MATCH("1_Maximum",Maximum_RawData!$A:$A,0)+ROWS($2:25)-1))</f>
        <v>1313.2170000000001</v>
      </c>
      <c r="E25">
        <f>IF(ROWS($2:25)&gt;COUNTIF(Maximum_RawData!$A:$A,"1_Maximum"),"",INDEX(Maximum_RawData!E:E,MATCH("1_Maximum",Maximum_RawData!$A:$A,0)+ROWS($2:25)-1))</f>
        <v>2.74</v>
      </c>
      <c r="F25">
        <f>IF(ROWS($2:25)&gt;COUNTIF(Maximum_RawData!$A:$A,"1_Maximum"),"",INDEX(Maximum_RawData!F:F,MATCH("1_Maximum",Maximum_RawData!$A:$A,0)+ROWS($2:25)-1))</f>
        <v>399</v>
      </c>
      <c r="G25">
        <f>IF(ROWS($2:25)&gt;COUNTIF(Maximum_RawData!$A:$A,"1_Maximum"),"",INDEX(Maximum_RawData!G:G,MATCH("1_Maximum",Maximum_RawData!$A:$A,0)+ROWS($2:25)-1))</f>
        <v>399</v>
      </c>
      <c r="H25">
        <f>IF(ROWS($2:25)&gt;COUNTIF(Maximum_RawData!$A:$A,"1_Maximum"),"",INDEX(Maximum_RawData!H:H,MATCH("1_Maximum",Maximum_RawData!$A:$A,0)+ROWS($2:25)-1))</f>
        <v>399</v>
      </c>
      <c r="I25">
        <f>IF(ROWS($2:25)&gt;COUNTIF(Maximum_RawData!$A:$A,"1_Maximum"),"",INDEX(Maximum_RawData!I:I,MATCH("1_Maximum",Maximum_RawData!$A:$A,0)+ROWS($2:25)-1))</f>
        <v>399</v>
      </c>
      <c r="J25">
        <f>IF(ROWS($2:25)&gt;COUNTIF(Maximum_RawData!$A:$A,"1_Maximum"),"",INDEX(Maximum_RawData!J:J,MATCH("1_Maximum",Maximum_RawData!$A:$A,0)+ROWS($2:25)-1))</f>
        <v>399</v>
      </c>
      <c r="K25">
        <f>IF(ROWS($2:25)&gt;COUNTIF(Maximum_RawData!$A:$A,"1_Maximum"),"",INDEX(Maximum_RawData!K:K,MATCH("1_Maximum",Maximum_RawData!$A:$A,0)+ROWS($2:25)-1))</f>
        <v>399</v>
      </c>
      <c r="L25">
        <f>IF(ROWS($2:25)&gt;COUNTIF(Maximum_RawData!$A:$A,"1_Maximum"),"",INDEX(Maximum_RawData!L:L,MATCH("1_Maximum",Maximum_RawData!$A:$A,0)+ROWS($2:25)-1))</f>
        <v>399</v>
      </c>
      <c r="M25">
        <f>IF(ROWS($2:25)&gt;COUNTIF(Maximum_RawData!$A:$A,"1_Maximum"),"",INDEX(Maximum_RawData!M:M,MATCH("1_Maximum",Maximum_RawData!$A:$A,0)+ROWS($2:25)-1))</f>
        <v>399</v>
      </c>
      <c r="N25">
        <f>IF(ROWS($2:25)&gt;COUNTIF(Maximum_RawData!$A:$A,"1_Maximum"),"",INDEX(Maximum_RawData!N:N,MATCH("1_Maximum",Maximum_RawData!$A:$A,0)+ROWS($2:25)-1))</f>
        <v>0.09</v>
      </c>
      <c r="O25">
        <f>IF(ROWS($2:25)&gt;COUNTIF(Maximum_RawData!$A:$A,"1_Maximum"),"",INDEX(Maximum_RawData!O:O,MATCH("1_Maximum",Maximum_RawData!$A:$A,0)+ROWS($2:25)-1))</f>
        <v>0.11</v>
      </c>
      <c r="P25">
        <f>IF(ROWS($2:25)&gt;COUNTIF(Maximum_RawData!$A:$A,"1_Maximum"),"",INDEX(Maximum_RawData!P:P,MATCH("1_Maximum",Maximum_RawData!$A:$A,0)+ROWS($2:25)-1))</f>
        <v>0.08</v>
      </c>
      <c r="Q25">
        <f>IF(ROWS($2:25)&gt;COUNTIF(Maximum_RawData!$A:$A,"1_Maximum"),"",INDEX(Maximum_RawData!Q:Q,MATCH("1_Maximum",Maximum_RawData!$A:$A,0)+ROWS($2:25)-1))</f>
        <v>0.1</v>
      </c>
      <c r="R25" t="str">
        <f>IF(ROWS($2:25)&gt;COUNTIF(Maximum_RawData!$A:$A,"1_Maximum"),"",INDEX(Maximum_RawData!R:R,MATCH("1_Maximum",Maximum_RawData!$A:$A,0)+ROWS($2:25)-1))</f>
        <v>Pass</v>
      </c>
      <c r="S25">
        <f>IF(ROWS($2:25)&gt;COUNTIF(Maximum_RawData!$A:$A,"1_Maximum"),"",INDEX(Maximum_RawData!S:S,MATCH("1_Maximum",Maximum_RawData!$A:$A,0)+ROWS($2:25)-1))</f>
        <v>0</v>
      </c>
      <c r="T25">
        <f>IF(ROWS($2:25)&gt;COUNTIF(Maximum_RawData!$A:$A,"1_Maximum"),"",INDEX(Maximum_RawData!T:T,MATCH("1_Maximum",Maximum_RawData!$A:$A,0)+ROWS($2:25)-1))</f>
        <v>0</v>
      </c>
    </row>
    <row r="26" spans="1:20">
      <c r="A26" t="str">
        <f>IF(ROWS($2:26)&gt;COUNTIF(Maximum_RawData!$A:$A,"1_Maximum"),"",INDEX(Maximum_RawData!A:A,MATCH("1_Maximum",Maximum_RawData!$A:$A,0)+ROWS($2:26)-1))</f>
        <v>1_Maximum</v>
      </c>
      <c r="B26">
        <f>IF(ROWS($2:26)&gt;COUNTIF(Maximum_RawData!$A:$A,"1_Maximum"),"",INDEX(Maximum_RawData!B:B,MATCH("1_Maximum",Maximum_RawData!$A:$A,0)+ROWS($2:26)-1))</f>
        <v>145723.068</v>
      </c>
      <c r="C26">
        <f>IF(ROWS($2:26)&gt;COUNTIF(Maximum_RawData!$A:$A,"1_Maximum"),"",INDEX(Maximum_RawData!C:C,MATCH("1_Maximum",Maximum_RawData!$A:$A,0)+ROWS($2:26)-1))</f>
        <v>51.88</v>
      </c>
      <c r="D26">
        <f>IF(ROWS($2:26)&gt;COUNTIF(Maximum_RawData!$A:$A,"1_Maximum"),"",INDEX(Maximum_RawData!D:D,MATCH("1_Maximum",Maximum_RawData!$A:$A,0)+ROWS($2:26)-1))</f>
        <v>1313.1369999999999</v>
      </c>
      <c r="E26">
        <f>IF(ROWS($2:26)&gt;COUNTIF(Maximum_RawData!$A:$A,"1_Maximum"),"",INDEX(Maximum_RawData!E:E,MATCH("1_Maximum",Maximum_RawData!$A:$A,0)+ROWS($2:26)-1))</f>
        <v>2.94</v>
      </c>
      <c r="F26">
        <f>IF(ROWS($2:26)&gt;COUNTIF(Maximum_RawData!$A:$A,"1_Maximum"),"",INDEX(Maximum_RawData!F:F,MATCH("1_Maximum",Maximum_RawData!$A:$A,0)+ROWS($2:26)-1))</f>
        <v>399</v>
      </c>
      <c r="G26">
        <f>IF(ROWS($2:26)&gt;COUNTIF(Maximum_RawData!$A:$A,"1_Maximum"),"",INDEX(Maximum_RawData!G:G,MATCH("1_Maximum",Maximum_RawData!$A:$A,0)+ROWS($2:26)-1))</f>
        <v>399</v>
      </c>
      <c r="H26">
        <f>IF(ROWS($2:26)&gt;COUNTIF(Maximum_RawData!$A:$A,"1_Maximum"),"",INDEX(Maximum_RawData!H:H,MATCH("1_Maximum",Maximum_RawData!$A:$A,0)+ROWS($2:26)-1))</f>
        <v>399</v>
      </c>
      <c r="I26">
        <f>IF(ROWS($2:26)&gt;COUNTIF(Maximum_RawData!$A:$A,"1_Maximum"),"",INDEX(Maximum_RawData!I:I,MATCH("1_Maximum",Maximum_RawData!$A:$A,0)+ROWS($2:26)-1))</f>
        <v>399</v>
      </c>
      <c r="J26">
        <f>IF(ROWS($2:26)&gt;COUNTIF(Maximum_RawData!$A:$A,"1_Maximum"),"",INDEX(Maximum_RawData!J:J,MATCH("1_Maximum",Maximum_RawData!$A:$A,0)+ROWS($2:26)-1))</f>
        <v>399</v>
      </c>
      <c r="K26">
        <f>IF(ROWS($2:26)&gt;COUNTIF(Maximum_RawData!$A:$A,"1_Maximum"),"",INDEX(Maximum_RawData!K:K,MATCH("1_Maximum",Maximum_RawData!$A:$A,0)+ROWS($2:26)-1))</f>
        <v>399</v>
      </c>
      <c r="L26">
        <f>IF(ROWS($2:26)&gt;COUNTIF(Maximum_RawData!$A:$A,"1_Maximum"),"",INDEX(Maximum_RawData!L:L,MATCH("1_Maximum",Maximum_RawData!$A:$A,0)+ROWS($2:26)-1))</f>
        <v>399</v>
      </c>
      <c r="M26">
        <f>IF(ROWS($2:26)&gt;COUNTIF(Maximum_RawData!$A:$A,"1_Maximum"),"",INDEX(Maximum_RawData!M:M,MATCH("1_Maximum",Maximum_RawData!$A:$A,0)+ROWS($2:26)-1))</f>
        <v>399</v>
      </c>
      <c r="N26">
        <f>IF(ROWS($2:26)&gt;COUNTIF(Maximum_RawData!$A:$A,"1_Maximum"),"",INDEX(Maximum_RawData!N:N,MATCH("1_Maximum",Maximum_RawData!$A:$A,0)+ROWS($2:26)-1))</f>
        <v>0.11</v>
      </c>
      <c r="O26">
        <f>IF(ROWS($2:26)&gt;COUNTIF(Maximum_RawData!$A:$A,"1_Maximum"),"",INDEX(Maximum_RawData!O:O,MATCH("1_Maximum",Maximum_RawData!$A:$A,0)+ROWS($2:26)-1))</f>
        <v>0.11</v>
      </c>
      <c r="P26">
        <f>IF(ROWS($2:26)&gt;COUNTIF(Maximum_RawData!$A:$A,"1_Maximum"),"",INDEX(Maximum_RawData!P:P,MATCH("1_Maximum",Maximum_RawData!$A:$A,0)+ROWS($2:26)-1))</f>
        <v>0.08</v>
      </c>
      <c r="Q26">
        <f>IF(ROWS($2:26)&gt;COUNTIF(Maximum_RawData!$A:$A,"1_Maximum"),"",INDEX(Maximum_RawData!Q:Q,MATCH("1_Maximum",Maximum_RawData!$A:$A,0)+ROWS($2:26)-1))</f>
        <v>0.1</v>
      </c>
      <c r="R26" t="str">
        <f>IF(ROWS($2:26)&gt;COUNTIF(Maximum_RawData!$A:$A,"1_Maximum"),"",INDEX(Maximum_RawData!R:R,MATCH("1_Maximum",Maximum_RawData!$A:$A,0)+ROWS($2:26)-1))</f>
        <v>Pass</v>
      </c>
      <c r="S26">
        <f>IF(ROWS($2:26)&gt;COUNTIF(Maximum_RawData!$A:$A,"1_Maximum"),"",INDEX(Maximum_RawData!S:S,MATCH("1_Maximum",Maximum_RawData!$A:$A,0)+ROWS($2:26)-1))</f>
        <v>0</v>
      </c>
      <c r="T26">
        <f>IF(ROWS($2:26)&gt;COUNTIF(Maximum_RawData!$A:$A,"1_Maximum"),"",INDEX(Maximum_RawData!T:T,MATCH("1_Maximum",Maximum_RawData!$A:$A,0)+ROWS($2:26)-1))</f>
        <v>0</v>
      </c>
    </row>
    <row r="27" spans="1:20">
      <c r="A27" t="str">
        <f>IF(ROWS($2:27)&gt;COUNTIF(Maximum_RawData!$A:$A,"1_Maximum"),"",INDEX(Maximum_RawData!A:A,MATCH("1_Maximum",Maximum_RawData!$A:$A,0)+ROWS($2:27)-1))</f>
        <v>1_Maximum</v>
      </c>
      <c r="B27">
        <f>IF(ROWS($2:27)&gt;COUNTIF(Maximum_RawData!$A:$A,"1_Maximum"),"",INDEX(Maximum_RawData!B:B,MATCH("1_Maximum",Maximum_RawData!$A:$A,0)+ROWS($2:27)-1))</f>
        <v>145728.068</v>
      </c>
      <c r="C27">
        <f>IF(ROWS($2:27)&gt;COUNTIF(Maximum_RawData!$A:$A,"1_Maximum"),"",INDEX(Maximum_RawData!C:C,MATCH("1_Maximum",Maximum_RawData!$A:$A,0)+ROWS($2:27)-1))</f>
        <v>51.12</v>
      </c>
      <c r="D27">
        <f>IF(ROWS($2:27)&gt;COUNTIF(Maximum_RawData!$A:$A,"1_Maximum"),"",INDEX(Maximum_RawData!D:D,MATCH("1_Maximum",Maximum_RawData!$A:$A,0)+ROWS($2:27)-1))</f>
        <v>1313.0719999999999</v>
      </c>
      <c r="E27">
        <f>IF(ROWS($2:27)&gt;COUNTIF(Maximum_RawData!$A:$A,"1_Maximum"),"",INDEX(Maximum_RawData!E:E,MATCH("1_Maximum",Maximum_RawData!$A:$A,0)+ROWS($2:27)-1))</f>
        <v>3.05</v>
      </c>
      <c r="F27">
        <f>IF(ROWS($2:27)&gt;COUNTIF(Maximum_RawData!$A:$A,"1_Maximum"),"",INDEX(Maximum_RawData!F:F,MATCH("1_Maximum",Maximum_RawData!$A:$A,0)+ROWS($2:27)-1))</f>
        <v>399</v>
      </c>
      <c r="G27">
        <f>IF(ROWS($2:27)&gt;COUNTIF(Maximum_RawData!$A:$A,"1_Maximum"),"",INDEX(Maximum_RawData!G:G,MATCH("1_Maximum",Maximum_RawData!$A:$A,0)+ROWS($2:27)-1))</f>
        <v>399</v>
      </c>
      <c r="H27">
        <f>IF(ROWS($2:27)&gt;COUNTIF(Maximum_RawData!$A:$A,"1_Maximum"),"",INDEX(Maximum_RawData!H:H,MATCH("1_Maximum",Maximum_RawData!$A:$A,0)+ROWS($2:27)-1))</f>
        <v>399</v>
      </c>
      <c r="I27">
        <f>IF(ROWS($2:27)&gt;COUNTIF(Maximum_RawData!$A:$A,"1_Maximum"),"",INDEX(Maximum_RawData!I:I,MATCH("1_Maximum",Maximum_RawData!$A:$A,0)+ROWS($2:27)-1))</f>
        <v>399</v>
      </c>
      <c r="J27">
        <f>IF(ROWS($2:27)&gt;COUNTIF(Maximum_RawData!$A:$A,"1_Maximum"),"",INDEX(Maximum_RawData!J:J,MATCH("1_Maximum",Maximum_RawData!$A:$A,0)+ROWS($2:27)-1))</f>
        <v>399</v>
      </c>
      <c r="K27">
        <f>IF(ROWS($2:27)&gt;COUNTIF(Maximum_RawData!$A:$A,"1_Maximum"),"",INDEX(Maximum_RawData!K:K,MATCH("1_Maximum",Maximum_RawData!$A:$A,0)+ROWS($2:27)-1))</f>
        <v>399</v>
      </c>
      <c r="L27">
        <f>IF(ROWS($2:27)&gt;COUNTIF(Maximum_RawData!$A:$A,"1_Maximum"),"",INDEX(Maximum_RawData!L:L,MATCH("1_Maximum",Maximum_RawData!$A:$A,0)+ROWS($2:27)-1))</f>
        <v>399</v>
      </c>
      <c r="M27">
        <f>IF(ROWS($2:27)&gt;COUNTIF(Maximum_RawData!$A:$A,"1_Maximum"),"",INDEX(Maximum_RawData!M:M,MATCH("1_Maximum",Maximum_RawData!$A:$A,0)+ROWS($2:27)-1))</f>
        <v>399</v>
      </c>
      <c r="N27">
        <f>IF(ROWS($2:27)&gt;COUNTIF(Maximum_RawData!$A:$A,"1_Maximum"),"",INDEX(Maximum_RawData!N:N,MATCH("1_Maximum",Maximum_RawData!$A:$A,0)+ROWS($2:27)-1))</f>
        <v>0.09</v>
      </c>
      <c r="O27">
        <f>IF(ROWS($2:27)&gt;COUNTIF(Maximum_RawData!$A:$A,"1_Maximum"),"",INDEX(Maximum_RawData!O:O,MATCH("1_Maximum",Maximum_RawData!$A:$A,0)+ROWS($2:27)-1))</f>
        <v>0.11</v>
      </c>
      <c r="P27">
        <f>IF(ROWS($2:27)&gt;COUNTIF(Maximum_RawData!$A:$A,"1_Maximum"),"",INDEX(Maximum_RawData!P:P,MATCH("1_Maximum",Maximum_RawData!$A:$A,0)+ROWS($2:27)-1))</f>
        <v>0.08</v>
      </c>
      <c r="Q27">
        <f>IF(ROWS($2:27)&gt;COUNTIF(Maximum_RawData!$A:$A,"1_Maximum"),"",INDEX(Maximum_RawData!Q:Q,MATCH("1_Maximum",Maximum_RawData!$A:$A,0)+ROWS($2:27)-1))</f>
        <v>0.1</v>
      </c>
      <c r="R27" t="str">
        <f>IF(ROWS($2:27)&gt;COUNTIF(Maximum_RawData!$A:$A,"1_Maximum"),"",INDEX(Maximum_RawData!R:R,MATCH("1_Maximum",Maximum_RawData!$A:$A,0)+ROWS($2:27)-1))</f>
        <v>Pass</v>
      </c>
      <c r="S27">
        <f>IF(ROWS($2:27)&gt;COUNTIF(Maximum_RawData!$A:$A,"1_Maximum"),"",INDEX(Maximum_RawData!S:S,MATCH("1_Maximum",Maximum_RawData!$A:$A,0)+ROWS($2:27)-1))</f>
        <v>0</v>
      </c>
      <c r="T27">
        <f>IF(ROWS($2:27)&gt;COUNTIF(Maximum_RawData!$A:$A,"1_Maximum"),"",INDEX(Maximum_RawData!T:T,MATCH("1_Maximum",Maximum_RawData!$A:$A,0)+ROWS($2:27)-1))</f>
        <v>0</v>
      </c>
    </row>
    <row r="28" spans="1:20">
      <c r="A28" t="str">
        <f>IF(ROWS($2:28)&gt;COUNTIF(Maximum_RawData!$A:$A,"1_Maximum"),"",INDEX(Maximum_RawData!A:A,MATCH("1_Maximum",Maximum_RawData!$A:$A,0)+ROWS($2:28)-1))</f>
        <v>1_Maximum</v>
      </c>
      <c r="B28">
        <f>IF(ROWS($2:28)&gt;COUNTIF(Maximum_RawData!$A:$A,"1_Maximum"),"",INDEX(Maximum_RawData!B:B,MATCH("1_Maximum",Maximum_RawData!$A:$A,0)+ROWS($2:28)-1))</f>
        <v>145733.071</v>
      </c>
      <c r="C28">
        <f>IF(ROWS($2:28)&gt;COUNTIF(Maximum_RawData!$A:$A,"1_Maximum"),"",INDEX(Maximum_RawData!C:C,MATCH("1_Maximum",Maximum_RawData!$A:$A,0)+ROWS($2:28)-1))</f>
        <v>50.38</v>
      </c>
      <c r="D28">
        <f>IF(ROWS($2:28)&gt;COUNTIF(Maximum_RawData!$A:$A,"1_Maximum"),"",INDEX(Maximum_RawData!D:D,MATCH("1_Maximum",Maximum_RawData!$A:$A,0)+ROWS($2:28)-1))</f>
        <v>1312.9949999999999</v>
      </c>
      <c r="E28">
        <f>IF(ROWS($2:28)&gt;COUNTIF(Maximum_RawData!$A:$A,"1_Maximum"),"",INDEX(Maximum_RawData!E:E,MATCH("1_Maximum",Maximum_RawData!$A:$A,0)+ROWS($2:28)-1))</f>
        <v>3.24</v>
      </c>
      <c r="F28">
        <f>IF(ROWS($2:28)&gt;COUNTIF(Maximum_RawData!$A:$A,"1_Maximum"),"",INDEX(Maximum_RawData!F:F,MATCH("1_Maximum",Maximum_RawData!$A:$A,0)+ROWS($2:28)-1))</f>
        <v>399</v>
      </c>
      <c r="G28">
        <f>IF(ROWS($2:28)&gt;COUNTIF(Maximum_RawData!$A:$A,"1_Maximum"),"",INDEX(Maximum_RawData!G:G,MATCH("1_Maximum",Maximum_RawData!$A:$A,0)+ROWS($2:28)-1))</f>
        <v>399</v>
      </c>
      <c r="H28">
        <f>IF(ROWS($2:28)&gt;COUNTIF(Maximum_RawData!$A:$A,"1_Maximum"),"",INDEX(Maximum_RawData!H:H,MATCH("1_Maximum",Maximum_RawData!$A:$A,0)+ROWS($2:28)-1))</f>
        <v>399</v>
      </c>
      <c r="I28">
        <f>IF(ROWS($2:28)&gt;COUNTIF(Maximum_RawData!$A:$A,"1_Maximum"),"",INDEX(Maximum_RawData!I:I,MATCH("1_Maximum",Maximum_RawData!$A:$A,0)+ROWS($2:28)-1))</f>
        <v>399</v>
      </c>
      <c r="J28">
        <f>IF(ROWS($2:28)&gt;COUNTIF(Maximum_RawData!$A:$A,"1_Maximum"),"",INDEX(Maximum_RawData!J:J,MATCH("1_Maximum",Maximum_RawData!$A:$A,0)+ROWS($2:28)-1))</f>
        <v>399</v>
      </c>
      <c r="K28">
        <f>IF(ROWS($2:28)&gt;COUNTIF(Maximum_RawData!$A:$A,"1_Maximum"),"",INDEX(Maximum_RawData!K:K,MATCH("1_Maximum",Maximum_RawData!$A:$A,0)+ROWS($2:28)-1))</f>
        <v>399</v>
      </c>
      <c r="L28">
        <f>IF(ROWS($2:28)&gt;COUNTIF(Maximum_RawData!$A:$A,"1_Maximum"),"",INDEX(Maximum_RawData!L:L,MATCH("1_Maximum",Maximum_RawData!$A:$A,0)+ROWS($2:28)-1))</f>
        <v>399</v>
      </c>
      <c r="M28">
        <f>IF(ROWS($2:28)&gt;COUNTIF(Maximum_RawData!$A:$A,"1_Maximum"),"",INDEX(Maximum_RawData!M:M,MATCH("1_Maximum",Maximum_RawData!$A:$A,0)+ROWS($2:28)-1))</f>
        <v>399</v>
      </c>
      <c r="N28">
        <f>IF(ROWS($2:28)&gt;COUNTIF(Maximum_RawData!$A:$A,"1_Maximum"),"",INDEX(Maximum_RawData!N:N,MATCH("1_Maximum",Maximum_RawData!$A:$A,0)+ROWS($2:28)-1))</f>
        <v>0.1</v>
      </c>
      <c r="O28">
        <f>IF(ROWS($2:28)&gt;COUNTIF(Maximum_RawData!$A:$A,"1_Maximum"),"",INDEX(Maximum_RawData!O:O,MATCH("1_Maximum",Maximum_RawData!$A:$A,0)+ROWS($2:28)-1))</f>
        <v>0.11</v>
      </c>
      <c r="P28">
        <f>IF(ROWS($2:28)&gt;COUNTIF(Maximum_RawData!$A:$A,"1_Maximum"),"",INDEX(Maximum_RawData!P:P,MATCH("1_Maximum",Maximum_RawData!$A:$A,0)+ROWS($2:28)-1))</f>
        <v>0.08</v>
      </c>
      <c r="Q28">
        <f>IF(ROWS($2:28)&gt;COUNTIF(Maximum_RawData!$A:$A,"1_Maximum"),"",INDEX(Maximum_RawData!Q:Q,MATCH("1_Maximum",Maximum_RawData!$A:$A,0)+ROWS($2:28)-1))</f>
        <v>0.1</v>
      </c>
      <c r="R28" t="str">
        <f>IF(ROWS($2:28)&gt;COUNTIF(Maximum_RawData!$A:$A,"1_Maximum"),"",INDEX(Maximum_RawData!R:R,MATCH("1_Maximum",Maximum_RawData!$A:$A,0)+ROWS($2:28)-1))</f>
        <v>Pass</v>
      </c>
      <c r="S28">
        <f>IF(ROWS($2:28)&gt;COUNTIF(Maximum_RawData!$A:$A,"1_Maximum"),"",INDEX(Maximum_RawData!S:S,MATCH("1_Maximum",Maximum_RawData!$A:$A,0)+ROWS($2:28)-1))</f>
        <v>0</v>
      </c>
      <c r="T28">
        <f>IF(ROWS($2:28)&gt;COUNTIF(Maximum_RawData!$A:$A,"1_Maximum"),"",INDEX(Maximum_RawData!T:T,MATCH("1_Maximum",Maximum_RawData!$A:$A,0)+ROWS($2:28)-1))</f>
        <v>0</v>
      </c>
    </row>
    <row r="29" spans="1:20">
      <c r="A29" t="str">
        <f>IF(ROWS($2:29)&gt;COUNTIF(Maximum_RawData!$A:$A,"1_Maximum"),"",INDEX(Maximum_RawData!A:A,MATCH("1_Maximum",Maximum_RawData!$A:$A,0)+ROWS($2:29)-1))</f>
        <v>1_Maximum</v>
      </c>
      <c r="B29">
        <f>IF(ROWS($2:29)&gt;COUNTIF(Maximum_RawData!$A:$A,"1_Maximum"),"",INDEX(Maximum_RawData!B:B,MATCH("1_Maximum",Maximum_RawData!$A:$A,0)+ROWS($2:29)-1))</f>
        <v>145738.07500000001</v>
      </c>
      <c r="C29">
        <f>IF(ROWS($2:29)&gt;COUNTIF(Maximum_RawData!$A:$A,"1_Maximum"),"",INDEX(Maximum_RawData!C:C,MATCH("1_Maximum",Maximum_RawData!$A:$A,0)+ROWS($2:29)-1))</f>
        <v>49.64</v>
      </c>
      <c r="D29">
        <f>IF(ROWS($2:29)&gt;COUNTIF(Maximum_RawData!$A:$A,"1_Maximum"),"",INDEX(Maximum_RawData!D:D,MATCH("1_Maximum",Maximum_RawData!$A:$A,0)+ROWS($2:29)-1))</f>
        <v>1312.921</v>
      </c>
      <c r="E29">
        <f>IF(ROWS($2:29)&gt;COUNTIF(Maximum_RawData!$A:$A,"1_Maximum"),"",INDEX(Maximum_RawData!E:E,MATCH("1_Maximum",Maximum_RawData!$A:$A,0)+ROWS($2:29)-1))</f>
        <v>3.36</v>
      </c>
      <c r="F29">
        <f>IF(ROWS($2:29)&gt;COUNTIF(Maximum_RawData!$A:$A,"1_Maximum"),"",INDEX(Maximum_RawData!F:F,MATCH("1_Maximum",Maximum_RawData!$A:$A,0)+ROWS($2:29)-1))</f>
        <v>399</v>
      </c>
      <c r="G29">
        <f>IF(ROWS($2:29)&gt;COUNTIF(Maximum_RawData!$A:$A,"1_Maximum"),"",INDEX(Maximum_RawData!G:G,MATCH("1_Maximum",Maximum_RawData!$A:$A,0)+ROWS($2:29)-1))</f>
        <v>399</v>
      </c>
      <c r="H29">
        <f>IF(ROWS($2:29)&gt;COUNTIF(Maximum_RawData!$A:$A,"1_Maximum"),"",INDEX(Maximum_RawData!H:H,MATCH("1_Maximum",Maximum_RawData!$A:$A,0)+ROWS($2:29)-1))</f>
        <v>399</v>
      </c>
      <c r="I29">
        <f>IF(ROWS($2:29)&gt;COUNTIF(Maximum_RawData!$A:$A,"1_Maximum"),"",INDEX(Maximum_RawData!I:I,MATCH("1_Maximum",Maximum_RawData!$A:$A,0)+ROWS($2:29)-1))</f>
        <v>399</v>
      </c>
      <c r="J29">
        <f>IF(ROWS($2:29)&gt;COUNTIF(Maximum_RawData!$A:$A,"1_Maximum"),"",INDEX(Maximum_RawData!J:J,MATCH("1_Maximum",Maximum_RawData!$A:$A,0)+ROWS($2:29)-1))</f>
        <v>399</v>
      </c>
      <c r="K29">
        <f>IF(ROWS($2:29)&gt;COUNTIF(Maximum_RawData!$A:$A,"1_Maximum"),"",INDEX(Maximum_RawData!K:K,MATCH("1_Maximum",Maximum_RawData!$A:$A,0)+ROWS($2:29)-1))</f>
        <v>399</v>
      </c>
      <c r="L29">
        <f>IF(ROWS($2:29)&gt;COUNTIF(Maximum_RawData!$A:$A,"1_Maximum"),"",INDEX(Maximum_RawData!L:L,MATCH("1_Maximum",Maximum_RawData!$A:$A,0)+ROWS($2:29)-1))</f>
        <v>399</v>
      </c>
      <c r="M29">
        <f>IF(ROWS($2:29)&gt;COUNTIF(Maximum_RawData!$A:$A,"1_Maximum"),"",INDEX(Maximum_RawData!M:M,MATCH("1_Maximum",Maximum_RawData!$A:$A,0)+ROWS($2:29)-1))</f>
        <v>399</v>
      </c>
      <c r="N29">
        <f>IF(ROWS($2:29)&gt;COUNTIF(Maximum_RawData!$A:$A,"1_Maximum"),"",INDEX(Maximum_RawData!N:N,MATCH("1_Maximum",Maximum_RawData!$A:$A,0)+ROWS($2:29)-1))</f>
        <v>0.1</v>
      </c>
      <c r="O29">
        <f>IF(ROWS($2:29)&gt;COUNTIF(Maximum_RawData!$A:$A,"1_Maximum"),"",INDEX(Maximum_RawData!O:O,MATCH("1_Maximum",Maximum_RawData!$A:$A,0)+ROWS($2:29)-1))</f>
        <v>0.11</v>
      </c>
      <c r="P29">
        <f>IF(ROWS($2:29)&gt;COUNTIF(Maximum_RawData!$A:$A,"1_Maximum"),"",INDEX(Maximum_RawData!P:P,MATCH("1_Maximum",Maximum_RawData!$A:$A,0)+ROWS($2:29)-1))</f>
        <v>0.08</v>
      </c>
      <c r="Q29">
        <f>IF(ROWS($2:29)&gt;COUNTIF(Maximum_RawData!$A:$A,"1_Maximum"),"",INDEX(Maximum_RawData!Q:Q,MATCH("1_Maximum",Maximum_RawData!$A:$A,0)+ROWS($2:29)-1))</f>
        <v>0.1</v>
      </c>
      <c r="R29" t="str">
        <f>IF(ROWS($2:29)&gt;COUNTIF(Maximum_RawData!$A:$A,"1_Maximum"),"",INDEX(Maximum_RawData!R:R,MATCH("1_Maximum",Maximum_RawData!$A:$A,0)+ROWS($2:29)-1))</f>
        <v>Pass</v>
      </c>
      <c r="S29">
        <f>IF(ROWS($2:29)&gt;COUNTIF(Maximum_RawData!$A:$A,"1_Maximum"),"",INDEX(Maximum_RawData!S:S,MATCH("1_Maximum",Maximum_RawData!$A:$A,0)+ROWS($2:29)-1))</f>
        <v>0</v>
      </c>
      <c r="T29">
        <f>IF(ROWS($2:29)&gt;COUNTIF(Maximum_RawData!$A:$A,"1_Maximum"),"",INDEX(Maximum_RawData!T:T,MATCH("1_Maximum",Maximum_RawData!$A:$A,0)+ROWS($2:29)-1))</f>
        <v>0</v>
      </c>
    </row>
    <row r="30" spans="1:20">
      <c r="A30" t="str">
        <f>IF(ROWS($2:30)&gt;COUNTIF(Maximum_RawData!$A:$A,"1_Maximum"),"",INDEX(Maximum_RawData!A:A,MATCH("1_Maximum",Maximum_RawData!$A:$A,0)+ROWS($2:30)-1))</f>
        <v>1_Maximum</v>
      </c>
      <c r="B30">
        <f>IF(ROWS($2:30)&gt;COUNTIF(Maximum_RawData!$A:$A,"1_Maximum"),"",INDEX(Maximum_RawData!B:B,MATCH("1_Maximum",Maximum_RawData!$A:$A,0)+ROWS($2:30)-1))</f>
        <v>145743.07500000001</v>
      </c>
      <c r="C30">
        <f>IF(ROWS($2:30)&gt;COUNTIF(Maximum_RawData!$A:$A,"1_Maximum"),"",INDEX(Maximum_RawData!C:C,MATCH("1_Maximum",Maximum_RawData!$A:$A,0)+ROWS($2:30)-1))</f>
        <v>48.91</v>
      </c>
      <c r="D30">
        <f>IF(ROWS($2:30)&gt;COUNTIF(Maximum_RawData!$A:$A,"1_Maximum"),"",INDEX(Maximum_RawData!D:D,MATCH("1_Maximum",Maximum_RawData!$A:$A,0)+ROWS($2:30)-1))</f>
        <v>1312.85</v>
      </c>
      <c r="E30">
        <f>IF(ROWS($2:30)&gt;COUNTIF(Maximum_RawData!$A:$A,"1_Maximum"),"",INDEX(Maximum_RawData!E:E,MATCH("1_Maximum",Maximum_RawData!$A:$A,0)+ROWS($2:30)-1))</f>
        <v>3.49</v>
      </c>
      <c r="F30">
        <f>IF(ROWS($2:30)&gt;COUNTIF(Maximum_RawData!$A:$A,"1_Maximum"),"",INDEX(Maximum_RawData!F:F,MATCH("1_Maximum",Maximum_RawData!$A:$A,0)+ROWS($2:30)-1))</f>
        <v>399</v>
      </c>
      <c r="G30">
        <f>IF(ROWS($2:30)&gt;COUNTIF(Maximum_RawData!$A:$A,"1_Maximum"),"",INDEX(Maximum_RawData!G:G,MATCH("1_Maximum",Maximum_RawData!$A:$A,0)+ROWS($2:30)-1))</f>
        <v>399</v>
      </c>
      <c r="H30">
        <f>IF(ROWS($2:30)&gt;COUNTIF(Maximum_RawData!$A:$A,"1_Maximum"),"",INDEX(Maximum_RawData!H:H,MATCH("1_Maximum",Maximum_RawData!$A:$A,0)+ROWS($2:30)-1))</f>
        <v>399</v>
      </c>
      <c r="I30">
        <f>IF(ROWS($2:30)&gt;COUNTIF(Maximum_RawData!$A:$A,"1_Maximum"),"",INDEX(Maximum_RawData!I:I,MATCH("1_Maximum",Maximum_RawData!$A:$A,0)+ROWS($2:30)-1))</f>
        <v>399</v>
      </c>
      <c r="J30">
        <f>IF(ROWS($2:30)&gt;COUNTIF(Maximum_RawData!$A:$A,"1_Maximum"),"",INDEX(Maximum_RawData!J:J,MATCH("1_Maximum",Maximum_RawData!$A:$A,0)+ROWS($2:30)-1))</f>
        <v>399</v>
      </c>
      <c r="K30">
        <f>IF(ROWS($2:30)&gt;COUNTIF(Maximum_RawData!$A:$A,"1_Maximum"),"",INDEX(Maximum_RawData!K:K,MATCH("1_Maximum",Maximum_RawData!$A:$A,0)+ROWS($2:30)-1))</f>
        <v>399</v>
      </c>
      <c r="L30">
        <f>IF(ROWS($2:30)&gt;COUNTIF(Maximum_RawData!$A:$A,"1_Maximum"),"",INDEX(Maximum_RawData!L:L,MATCH("1_Maximum",Maximum_RawData!$A:$A,0)+ROWS($2:30)-1))</f>
        <v>399</v>
      </c>
      <c r="M30">
        <f>IF(ROWS($2:30)&gt;COUNTIF(Maximum_RawData!$A:$A,"1_Maximum"),"",INDEX(Maximum_RawData!M:M,MATCH("1_Maximum",Maximum_RawData!$A:$A,0)+ROWS($2:30)-1))</f>
        <v>399</v>
      </c>
      <c r="N30">
        <f>IF(ROWS($2:30)&gt;COUNTIF(Maximum_RawData!$A:$A,"1_Maximum"),"",INDEX(Maximum_RawData!N:N,MATCH("1_Maximum",Maximum_RawData!$A:$A,0)+ROWS($2:30)-1))</f>
        <v>0.1</v>
      </c>
      <c r="O30">
        <f>IF(ROWS($2:30)&gt;COUNTIF(Maximum_RawData!$A:$A,"1_Maximum"),"",INDEX(Maximum_RawData!O:O,MATCH("1_Maximum",Maximum_RawData!$A:$A,0)+ROWS($2:30)-1))</f>
        <v>0.11</v>
      </c>
      <c r="P30">
        <f>IF(ROWS($2:30)&gt;COUNTIF(Maximum_RawData!$A:$A,"1_Maximum"),"",INDEX(Maximum_RawData!P:P,MATCH("1_Maximum",Maximum_RawData!$A:$A,0)+ROWS($2:30)-1))</f>
        <v>0.08</v>
      </c>
      <c r="Q30">
        <f>IF(ROWS($2:30)&gt;COUNTIF(Maximum_RawData!$A:$A,"1_Maximum"),"",INDEX(Maximum_RawData!Q:Q,MATCH("1_Maximum",Maximum_RawData!$A:$A,0)+ROWS($2:30)-1))</f>
        <v>0.1</v>
      </c>
      <c r="R30" t="str">
        <f>IF(ROWS($2:30)&gt;COUNTIF(Maximum_RawData!$A:$A,"1_Maximum"),"",INDEX(Maximum_RawData!R:R,MATCH("1_Maximum",Maximum_RawData!$A:$A,0)+ROWS($2:30)-1))</f>
        <v>Pass</v>
      </c>
      <c r="S30">
        <f>IF(ROWS($2:30)&gt;COUNTIF(Maximum_RawData!$A:$A,"1_Maximum"),"",INDEX(Maximum_RawData!S:S,MATCH("1_Maximum",Maximum_RawData!$A:$A,0)+ROWS($2:30)-1))</f>
        <v>0</v>
      </c>
      <c r="T30">
        <f>IF(ROWS($2:30)&gt;COUNTIF(Maximum_RawData!$A:$A,"1_Maximum"),"",INDEX(Maximum_RawData!T:T,MATCH("1_Maximum",Maximum_RawData!$A:$A,0)+ROWS($2:30)-1))</f>
        <v>0</v>
      </c>
    </row>
    <row r="31" spans="1:20">
      <c r="A31" t="str">
        <f>IF(ROWS($2:31)&gt;COUNTIF(Maximum_RawData!$A:$A,"1_Maximum"),"",INDEX(Maximum_RawData!A:A,MATCH("1_Maximum",Maximum_RawData!$A:$A,0)+ROWS($2:31)-1))</f>
        <v>1_Maximum</v>
      </c>
      <c r="B31">
        <f>IF(ROWS($2:31)&gt;COUNTIF(Maximum_RawData!$A:$A,"1_Maximum"),"",INDEX(Maximum_RawData!B:B,MATCH("1_Maximum",Maximum_RawData!$A:$A,0)+ROWS($2:31)-1))</f>
        <v>145748.07199999999</v>
      </c>
      <c r="C31">
        <f>IF(ROWS($2:31)&gt;COUNTIF(Maximum_RawData!$A:$A,"1_Maximum"),"",INDEX(Maximum_RawData!C:C,MATCH("1_Maximum",Maximum_RawData!$A:$A,0)+ROWS($2:31)-1))</f>
        <v>48.15</v>
      </c>
      <c r="D31">
        <f>IF(ROWS($2:31)&gt;COUNTIF(Maximum_RawData!$A:$A,"1_Maximum"),"",INDEX(Maximum_RawData!D:D,MATCH("1_Maximum",Maximum_RawData!$A:$A,0)+ROWS($2:31)-1))</f>
        <v>1312.777</v>
      </c>
      <c r="E31">
        <f>IF(ROWS($2:31)&gt;COUNTIF(Maximum_RawData!$A:$A,"1_Maximum"),"",INDEX(Maximum_RawData!E:E,MATCH("1_Maximum",Maximum_RawData!$A:$A,0)+ROWS($2:31)-1))</f>
        <v>3.72</v>
      </c>
      <c r="F31">
        <f>IF(ROWS($2:31)&gt;COUNTIF(Maximum_RawData!$A:$A,"1_Maximum"),"",INDEX(Maximum_RawData!F:F,MATCH("1_Maximum",Maximum_RawData!$A:$A,0)+ROWS($2:31)-1))</f>
        <v>399</v>
      </c>
      <c r="G31">
        <f>IF(ROWS($2:31)&gt;COUNTIF(Maximum_RawData!$A:$A,"1_Maximum"),"",INDEX(Maximum_RawData!G:G,MATCH("1_Maximum",Maximum_RawData!$A:$A,0)+ROWS($2:31)-1))</f>
        <v>399</v>
      </c>
      <c r="H31">
        <f>IF(ROWS($2:31)&gt;COUNTIF(Maximum_RawData!$A:$A,"1_Maximum"),"",INDEX(Maximum_RawData!H:H,MATCH("1_Maximum",Maximum_RawData!$A:$A,0)+ROWS($2:31)-1))</f>
        <v>399</v>
      </c>
      <c r="I31">
        <f>IF(ROWS($2:31)&gt;COUNTIF(Maximum_RawData!$A:$A,"1_Maximum"),"",INDEX(Maximum_RawData!I:I,MATCH("1_Maximum",Maximum_RawData!$A:$A,0)+ROWS($2:31)-1))</f>
        <v>399</v>
      </c>
      <c r="J31">
        <f>IF(ROWS($2:31)&gt;COUNTIF(Maximum_RawData!$A:$A,"1_Maximum"),"",INDEX(Maximum_RawData!J:J,MATCH("1_Maximum",Maximum_RawData!$A:$A,0)+ROWS($2:31)-1))</f>
        <v>399</v>
      </c>
      <c r="K31">
        <f>IF(ROWS($2:31)&gt;COUNTIF(Maximum_RawData!$A:$A,"1_Maximum"),"",INDEX(Maximum_RawData!K:K,MATCH("1_Maximum",Maximum_RawData!$A:$A,0)+ROWS($2:31)-1))</f>
        <v>399</v>
      </c>
      <c r="L31">
        <f>IF(ROWS($2:31)&gt;COUNTIF(Maximum_RawData!$A:$A,"1_Maximum"),"",INDEX(Maximum_RawData!L:L,MATCH("1_Maximum",Maximum_RawData!$A:$A,0)+ROWS($2:31)-1))</f>
        <v>399</v>
      </c>
      <c r="M31">
        <f>IF(ROWS($2:31)&gt;COUNTIF(Maximum_RawData!$A:$A,"1_Maximum"),"",INDEX(Maximum_RawData!M:M,MATCH("1_Maximum",Maximum_RawData!$A:$A,0)+ROWS($2:31)-1))</f>
        <v>399</v>
      </c>
      <c r="N31">
        <f>IF(ROWS($2:31)&gt;COUNTIF(Maximum_RawData!$A:$A,"1_Maximum"),"",INDEX(Maximum_RawData!N:N,MATCH("1_Maximum",Maximum_RawData!$A:$A,0)+ROWS($2:31)-1))</f>
        <v>0.1</v>
      </c>
      <c r="O31">
        <f>IF(ROWS($2:31)&gt;COUNTIF(Maximum_RawData!$A:$A,"1_Maximum"),"",INDEX(Maximum_RawData!O:O,MATCH("1_Maximum",Maximum_RawData!$A:$A,0)+ROWS($2:31)-1))</f>
        <v>0.11</v>
      </c>
      <c r="P31">
        <f>IF(ROWS($2:31)&gt;COUNTIF(Maximum_RawData!$A:$A,"1_Maximum"),"",INDEX(Maximum_RawData!P:P,MATCH("1_Maximum",Maximum_RawData!$A:$A,0)+ROWS($2:31)-1))</f>
        <v>0.08</v>
      </c>
      <c r="Q31">
        <f>IF(ROWS($2:31)&gt;COUNTIF(Maximum_RawData!$A:$A,"1_Maximum"),"",INDEX(Maximum_RawData!Q:Q,MATCH("1_Maximum",Maximum_RawData!$A:$A,0)+ROWS($2:31)-1))</f>
        <v>0.1</v>
      </c>
      <c r="R31" t="str">
        <f>IF(ROWS($2:31)&gt;COUNTIF(Maximum_RawData!$A:$A,"1_Maximum"),"",INDEX(Maximum_RawData!R:R,MATCH("1_Maximum",Maximum_RawData!$A:$A,0)+ROWS($2:31)-1))</f>
        <v>Pass</v>
      </c>
      <c r="S31">
        <f>IF(ROWS($2:31)&gt;COUNTIF(Maximum_RawData!$A:$A,"1_Maximum"),"",INDEX(Maximum_RawData!S:S,MATCH("1_Maximum",Maximum_RawData!$A:$A,0)+ROWS($2:31)-1))</f>
        <v>0</v>
      </c>
      <c r="T31">
        <f>IF(ROWS($2:31)&gt;COUNTIF(Maximum_RawData!$A:$A,"1_Maximum"),"",INDEX(Maximum_RawData!T:T,MATCH("1_Maximum",Maximum_RawData!$A:$A,0)+ROWS($2:31)-1))</f>
        <v>0</v>
      </c>
    </row>
    <row r="32" spans="1:20">
      <c r="A32" t="str">
        <f>IF(ROWS($2:32)&gt;COUNTIF(Maximum_RawData!$A:$A,"1_Maximum"),"",INDEX(Maximum_RawData!A:A,MATCH("1_Maximum",Maximum_RawData!$A:$A,0)+ROWS($2:32)-1))</f>
        <v>1_Maximum</v>
      </c>
      <c r="B32">
        <f>IF(ROWS($2:32)&gt;COUNTIF(Maximum_RawData!$A:$A,"1_Maximum"),"",INDEX(Maximum_RawData!B:B,MATCH("1_Maximum",Maximum_RawData!$A:$A,0)+ROWS($2:32)-1))</f>
        <v>145753.07500000001</v>
      </c>
      <c r="C32">
        <f>IF(ROWS($2:32)&gt;COUNTIF(Maximum_RawData!$A:$A,"1_Maximum"),"",INDEX(Maximum_RawData!C:C,MATCH("1_Maximum",Maximum_RawData!$A:$A,0)+ROWS($2:32)-1))</f>
        <v>47.4</v>
      </c>
      <c r="D32">
        <f>IF(ROWS($2:32)&gt;COUNTIF(Maximum_RawData!$A:$A,"1_Maximum"),"",INDEX(Maximum_RawData!D:D,MATCH("1_Maximum",Maximum_RawData!$A:$A,0)+ROWS($2:32)-1))</f>
        <v>1312.712</v>
      </c>
      <c r="E32">
        <f>IF(ROWS($2:32)&gt;COUNTIF(Maximum_RawData!$A:$A,"1_Maximum"),"",INDEX(Maximum_RawData!E:E,MATCH("1_Maximum",Maximum_RawData!$A:$A,0)+ROWS($2:32)-1))</f>
        <v>3.9</v>
      </c>
      <c r="F32">
        <f>IF(ROWS($2:32)&gt;COUNTIF(Maximum_RawData!$A:$A,"1_Maximum"),"",INDEX(Maximum_RawData!F:F,MATCH("1_Maximum",Maximum_RawData!$A:$A,0)+ROWS($2:32)-1))</f>
        <v>399</v>
      </c>
      <c r="G32">
        <f>IF(ROWS($2:32)&gt;COUNTIF(Maximum_RawData!$A:$A,"1_Maximum"),"",INDEX(Maximum_RawData!G:G,MATCH("1_Maximum",Maximum_RawData!$A:$A,0)+ROWS($2:32)-1))</f>
        <v>399</v>
      </c>
      <c r="H32">
        <f>IF(ROWS($2:32)&gt;COUNTIF(Maximum_RawData!$A:$A,"1_Maximum"),"",INDEX(Maximum_RawData!H:H,MATCH("1_Maximum",Maximum_RawData!$A:$A,0)+ROWS($2:32)-1))</f>
        <v>399</v>
      </c>
      <c r="I32">
        <f>IF(ROWS($2:32)&gt;COUNTIF(Maximum_RawData!$A:$A,"1_Maximum"),"",INDEX(Maximum_RawData!I:I,MATCH("1_Maximum",Maximum_RawData!$A:$A,0)+ROWS($2:32)-1))</f>
        <v>399</v>
      </c>
      <c r="J32">
        <f>IF(ROWS($2:32)&gt;COUNTIF(Maximum_RawData!$A:$A,"1_Maximum"),"",INDEX(Maximum_RawData!J:J,MATCH("1_Maximum",Maximum_RawData!$A:$A,0)+ROWS($2:32)-1))</f>
        <v>399</v>
      </c>
      <c r="K32">
        <f>IF(ROWS($2:32)&gt;COUNTIF(Maximum_RawData!$A:$A,"1_Maximum"),"",INDEX(Maximum_RawData!K:K,MATCH("1_Maximum",Maximum_RawData!$A:$A,0)+ROWS($2:32)-1))</f>
        <v>399</v>
      </c>
      <c r="L32">
        <f>IF(ROWS($2:32)&gt;COUNTIF(Maximum_RawData!$A:$A,"1_Maximum"),"",INDEX(Maximum_RawData!L:L,MATCH("1_Maximum",Maximum_RawData!$A:$A,0)+ROWS($2:32)-1))</f>
        <v>399</v>
      </c>
      <c r="M32">
        <f>IF(ROWS($2:32)&gt;COUNTIF(Maximum_RawData!$A:$A,"1_Maximum"),"",INDEX(Maximum_RawData!M:M,MATCH("1_Maximum",Maximum_RawData!$A:$A,0)+ROWS($2:32)-1))</f>
        <v>399</v>
      </c>
      <c r="N32">
        <f>IF(ROWS($2:32)&gt;COUNTIF(Maximum_RawData!$A:$A,"1_Maximum"),"",INDEX(Maximum_RawData!N:N,MATCH("1_Maximum",Maximum_RawData!$A:$A,0)+ROWS($2:32)-1))</f>
        <v>0.09</v>
      </c>
      <c r="O32">
        <f>IF(ROWS($2:32)&gt;COUNTIF(Maximum_RawData!$A:$A,"1_Maximum"),"",INDEX(Maximum_RawData!O:O,MATCH("1_Maximum",Maximum_RawData!$A:$A,0)+ROWS($2:32)-1))</f>
        <v>0.11</v>
      </c>
      <c r="P32">
        <f>IF(ROWS($2:32)&gt;COUNTIF(Maximum_RawData!$A:$A,"1_Maximum"),"",INDEX(Maximum_RawData!P:P,MATCH("1_Maximum",Maximum_RawData!$A:$A,0)+ROWS($2:32)-1))</f>
        <v>0.08</v>
      </c>
      <c r="Q32">
        <f>IF(ROWS($2:32)&gt;COUNTIF(Maximum_RawData!$A:$A,"1_Maximum"),"",INDEX(Maximum_RawData!Q:Q,MATCH("1_Maximum",Maximum_RawData!$A:$A,0)+ROWS($2:32)-1))</f>
        <v>0.1</v>
      </c>
      <c r="R32" t="str">
        <f>IF(ROWS($2:32)&gt;COUNTIF(Maximum_RawData!$A:$A,"1_Maximum"),"",INDEX(Maximum_RawData!R:R,MATCH("1_Maximum",Maximum_RawData!$A:$A,0)+ROWS($2:32)-1))</f>
        <v>Pass</v>
      </c>
      <c r="S32">
        <f>IF(ROWS($2:32)&gt;COUNTIF(Maximum_RawData!$A:$A,"1_Maximum"),"",INDEX(Maximum_RawData!S:S,MATCH("1_Maximum",Maximum_RawData!$A:$A,0)+ROWS($2:32)-1))</f>
        <v>0</v>
      </c>
      <c r="T32">
        <f>IF(ROWS($2:32)&gt;COUNTIF(Maximum_RawData!$A:$A,"1_Maximum"),"",INDEX(Maximum_RawData!T:T,MATCH("1_Maximum",Maximum_RawData!$A:$A,0)+ROWS($2:32)-1))</f>
        <v>0</v>
      </c>
    </row>
    <row r="33" spans="1:20">
      <c r="A33" t="str">
        <f>IF(ROWS($2:33)&gt;COUNTIF(Maximum_RawData!$A:$A,"1_Maximum"),"",INDEX(Maximum_RawData!A:A,MATCH("1_Maximum",Maximum_RawData!$A:$A,0)+ROWS($2:33)-1))</f>
        <v>1_Maximum</v>
      </c>
      <c r="B33">
        <f>IF(ROWS($2:33)&gt;COUNTIF(Maximum_RawData!$A:$A,"1_Maximum"),"",INDEX(Maximum_RawData!B:B,MATCH("1_Maximum",Maximum_RawData!$A:$A,0)+ROWS($2:33)-1))</f>
        <v>145758.073</v>
      </c>
      <c r="C33">
        <f>IF(ROWS($2:33)&gt;COUNTIF(Maximum_RawData!$A:$A,"1_Maximum"),"",INDEX(Maximum_RawData!C:C,MATCH("1_Maximum",Maximum_RawData!$A:$A,0)+ROWS($2:33)-1))</f>
        <v>46.65</v>
      </c>
      <c r="D33">
        <f>IF(ROWS($2:33)&gt;COUNTIF(Maximum_RawData!$A:$A,"1_Maximum"),"",INDEX(Maximum_RawData!D:D,MATCH("1_Maximum",Maximum_RawData!$A:$A,0)+ROWS($2:33)-1))</f>
        <v>1312.6320000000001</v>
      </c>
      <c r="E33">
        <f>IF(ROWS($2:33)&gt;COUNTIF(Maximum_RawData!$A:$A,"1_Maximum"),"",INDEX(Maximum_RawData!E:E,MATCH("1_Maximum",Maximum_RawData!$A:$A,0)+ROWS($2:33)-1))</f>
        <v>4.05</v>
      </c>
      <c r="F33">
        <f>IF(ROWS($2:33)&gt;COUNTIF(Maximum_RawData!$A:$A,"1_Maximum"),"",INDEX(Maximum_RawData!F:F,MATCH("1_Maximum",Maximum_RawData!$A:$A,0)+ROWS($2:33)-1))</f>
        <v>399</v>
      </c>
      <c r="G33">
        <f>IF(ROWS($2:33)&gt;COUNTIF(Maximum_RawData!$A:$A,"1_Maximum"),"",INDEX(Maximum_RawData!G:G,MATCH("1_Maximum",Maximum_RawData!$A:$A,0)+ROWS($2:33)-1))</f>
        <v>399</v>
      </c>
      <c r="H33">
        <f>IF(ROWS($2:33)&gt;COUNTIF(Maximum_RawData!$A:$A,"1_Maximum"),"",INDEX(Maximum_RawData!H:H,MATCH("1_Maximum",Maximum_RawData!$A:$A,0)+ROWS($2:33)-1))</f>
        <v>399</v>
      </c>
      <c r="I33">
        <f>IF(ROWS($2:33)&gt;COUNTIF(Maximum_RawData!$A:$A,"1_Maximum"),"",INDEX(Maximum_RawData!I:I,MATCH("1_Maximum",Maximum_RawData!$A:$A,0)+ROWS($2:33)-1))</f>
        <v>399</v>
      </c>
      <c r="J33">
        <f>IF(ROWS($2:33)&gt;COUNTIF(Maximum_RawData!$A:$A,"1_Maximum"),"",INDEX(Maximum_RawData!J:J,MATCH("1_Maximum",Maximum_RawData!$A:$A,0)+ROWS($2:33)-1))</f>
        <v>399</v>
      </c>
      <c r="K33">
        <f>IF(ROWS($2:33)&gt;COUNTIF(Maximum_RawData!$A:$A,"1_Maximum"),"",INDEX(Maximum_RawData!K:K,MATCH("1_Maximum",Maximum_RawData!$A:$A,0)+ROWS($2:33)-1))</f>
        <v>399</v>
      </c>
      <c r="L33">
        <f>IF(ROWS($2:33)&gt;COUNTIF(Maximum_RawData!$A:$A,"1_Maximum"),"",INDEX(Maximum_RawData!L:L,MATCH("1_Maximum",Maximum_RawData!$A:$A,0)+ROWS($2:33)-1))</f>
        <v>399</v>
      </c>
      <c r="M33">
        <f>IF(ROWS($2:33)&gt;COUNTIF(Maximum_RawData!$A:$A,"1_Maximum"),"",INDEX(Maximum_RawData!M:M,MATCH("1_Maximum",Maximum_RawData!$A:$A,0)+ROWS($2:33)-1))</f>
        <v>399</v>
      </c>
      <c r="N33">
        <f>IF(ROWS($2:33)&gt;COUNTIF(Maximum_RawData!$A:$A,"1_Maximum"),"",INDEX(Maximum_RawData!N:N,MATCH("1_Maximum",Maximum_RawData!$A:$A,0)+ROWS($2:33)-1))</f>
        <v>0.11</v>
      </c>
      <c r="O33">
        <f>IF(ROWS($2:33)&gt;COUNTIF(Maximum_RawData!$A:$A,"1_Maximum"),"",INDEX(Maximum_RawData!O:O,MATCH("1_Maximum",Maximum_RawData!$A:$A,0)+ROWS($2:33)-1))</f>
        <v>0.11</v>
      </c>
      <c r="P33">
        <f>IF(ROWS($2:33)&gt;COUNTIF(Maximum_RawData!$A:$A,"1_Maximum"),"",INDEX(Maximum_RawData!P:P,MATCH("1_Maximum",Maximum_RawData!$A:$A,0)+ROWS($2:33)-1))</f>
        <v>0.08</v>
      </c>
      <c r="Q33">
        <f>IF(ROWS($2:33)&gt;COUNTIF(Maximum_RawData!$A:$A,"1_Maximum"),"",INDEX(Maximum_RawData!Q:Q,MATCH("1_Maximum",Maximum_RawData!$A:$A,0)+ROWS($2:33)-1))</f>
        <v>0.1</v>
      </c>
      <c r="R33" t="str">
        <f>IF(ROWS($2:33)&gt;COUNTIF(Maximum_RawData!$A:$A,"1_Maximum"),"",INDEX(Maximum_RawData!R:R,MATCH("1_Maximum",Maximum_RawData!$A:$A,0)+ROWS($2:33)-1))</f>
        <v>Pass</v>
      </c>
      <c r="S33">
        <f>IF(ROWS($2:33)&gt;COUNTIF(Maximum_RawData!$A:$A,"1_Maximum"),"",INDEX(Maximum_RawData!S:S,MATCH("1_Maximum",Maximum_RawData!$A:$A,0)+ROWS($2:33)-1))</f>
        <v>0</v>
      </c>
      <c r="T33">
        <f>IF(ROWS($2:33)&gt;COUNTIF(Maximum_RawData!$A:$A,"1_Maximum"),"",INDEX(Maximum_RawData!T:T,MATCH("1_Maximum",Maximum_RawData!$A:$A,0)+ROWS($2:33)-1))</f>
        <v>0</v>
      </c>
    </row>
    <row r="34" spans="1:20">
      <c r="A34" t="str">
        <f>IF(ROWS($2:34)&gt;COUNTIF(Maximum_RawData!$A:$A,"1_Maximum"),"",INDEX(Maximum_RawData!A:A,MATCH("1_Maximum",Maximum_RawData!$A:$A,0)+ROWS($2:34)-1))</f>
        <v>1_Maximum</v>
      </c>
      <c r="B34">
        <f>IF(ROWS($2:34)&gt;COUNTIF(Maximum_RawData!$A:$A,"1_Maximum"),"",INDEX(Maximum_RawData!B:B,MATCH("1_Maximum",Maximum_RawData!$A:$A,0)+ROWS($2:34)-1))</f>
        <v>145803.07</v>
      </c>
      <c r="C34">
        <f>IF(ROWS($2:34)&gt;COUNTIF(Maximum_RawData!$A:$A,"1_Maximum"),"",INDEX(Maximum_RawData!C:C,MATCH("1_Maximum",Maximum_RawData!$A:$A,0)+ROWS($2:34)-1))</f>
        <v>45.9</v>
      </c>
      <c r="D34">
        <f>IF(ROWS($2:34)&gt;COUNTIF(Maximum_RawData!$A:$A,"1_Maximum"),"",INDEX(Maximum_RawData!D:D,MATCH("1_Maximum",Maximum_RawData!$A:$A,0)+ROWS($2:34)-1))</f>
        <v>1312.56</v>
      </c>
      <c r="E34">
        <f>IF(ROWS($2:34)&gt;COUNTIF(Maximum_RawData!$A:$A,"1_Maximum"),"",INDEX(Maximum_RawData!E:E,MATCH("1_Maximum",Maximum_RawData!$A:$A,0)+ROWS($2:34)-1))</f>
        <v>4.16</v>
      </c>
      <c r="F34">
        <f>IF(ROWS($2:34)&gt;COUNTIF(Maximum_RawData!$A:$A,"1_Maximum"),"",INDEX(Maximum_RawData!F:F,MATCH("1_Maximum",Maximum_RawData!$A:$A,0)+ROWS($2:34)-1))</f>
        <v>399</v>
      </c>
      <c r="G34">
        <f>IF(ROWS($2:34)&gt;COUNTIF(Maximum_RawData!$A:$A,"1_Maximum"),"",INDEX(Maximum_RawData!G:G,MATCH("1_Maximum",Maximum_RawData!$A:$A,0)+ROWS($2:34)-1))</f>
        <v>399</v>
      </c>
      <c r="H34">
        <f>IF(ROWS($2:34)&gt;COUNTIF(Maximum_RawData!$A:$A,"1_Maximum"),"",INDEX(Maximum_RawData!H:H,MATCH("1_Maximum",Maximum_RawData!$A:$A,0)+ROWS($2:34)-1))</f>
        <v>399</v>
      </c>
      <c r="I34">
        <f>IF(ROWS($2:34)&gt;COUNTIF(Maximum_RawData!$A:$A,"1_Maximum"),"",INDEX(Maximum_RawData!I:I,MATCH("1_Maximum",Maximum_RawData!$A:$A,0)+ROWS($2:34)-1))</f>
        <v>399</v>
      </c>
      <c r="J34">
        <f>IF(ROWS($2:34)&gt;COUNTIF(Maximum_RawData!$A:$A,"1_Maximum"),"",INDEX(Maximum_RawData!J:J,MATCH("1_Maximum",Maximum_RawData!$A:$A,0)+ROWS($2:34)-1))</f>
        <v>399</v>
      </c>
      <c r="K34">
        <f>IF(ROWS($2:34)&gt;COUNTIF(Maximum_RawData!$A:$A,"1_Maximum"),"",INDEX(Maximum_RawData!K:K,MATCH("1_Maximum",Maximum_RawData!$A:$A,0)+ROWS($2:34)-1))</f>
        <v>399</v>
      </c>
      <c r="L34">
        <f>IF(ROWS($2:34)&gt;COUNTIF(Maximum_RawData!$A:$A,"1_Maximum"),"",INDEX(Maximum_RawData!L:L,MATCH("1_Maximum",Maximum_RawData!$A:$A,0)+ROWS($2:34)-1))</f>
        <v>399</v>
      </c>
      <c r="M34">
        <f>IF(ROWS($2:34)&gt;COUNTIF(Maximum_RawData!$A:$A,"1_Maximum"),"",INDEX(Maximum_RawData!M:M,MATCH("1_Maximum",Maximum_RawData!$A:$A,0)+ROWS($2:34)-1))</f>
        <v>399</v>
      </c>
      <c r="N34">
        <f>IF(ROWS($2:34)&gt;COUNTIF(Maximum_RawData!$A:$A,"1_Maximum"),"",INDEX(Maximum_RawData!N:N,MATCH("1_Maximum",Maximum_RawData!$A:$A,0)+ROWS($2:34)-1))</f>
        <v>0.1</v>
      </c>
      <c r="O34">
        <f>IF(ROWS($2:34)&gt;COUNTIF(Maximum_RawData!$A:$A,"1_Maximum"),"",INDEX(Maximum_RawData!O:O,MATCH("1_Maximum",Maximum_RawData!$A:$A,0)+ROWS($2:34)-1))</f>
        <v>0.11</v>
      </c>
      <c r="P34">
        <f>IF(ROWS($2:34)&gt;COUNTIF(Maximum_RawData!$A:$A,"1_Maximum"),"",INDEX(Maximum_RawData!P:P,MATCH("1_Maximum",Maximum_RawData!$A:$A,0)+ROWS($2:34)-1))</f>
        <v>0.08</v>
      </c>
      <c r="Q34">
        <f>IF(ROWS($2:34)&gt;COUNTIF(Maximum_RawData!$A:$A,"1_Maximum"),"",INDEX(Maximum_RawData!Q:Q,MATCH("1_Maximum",Maximum_RawData!$A:$A,0)+ROWS($2:34)-1))</f>
        <v>0.1</v>
      </c>
      <c r="R34" t="str">
        <f>IF(ROWS($2:34)&gt;COUNTIF(Maximum_RawData!$A:$A,"1_Maximum"),"",INDEX(Maximum_RawData!R:R,MATCH("1_Maximum",Maximum_RawData!$A:$A,0)+ROWS($2:34)-1))</f>
        <v>Pass</v>
      </c>
      <c r="S34">
        <f>IF(ROWS($2:34)&gt;COUNTIF(Maximum_RawData!$A:$A,"1_Maximum"),"",INDEX(Maximum_RawData!S:S,MATCH("1_Maximum",Maximum_RawData!$A:$A,0)+ROWS($2:34)-1))</f>
        <v>0</v>
      </c>
      <c r="T34">
        <f>IF(ROWS($2:34)&gt;COUNTIF(Maximum_RawData!$A:$A,"1_Maximum"),"",INDEX(Maximum_RawData!T:T,MATCH("1_Maximum",Maximum_RawData!$A:$A,0)+ROWS($2:34)-1))</f>
        <v>0</v>
      </c>
    </row>
    <row r="35" spans="1:20">
      <c r="A35" t="str">
        <f>IF(ROWS($2:35)&gt;COUNTIF(Maximum_RawData!$A:$A,"1_Maximum"),"",INDEX(Maximum_RawData!A:A,MATCH("1_Maximum",Maximum_RawData!$A:$A,0)+ROWS($2:35)-1))</f>
        <v>1_Maximum</v>
      </c>
      <c r="B35">
        <f>IF(ROWS($2:35)&gt;COUNTIF(Maximum_RawData!$A:$A,"1_Maximum"),"",INDEX(Maximum_RawData!B:B,MATCH("1_Maximum",Maximum_RawData!$A:$A,0)+ROWS($2:35)-1))</f>
        <v>145808.08100000001</v>
      </c>
      <c r="C35">
        <f>IF(ROWS($2:35)&gt;COUNTIF(Maximum_RawData!$A:$A,"1_Maximum"),"",INDEX(Maximum_RawData!C:C,MATCH("1_Maximum",Maximum_RawData!$A:$A,0)+ROWS($2:35)-1))</f>
        <v>45.17</v>
      </c>
      <c r="D35">
        <f>IF(ROWS($2:35)&gt;COUNTIF(Maximum_RawData!$A:$A,"1_Maximum"),"",INDEX(Maximum_RawData!D:D,MATCH("1_Maximum",Maximum_RawData!$A:$A,0)+ROWS($2:35)-1))</f>
        <v>1312.4860000000001</v>
      </c>
      <c r="E35">
        <f>IF(ROWS($2:35)&gt;COUNTIF(Maximum_RawData!$A:$A,"1_Maximum"),"",INDEX(Maximum_RawData!E:E,MATCH("1_Maximum",Maximum_RawData!$A:$A,0)+ROWS($2:35)-1))</f>
        <v>4.34</v>
      </c>
      <c r="F35">
        <f>IF(ROWS($2:35)&gt;COUNTIF(Maximum_RawData!$A:$A,"1_Maximum"),"",INDEX(Maximum_RawData!F:F,MATCH("1_Maximum",Maximum_RawData!$A:$A,0)+ROWS($2:35)-1))</f>
        <v>399</v>
      </c>
      <c r="G35">
        <f>IF(ROWS($2:35)&gt;COUNTIF(Maximum_RawData!$A:$A,"1_Maximum"),"",INDEX(Maximum_RawData!G:G,MATCH("1_Maximum",Maximum_RawData!$A:$A,0)+ROWS($2:35)-1))</f>
        <v>399</v>
      </c>
      <c r="H35">
        <f>IF(ROWS($2:35)&gt;COUNTIF(Maximum_RawData!$A:$A,"1_Maximum"),"",INDEX(Maximum_RawData!H:H,MATCH("1_Maximum",Maximum_RawData!$A:$A,0)+ROWS($2:35)-1))</f>
        <v>399</v>
      </c>
      <c r="I35">
        <f>IF(ROWS($2:35)&gt;COUNTIF(Maximum_RawData!$A:$A,"1_Maximum"),"",INDEX(Maximum_RawData!I:I,MATCH("1_Maximum",Maximum_RawData!$A:$A,0)+ROWS($2:35)-1))</f>
        <v>399</v>
      </c>
      <c r="J35">
        <f>IF(ROWS($2:35)&gt;COUNTIF(Maximum_RawData!$A:$A,"1_Maximum"),"",INDEX(Maximum_RawData!J:J,MATCH("1_Maximum",Maximum_RawData!$A:$A,0)+ROWS($2:35)-1))</f>
        <v>399</v>
      </c>
      <c r="K35">
        <f>IF(ROWS($2:35)&gt;COUNTIF(Maximum_RawData!$A:$A,"1_Maximum"),"",INDEX(Maximum_RawData!K:K,MATCH("1_Maximum",Maximum_RawData!$A:$A,0)+ROWS($2:35)-1))</f>
        <v>399</v>
      </c>
      <c r="L35">
        <f>IF(ROWS($2:35)&gt;COUNTIF(Maximum_RawData!$A:$A,"1_Maximum"),"",INDEX(Maximum_RawData!L:L,MATCH("1_Maximum",Maximum_RawData!$A:$A,0)+ROWS($2:35)-1))</f>
        <v>399</v>
      </c>
      <c r="M35">
        <f>IF(ROWS($2:35)&gt;COUNTIF(Maximum_RawData!$A:$A,"1_Maximum"),"",INDEX(Maximum_RawData!M:M,MATCH("1_Maximum",Maximum_RawData!$A:$A,0)+ROWS($2:35)-1))</f>
        <v>399</v>
      </c>
      <c r="N35">
        <f>IF(ROWS($2:35)&gt;COUNTIF(Maximum_RawData!$A:$A,"1_Maximum"),"",INDEX(Maximum_RawData!N:N,MATCH("1_Maximum",Maximum_RawData!$A:$A,0)+ROWS($2:35)-1))</f>
        <v>0.1</v>
      </c>
      <c r="O35">
        <f>IF(ROWS($2:35)&gt;COUNTIF(Maximum_RawData!$A:$A,"1_Maximum"),"",INDEX(Maximum_RawData!O:O,MATCH("1_Maximum",Maximum_RawData!$A:$A,0)+ROWS($2:35)-1))</f>
        <v>0.11</v>
      </c>
      <c r="P35">
        <f>IF(ROWS($2:35)&gt;COUNTIF(Maximum_RawData!$A:$A,"1_Maximum"),"",INDEX(Maximum_RawData!P:P,MATCH("1_Maximum",Maximum_RawData!$A:$A,0)+ROWS($2:35)-1))</f>
        <v>0.08</v>
      </c>
      <c r="Q35">
        <f>IF(ROWS($2:35)&gt;COUNTIF(Maximum_RawData!$A:$A,"1_Maximum"),"",INDEX(Maximum_RawData!Q:Q,MATCH("1_Maximum",Maximum_RawData!$A:$A,0)+ROWS($2:35)-1))</f>
        <v>0.1</v>
      </c>
      <c r="R35" t="str">
        <f>IF(ROWS($2:35)&gt;COUNTIF(Maximum_RawData!$A:$A,"1_Maximum"),"",INDEX(Maximum_RawData!R:R,MATCH("1_Maximum",Maximum_RawData!$A:$A,0)+ROWS($2:35)-1))</f>
        <v>Pass</v>
      </c>
      <c r="S35">
        <f>IF(ROWS($2:35)&gt;COUNTIF(Maximum_RawData!$A:$A,"1_Maximum"),"",INDEX(Maximum_RawData!S:S,MATCH("1_Maximum",Maximum_RawData!$A:$A,0)+ROWS($2:35)-1))</f>
        <v>0</v>
      </c>
      <c r="T35">
        <f>IF(ROWS($2:35)&gt;COUNTIF(Maximum_RawData!$A:$A,"1_Maximum"),"",INDEX(Maximum_RawData!T:T,MATCH("1_Maximum",Maximum_RawData!$A:$A,0)+ROWS($2:35)-1))</f>
        <v>0</v>
      </c>
    </row>
    <row r="36" spans="1:20">
      <c r="A36" t="str">
        <f>IF(ROWS($2:36)&gt;COUNTIF(Maximum_RawData!$A:$A,"1_Maximum"),"",INDEX(Maximum_RawData!A:A,MATCH("1_Maximum",Maximum_RawData!$A:$A,0)+ROWS($2:36)-1))</f>
        <v>1_Maximum</v>
      </c>
      <c r="B36">
        <f>IF(ROWS($2:36)&gt;COUNTIF(Maximum_RawData!$A:$A,"1_Maximum"),"",INDEX(Maximum_RawData!B:B,MATCH("1_Maximum",Maximum_RawData!$A:$A,0)+ROWS($2:36)-1))</f>
        <v>145813.07399999999</v>
      </c>
      <c r="C36">
        <f>IF(ROWS($2:36)&gt;COUNTIF(Maximum_RawData!$A:$A,"1_Maximum"),"",INDEX(Maximum_RawData!C:C,MATCH("1_Maximum",Maximum_RawData!$A:$A,0)+ROWS($2:36)-1))</f>
        <v>44.44</v>
      </c>
      <c r="D36">
        <f>IF(ROWS($2:36)&gt;COUNTIF(Maximum_RawData!$A:$A,"1_Maximum"),"",INDEX(Maximum_RawData!D:D,MATCH("1_Maximum",Maximum_RawData!$A:$A,0)+ROWS($2:36)-1))</f>
        <v>1312.421</v>
      </c>
      <c r="E36">
        <f>IF(ROWS($2:36)&gt;COUNTIF(Maximum_RawData!$A:$A,"1_Maximum"),"",INDEX(Maximum_RawData!E:E,MATCH("1_Maximum",Maximum_RawData!$A:$A,0)+ROWS($2:36)-1))</f>
        <v>4.47</v>
      </c>
      <c r="F36">
        <f>IF(ROWS($2:36)&gt;COUNTIF(Maximum_RawData!$A:$A,"1_Maximum"),"",INDEX(Maximum_RawData!F:F,MATCH("1_Maximum",Maximum_RawData!$A:$A,0)+ROWS($2:36)-1))</f>
        <v>399</v>
      </c>
      <c r="G36">
        <f>IF(ROWS($2:36)&gt;COUNTIF(Maximum_RawData!$A:$A,"1_Maximum"),"",INDEX(Maximum_RawData!G:G,MATCH("1_Maximum",Maximum_RawData!$A:$A,0)+ROWS($2:36)-1))</f>
        <v>399</v>
      </c>
      <c r="H36">
        <f>IF(ROWS($2:36)&gt;COUNTIF(Maximum_RawData!$A:$A,"1_Maximum"),"",INDEX(Maximum_RawData!H:H,MATCH("1_Maximum",Maximum_RawData!$A:$A,0)+ROWS($2:36)-1))</f>
        <v>399</v>
      </c>
      <c r="I36">
        <f>IF(ROWS($2:36)&gt;COUNTIF(Maximum_RawData!$A:$A,"1_Maximum"),"",INDEX(Maximum_RawData!I:I,MATCH("1_Maximum",Maximum_RawData!$A:$A,0)+ROWS($2:36)-1))</f>
        <v>399</v>
      </c>
      <c r="J36">
        <f>IF(ROWS($2:36)&gt;COUNTIF(Maximum_RawData!$A:$A,"1_Maximum"),"",INDEX(Maximum_RawData!J:J,MATCH("1_Maximum",Maximum_RawData!$A:$A,0)+ROWS($2:36)-1))</f>
        <v>399</v>
      </c>
      <c r="K36">
        <f>IF(ROWS($2:36)&gt;COUNTIF(Maximum_RawData!$A:$A,"1_Maximum"),"",INDEX(Maximum_RawData!K:K,MATCH("1_Maximum",Maximum_RawData!$A:$A,0)+ROWS($2:36)-1))</f>
        <v>399</v>
      </c>
      <c r="L36">
        <f>IF(ROWS($2:36)&gt;COUNTIF(Maximum_RawData!$A:$A,"1_Maximum"),"",INDEX(Maximum_RawData!L:L,MATCH("1_Maximum",Maximum_RawData!$A:$A,0)+ROWS($2:36)-1))</f>
        <v>399</v>
      </c>
      <c r="M36">
        <f>IF(ROWS($2:36)&gt;COUNTIF(Maximum_RawData!$A:$A,"1_Maximum"),"",INDEX(Maximum_RawData!M:M,MATCH("1_Maximum",Maximum_RawData!$A:$A,0)+ROWS($2:36)-1))</f>
        <v>399</v>
      </c>
      <c r="N36">
        <f>IF(ROWS($2:36)&gt;COUNTIF(Maximum_RawData!$A:$A,"1_Maximum"),"",INDEX(Maximum_RawData!N:N,MATCH("1_Maximum",Maximum_RawData!$A:$A,0)+ROWS($2:36)-1))</f>
        <v>0.09</v>
      </c>
      <c r="O36">
        <f>IF(ROWS($2:36)&gt;COUNTIF(Maximum_RawData!$A:$A,"1_Maximum"),"",INDEX(Maximum_RawData!O:O,MATCH("1_Maximum",Maximum_RawData!$A:$A,0)+ROWS($2:36)-1))</f>
        <v>0.11</v>
      </c>
      <c r="P36">
        <f>IF(ROWS($2:36)&gt;COUNTIF(Maximum_RawData!$A:$A,"1_Maximum"),"",INDEX(Maximum_RawData!P:P,MATCH("1_Maximum",Maximum_RawData!$A:$A,0)+ROWS($2:36)-1))</f>
        <v>0.08</v>
      </c>
      <c r="Q36">
        <f>IF(ROWS($2:36)&gt;COUNTIF(Maximum_RawData!$A:$A,"1_Maximum"),"",INDEX(Maximum_RawData!Q:Q,MATCH("1_Maximum",Maximum_RawData!$A:$A,0)+ROWS($2:36)-1))</f>
        <v>0.1</v>
      </c>
      <c r="R36" t="str">
        <f>IF(ROWS($2:36)&gt;COUNTIF(Maximum_RawData!$A:$A,"1_Maximum"),"",INDEX(Maximum_RawData!R:R,MATCH("1_Maximum",Maximum_RawData!$A:$A,0)+ROWS($2:36)-1))</f>
        <v>Pass</v>
      </c>
      <c r="S36">
        <f>IF(ROWS($2:36)&gt;COUNTIF(Maximum_RawData!$A:$A,"1_Maximum"),"",INDEX(Maximum_RawData!S:S,MATCH("1_Maximum",Maximum_RawData!$A:$A,0)+ROWS($2:36)-1))</f>
        <v>0</v>
      </c>
      <c r="T36">
        <f>IF(ROWS($2:36)&gt;COUNTIF(Maximum_RawData!$A:$A,"1_Maximum"),"",INDEX(Maximum_RawData!T:T,MATCH("1_Maximum",Maximum_RawData!$A:$A,0)+ROWS($2:36)-1))</f>
        <v>0</v>
      </c>
    </row>
    <row r="37" spans="1:20">
      <c r="A37" t="str">
        <f>IF(ROWS($2:37)&gt;COUNTIF(Maximum_RawData!$A:$A,"1_Maximum"),"",INDEX(Maximum_RawData!A:A,MATCH("1_Maximum",Maximum_RawData!$A:$A,0)+ROWS($2:37)-1))</f>
        <v>1_Maximum</v>
      </c>
      <c r="B37">
        <f>IF(ROWS($2:37)&gt;COUNTIF(Maximum_RawData!$A:$A,"1_Maximum"),"",INDEX(Maximum_RawData!B:B,MATCH("1_Maximum",Maximum_RawData!$A:$A,0)+ROWS($2:37)-1))</f>
        <v>145818.076</v>
      </c>
      <c r="C37">
        <f>IF(ROWS($2:37)&gt;COUNTIF(Maximum_RawData!$A:$A,"1_Maximum"),"",INDEX(Maximum_RawData!C:C,MATCH("1_Maximum",Maximum_RawData!$A:$A,0)+ROWS($2:37)-1))</f>
        <v>43.72</v>
      </c>
      <c r="D37">
        <f>IF(ROWS($2:37)&gt;COUNTIF(Maximum_RawData!$A:$A,"1_Maximum"),"",INDEX(Maximum_RawData!D:D,MATCH("1_Maximum",Maximum_RawData!$A:$A,0)+ROWS($2:37)-1))</f>
        <v>1312.3420000000001</v>
      </c>
      <c r="E37">
        <f>IF(ROWS($2:37)&gt;COUNTIF(Maximum_RawData!$A:$A,"1_Maximum"),"",INDEX(Maximum_RawData!E:E,MATCH("1_Maximum",Maximum_RawData!$A:$A,0)+ROWS($2:37)-1))</f>
        <v>4.59</v>
      </c>
      <c r="F37">
        <f>IF(ROWS($2:37)&gt;COUNTIF(Maximum_RawData!$A:$A,"1_Maximum"),"",INDEX(Maximum_RawData!F:F,MATCH("1_Maximum",Maximum_RawData!$A:$A,0)+ROWS($2:37)-1))</f>
        <v>399</v>
      </c>
      <c r="G37">
        <f>IF(ROWS($2:37)&gt;COUNTIF(Maximum_RawData!$A:$A,"1_Maximum"),"",INDEX(Maximum_RawData!G:G,MATCH("1_Maximum",Maximum_RawData!$A:$A,0)+ROWS($2:37)-1))</f>
        <v>399</v>
      </c>
      <c r="H37">
        <f>IF(ROWS($2:37)&gt;COUNTIF(Maximum_RawData!$A:$A,"1_Maximum"),"",INDEX(Maximum_RawData!H:H,MATCH("1_Maximum",Maximum_RawData!$A:$A,0)+ROWS($2:37)-1))</f>
        <v>399</v>
      </c>
      <c r="I37">
        <f>IF(ROWS($2:37)&gt;COUNTIF(Maximum_RawData!$A:$A,"1_Maximum"),"",INDEX(Maximum_RawData!I:I,MATCH("1_Maximum",Maximum_RawData!$A:$A,0)+ROWS($2:37)-1))</f>
        <v>399</v>
      </c>
      <c r="J37">
        <f>IF(ROWS($2:37)&gt;COUNTIF(Maximum_RawData!$A:$A,"1_Maximum"),"",INDEX(Maximum_RawData!J:J,MATCH("1_Maximum",Maximum_RawData!$A:$A,0)+ROWS($2:37)-1))</f>
        <v>399</v>
      </c>
      <c r="K37">
        <f>IF(ROWS($2:37)&gt;COUNTIF(Maximum_RawData!$A:$A,"1_Maximum"),"",INDEX(Maximum_RawData!K:K,MATCH("1_Maximum",Maximum_RawData!$A:$A,0)+ROWS($2:37)-1))</f>
        <v>399</v>
      </c>
      <c r="L37">
        <f>IF(ROWS($2:37)&gt;COUNTIF(Maximum_RawData!$A:$A,"1_Maximum"),"",INDEX(Maximum_RawData!L:L,MATCH("1_Maximum",Maximum_RawData!$A:$A,0)+ROWS($2:37)-1))</f>
        <v>399</v>
      </c>
      <c r="M37">
        <f>IF(ROWS($2:37)&gt;COUNTIF(Maximum_RawData!$A:$A,"1_Maximum"),"",INDEX(Maximum_RawData!M:M,MATCH("1_Maximum",Maximum_RawData!$A:$A,0)+ROWS($2:37)-1))</f>
        <v>399</v>
      </c>
      <c r="N37">
        <f>IF(ROWS($2:37)&gt;COUNTIF(Maximum_RawData!$A:$A,"1_Maximum"),"",INDEX(Maximum_RawData!N:N,MATCH("1_Maximum",Maximum_RawData!$A:$A,0)+ROWS($2:37)-1))</f>
        <v>0.11</v>
      </c>
      <c r="O37">
        <f>IF(ROWS($2:37)&gt;COUNTIF(Maximum_RawData!$A:$A,"1_Maximum"),"",INDEX(Maximum_RawData!O:O,MATCH("1_Maximum",Maximum_RawData!$A:$A,0)+ROWS($2:37)-1))</f>
        <v>0.11</v>
      </c>
      <c r="P37">
        <f>IF(ROWS($2:37)&gt;COUNTIF(Maximum_RawData!$A:$A,"1_Maximum"),"",INDEX(Maximum_RawData!P:P,MATCH("1_Maximum",Maximum_RawData!$A:$A,0)+ROWS($2:37)-1))</f>
        <v>0.08</v>
      </c>
      <c r="Q37">
        <f>IF(ROWS($2:37)&gt;COUNTIF(Maximum_RawData!$A:$A,"1_Maximum"),"",INDEX(Maximum_RawData!Q:Q,MATCH("1_Maximum",Maximum_RawData!$A:$A,0)+ROWS($2:37)-1))</f>
        <v>0.1</v>
      </c>
      <c r="R37" t="str">
        <f>IF(ROWS($2:37)&gt;COUNTIF(Maximum_RawData!$A:$A,"1_Maximum"),"",INDEX(Maximum_RawData!R:R,MATCH("1_Maximum",Maximum_RawData!$A:$A,0)+ROWS($2:37)-1))</f>
        <v>Pass</v>
      </c>
      <c r="S37">
        <f>IF(ROWS($2:37)&gt;COUNTIF(Maximum_RawData!$A:$A,"1_Maximum"),"",INDEX(Maximum_RawData!S:S,MATCH("1_Maximum",Maximum_RawData!$A:$A,0)+ROWS($2:37)-1))</f>
        <v>0</v>
      </c>
      <c r="T37">
        <f>IF(ROWS($2:37)&gt;COUNTIF(Maximum_RawData!$A:$A,"1_Maximum"),"",INDEX(Maximum_RawData!T:T,MATCH("1_Maximum",Maximum_RawData!$A:$A,0)+ROWS($2:37)-1))</f>
        <v>0</v>
      </c>
    </row>
    <row r="38" spans="1:20">
      <c r="A38" t="str">
        <f>IF(ROWS($2:38)&gt;COUNTIF(Maximum_RawData!$A:$A,"1_Maximum"),"",INDEX(Maximum_RawData!A:A,MATCH("1_Maximum",Maximum_RawData!$A:$A,0)+ROWS($2:38)-1))</f>
        <v>1_Maximum</v>
      </c>
      <c r="B38">
        <f>IF(ROWS($2:38)&gt;COUNTIF(Maximum_RawData!$A:$A,"1_Maximum"),"",INDEX(Maximum_RawData!B:B,MATCH("1_Maximum",Maximum_RawData!$A:$A,0)+ROWS($2:38)-1))</f>
        <v>145823.079</v>
      </c>
      <c r="C38">
        <f>IF(ROWS($2:38)&gt;COUNTIF(Maximum_RawData!$A:$A,"1_Maximum"),"",INDEX(Maximum_RawData!C:C,MATCH("1_Maximum",Maximum_RawData!$A:$A,0)+ROWS($2:38)-1))</f>
        <v>42.98</v>
      </c>
      <c r="D38">
        <f>IF(ROWS($2:38)&gt;COUNTIF(Maximum_RawData!$A:$A,"1_Maximum"),"",INDEX(Maximum_RawData!D:D,MATCH("1_Maximum",Maximum_RawData!$A:$A,0)+ROWS($2:38)-1))</f>
        <v>1312.269</v>
      </c>
      <c r="E38">
        <f>IF(ROWS($2:38)&gt;COUNTIF(Maximum_RawData!$A:$A,"1_Maximum"),"",INDEX(Maximum_RawData!E:E,MATCH("1_Maximum",Maximum_RawData!$A:$A,0)+ROWS($2:38)-1))</f>
        <v>4.79</v>
      </c>
      <c r="F38">
        <f>IF(ROWS($2:38)&gt;COUNTIF(Maximum_RawData!$A:$A,"1_Maximum"),"",INDEX(Maximum_RawData!F:F,MATCH("1_Maximum",Maximum_RawData!$A:$A,0)+ROWS($2:38)-1))</f>
        <v>399</v>
      </c>
      <c r="G38">
        <f>IF(ROWS($2:38)&gt;COUNTIF(Maximum_RawData!$A:$A,"1_Maximum"),"",INDEX(Maximum_RawData!G:G,MATCH("1_Maximum",Maximum_RawData!$A:$A,0)+ROWS($2:38)-1))</f>
        <v>399</v>
      </c>
      <c r="H38">
        <f>IF(ROWS($2:38)&gt;COUNTIF(Maximum_RawData!$A:$A,"1_Maximum"),"",INDEX(Maximum_RawData!H:H,MATCH("1_Maximum",Maximum_RawData!$A:$A,0)+ROWS($2:38)-1))</f>
        <v>399</v>
      </c>
      <c r="I38">
        <f>IF(ROWS($2:38)&gt;COUNTIF(Maximum_RawData!$A:$A,"1_Maximum"),"",INDEX(Maximum_RawData!I:I,MATCH("1_Maximum",Maximum_RawData!$A:$A,0)+ROWS($2:38)-1))</f>
        <v>399</v>
      </c>
      <c r="J38">
        <f>IF(ROWS($2:38)&gt;COUNTIF(Maximum_RawData!$A:$A,"1_Maximum"),"",INDEX(Maximum_RawData!J:J,MATCH("1_Maximum",Maximum_RawData!$A:$A,0)+ROWS($2:38)-1))</f>
        <v>399</v>
      </c>
      <c r="K38">
        <f>IF(ROWS($2:38)&gt;COUNTIF(Maximum_RawData!$A:$A,"1_Maximum"),"",INDEX(Maximum_RawData!K:K,MATCH("1_Maximum",Maximum_RawData!$A:$A,0)+ROWS($2:38)-1))</f>
        <v>399</v>
      </c>
      <c r="L38">
        <f>IF(ROWS($2:38)&gt;COUNTIF(Maximum_RawData!$A:$A,"1_Maximum"),"",INDEX(Maximum_RawData!L:L,MATCH("1_Maximum",Maximum_RawData!$A:$A,0)+ROWS($2:38)-1))</f>
        <v>399</v>
      </c>
      <c r="M38">
        <f>IF(ROWS($2:38)&gt;COUNTIF(Maximum_RawData!$A:$A,"1_Maximum"),"",INDEX(Maximum_RawData!M:M,MATCH("1_Maximum",Maximum_RawData!$A:$A,0)+ROWS($2:38)-1))</f>
        <v>399</v>
      </c>
      <c r="N38">
        <f>IF(ROWS($2:38)&gt;COUNTIF(Maximum_RawData!$A:$A,"1_Maximum"),"",INDEX(Maximum_RawData!N:N,MATCH("1_Maximum",Maximum_RawData!$A:$A,0)+ROWS($2:38)-1))</f>
        <v>0.1</v>
      </c>
      <c r="O38">
        <f>IF(ROWS($2:38)&gt;COUNTIF(Maximum_RawData!$A:$A,"1_Maximum"),"",INDEX(Maximum_RawData!O:O,MATCH("1_Maximum",Maximum_RawData!$A:$A,0)+ROWS($2:38)-1))</f>
        <v>0.11</v>
      </c>
      <c r="P38">
        <f>IF(ROWS($2:38)&gt;COUNTIF(Maximum_RawData!$A:$A,"1_Maximum"),"",INDEX(Maximum_RawData!P:P,MATCH("1_Maximum",Maximum_RawData!$A:$A,0)+ROWS($2:38)-1))</f>
        <v>0.08</v>
      </c>
      <c r="Q38">
        <f>IF(ROWS($2:38)&gt;COUNTIF(Maximum_RawData!$A:$A,"1_Maximum"),"",INDEX(Maximum_RawData!Q:Q,MATCH("1_Maximum",Maximum_RawData!$A:$A,0)+ROWS($2:38)-1))</f>
        <v>0.1</v>
      </c>
      <c r="R38" t="str">
        <f>IF(ROWS($2:38)&gt;COUNTIF(Maximum_RawData!$A:$A,"1_Maximum"),"",INDEX(Maximum_RawData!R:R,MATCH("1_Maximum",Maximum_RawData!$A:$A,0)+ROWS($2:38)-1))</f>
        <v>Pass</v>
      </c>
      <c r="S38">
        <f>IF(ROWS($2:38)&gt;COUNTIF(Maximum_RawData!$A:$A,"1_Maximum"),"",INDEX(Maximum_RawData!S:S,MATCH("1_Maximum",Maximum_RawData!$A:$A,0)+ROWS($2:38)-1))</f>
        <v>0</v>
      </c>
      <c r="T38">
        <f>IF(ROWS($2:38)&gt;COUNTIF(Maximum_RawData!$A:$A,"1_Maximum"),"",INDEX(Maximum_RawData!T:T,MATCH("1_Maximum",Maximum_RawData!$A:$A,0)+ROWS($2:38)-1))</f>
        <v>0</v>
      </c>
    </row>
    <row r="39" spans="1:20">
      <c r="A39" t="str">
        <f>IF(ROWS($2:39)&gt;COUNTIF(Maximum_RawData!$A:$A,"1_Maximum"),"",INDEX(Maximum_RawData!A:A,MATCH("1_Maximum",Maximum_RawData!$A:$A,0)+ROWS($2:39)-1))</f>
        <v>1_Maximum</v>
      </c>
      <c r="B39">
        <f>IF(ROWS($2:39)&gt;COUNTIF(Maximum_RawData!$A:$A,"1_Maximum"),"",INDEX(Maximum_RawData!B:B,MATCH("1_Maximum",Maximum_RawData!$A:$A,0)+ROWS($2:39)-1))</f>
        <v>145828.07699999999</v>
      </c>
      <c r="C39">
        <f>IF(ROWS($2:39)&gt;COUNTIF(Maximum_RawData!$A:$A,"1_Maximum"),"",INDEX(Maximum_RawData!C:C,MATCH("1_Maximum",Maximum_RawData!$A:$A,0)+ROWS($2:39)-1))</f>
        <v>42.25</v>
      </c>
      <c r="D39">
        <f>IF(ROWS($2:39)&gt;COUNTIF(Maximum_RawData!$A:$A,"1_Maximum"),"",INDEX(Maximum_RawData!D:D,MATCH("1_Maximum",Maximum_RawData!$A:$A,0)+ROWS($2:39)-1))</f>
        <v>1312.202</v>
      </c>
      <c r="E39">
        <f>IF(ROWS($2:39)&gt;COUNTIF(Maximum_RawData!$A:$A,"1_Maximum"),"",INDEX(Maximum_RawData!E:E,MATCH("1_Maximum",Maximum_RawData!$A:$A,0)+ROWS($2:39)-1))</f>
        <v>4.9000000000000004</v>
      </c>
      <c r="F39">
        <f>IF(ROWS($2:39)&gt;COUNTIF(Maximum_RawData!$A:$A,"1_Maximum"),"",INDEX(Maximum_RawData!F:F,MATCH("1_Maximum",Maximum_RawData!$A:$A,0)+ROWS($2:39)-1))</f>
        <v>399</v>
      </c>
      <c r="G39">
        <f>IF(ROWS($2:39)&gt;COUNTIF(Maximum_RawData!$A:$A,"1_Maximum"),"",INDEX(Maximum_RawData!G:G,MATCH("1_Maximum",Maximum_RawData!$A:$A,0)+ROWS($2:39)-1))</f>
        <v>399</v>
      </c>
      <c r="H39">
        <f>IF(ROWS($2:39)&gt;COUNTIF(Maximum_RawData!$A:$A,"1_Maximum"),"",INDEX(Maximum_RawData!H:H,MATCH("1_Maximum",Maximum_RawData!$A:$A,0)+ROWS($2:39)-1))</f>
        <v>399</v>
      </c>
      <c r="I39">
        <f>IF(ROWS($2:39)&gt;COUNTIF(Maximum_RawData!$A:$A,"1_Maximum"),"",INDEX(Maximum_RawData!I:I,MATCH("1_Maximum",Maximum_RawData!$A:$A,0)+ROWS($2:39)-1))</f>
        <v>399</v>
      </c>
      <c r="J39">
        <f>IF(ROWS($2:39)&gt;COUNTIF(Maximum_RawData!$A:$A,"1_Maximum"),"",INDEX(Maximum_RawData!J:J,MATCH("1_Maximum",Maximum_RawData!$A:$A,0)+ROWS($2:39)-1))</f>
        <v>399</v>
      </c>
      <c r="K39">
        <f>IF(ROWS($2:39)&gt;COUNTIF(Maximum_RawData!$A:$A,"1_Maximum"),"",INDEX(Maximum_RawData!K:K,MATCH("1_Maximum",Maximum_RawData!$A:$A,0)+ROWS($2:39)-1))</f>
        <v>399</v>
      </c>
      <c r="L39">
        <f>IF(ROWS($2:39)&gt;COUNTIF(Maximum_RawData!$A:$A,"1_Maximum"),"",INDEX(Maximum_RawData!L:L,MATCH("1_Maximum",Maximum_RawData!$A:$A,0)+ROWS($2:39)-1))</f>
        <v>399</v>
      </c>
      <c r="M39">
        <f>IF(ROWS($2:39)&gt;COUNTIF(Maximum_RawData!$A:$A,"1_Maximum"),"",INDEX(Maximum_RawData!M:M,MATCH("1_Maximum",Maximum_RawData!$A:$A,0)+ROWS($2:39)-1))</f>
        <v>399</v>
      </c>
      <c r="N39">
        <f>IF(ROWS($2:39)&gt;COUNTIF(Maximum_RawData!$A:$A,"1_Maximum"),"",INDEX(Maximum_RawData!N:N,MATCH("1_Maximum",Maximum_RawData!$A:$A,0)+ROWS($2:39)-1))</f>
        <v>0.09</v>
      </c>
      <c r="O39">
        <f>IF(ROWS($2:39)&gt;COUNTIF(Maximum_RawData!$A:$A,"1_Maximum"),"",INDEX(Maximum_RawData!O:O,MATCH("1_Maximum",Maximum_RawData!$A:$A,0)+ROWS($2:39)-1))</f>
        <v>0.11</v>
      </c>
      <c r="P39">
        <f>IF(ROWS($2:39)&gt;COUNTIF(Maximum_RawData!$A:$A,"1_Maximum"),"",INDEX(Maximum_RawData!P:P,MATCH("1_Maximum",Maximum_RawData!$A:$A,0)+ROWS($2:39)-1))</f>
        <v>0.08</v>
      </c>
      <c r="Q39">
        <f>IF(ROWS($2:39)&gt;COUNTIF(Maximum_RawData!$A:$A,"1_Maximum"),"",INDEX(Maximum_RawData!Q:Q,MATCH("1_Maximum",Maximum_RawData!$A:$A,0)+ROWS($2:39)-1))</f>
        <v>0.1</v>
      </c>
      <c r="R39" t="str">
        <f>IF(ROWS($2:39)&gt;COUNTIF(Maximum_RawData!$A:$A,"1_Maximum"),"",INDEX(Maximum_RawData!R:R,MATCH("1_Maximum",Maximum_RawData!$A:$A,0)+ROWS($2:39)-1))</f>
        <v>Pass</v>
      </c>
      <c r="S39">
        <f>IF(ROWS($2:39)&gt;COUNTIF(Maximum_RawData!$A:$A,"1_Maximum"),"",INDEX(Maximum_RawData!S:S,MATCH("1_Maximum",Maximum_RawData!$A:$A,0)+ROWS($2:39)-1))</f>
        <v>0</v>
      </c>
      <c r="T39">
        <f>IF(ROWS($2:39)&gt;COUNTIF(Maximum_RawData!$A:$A,"1_Maximum"),"",INDEX(Maximum_RawData!T:T,MATCH("1_Maximum",Maximum_RawData!$A:$A,0)+ROWS($2:39)-1))</f>
        <v>0</v>
      </c>
    </row>
    <row r="40" spans="1:20">
      <c r="A40" t="str">
        <f>IF(ROWS($2:40)&gt;COUNTIF(Maximum_RawData!$A:$A,"1_Maximum"),"",INDEX(Maximum_RawData!A:A,MATCH("1_Maximum",Maximum_RawData!$A:$A,0)+ROWS($2:40)-1))</f>
        <v>1_Maximum</v>
      </c>
      <c r="B40">
        <f>IF(ROWS($2:40)&gt;COUNTIF(Maximum_RawData!$A:$A,"1_Maximum"),"",INDEX(Maximum_RawData!B:B,MATCH("1_Maximum",Maximum_RawData!$A:$A,0)+ROWS($2:40)-1))</f>
        <v>145833.087</v>
      </c>
      <c r="C40">
        <f>IF(ROWS($2:40)&gt;COUNTIF(Maximum_RawData!$A:$A,"1_Maximum"),"",INDEX(Maximum_RawData!C:C,MATCH("1_Maximum",Maximum_RawData!$A:$A,0)+ROWS($2:40)-1))</f>
        <v>41.5</v>
      </c>
      <c r="D40">
        <f>IF(ROWS($2:40)&gt;COUNTIF(Maximum_RawData!$A:$A,"1_Maximum"),"",INDEX(Maximum_RawData!D:D,MATCH("1_Maximum",Maximum_RawData!$A:$A,0)+ROWS($2:40)-1))</f>
        <v>1312.125</v>
      </c>
      <c r="E40">
        <f>IF(ROWS($2:40)&gt;COUNTIF(Maximum_RawData!$A:$A,"1_Maximum"),"",INDEX(Maximum_RawData!E:E,MATCH("1_Maximum",Maximum_RawData!$A:$A,0)+ROWS($2:40)-1))</f>
        <v>4.96</v>
      </c>
      <c r="F40">
        <f>IF(ROWS($2:40)&gt;COUNTIF(Maximum_RawData!$A:$A,"1_Maximum"),"",INDEX(Maximum_RawData!F:F,MATCH("1_Maximum",Maximum_RawData!$A:$A,0)+ROWS($2:40)-1))</f>
        <v>399</v>
      </c>
      <c r="G40">
        <f>IF(ROWS($2:40)&gt;COUNTIF(Maximum_RawData!$A:$A,"1_Maximum"),"",INDEX(Maximum_RawData!G:G,MATCH("1_Maximum",Maximum_RawData!$A:$A,0)+ROWS($2:40)-1))</f>
        <v>399</v>
      </c>
      <c r="H40">
        <f>IF(ROWS($2:40)&gt;COUNTIF(Maximum_RawData!$A:$A,"1_Maximum"),"",INDEX(Maximum_RawData!H:H,MATCH("1_Maximum",Maximum_RawData!$A:$A,0)+ROWS($2:40)-1))</f>
        <v>399</v>
      </c>
      <c r="I40">
        <f>IF(ROWS($2:40)&gt;COUNTIF(Maximum_RawData!$A:$A,"1_Maximum"),"",INDEX(Maximum_RawData!I:I,MATCH("1_Maximum",Maximum_RawData!$A:$A,0)+ROWS($2:40)-1))</f>
        <v>399</v>
      </c>
      <c r="J40">
        <f>IF(ROWS($2:40)&gt;COUNTIF(Maximum_RawData!$A:$A,"1_Maximum"),"",INDEX(Maximum_RawData!J:J,MATCH("1_Maximum",Maximum_RawData!$A:$A,0)+ROWS($2:40)-1))</f>
        <v>399</v>
      </c>
      <c r="K40">
        <f>IF(ROWS($2:40)&gt;COUNTIF(Maximum_RawData!$A:$A,"1_Maximum"),"",INDEX(Maximum_RawData!K:K,MATCH("1_Maximum",Maximum_RawData!$A:$A,0)+ROWS($2:40)-1))</f>
        <v>399</v>
      </c>
      <c r="L40">
        <f>IF(ROWS($2:40)&gt;COUNTIF(Maximum_RawData!$A:$A,"1_Maximum"),"",INDEX(Maximum_RawData!L:L,MATCH("1_Maximum",Maximum_RawData!$A:$A,0)+ROWS($2:40)-1))</f>
        <v>399</v>
      </c>
      <c r="M40">
        <f>IF(ROWS($2:40)&gt;COUNTIF(Maximum_RawData!$A:$A,"1_Maximum"),"",INDEX(Maximum_RawData!M:M,MATCH("1_Maximum",Maximum_RawData!$A:$A,0)+ROWS($2:40)-1))</f>
        <v>399</v>
      </c>
      <c r="N40">
        <f>IF(ROWS($2:40)&gt;COUNTIF(Maximum_RawData!$A:$A,"1_Maximum"),"",INDEX(Maximum_RawData!N:N,MATCH("1_Maximum",Maximum_RawData!$A:$A,0)+ROWS($2:40)-1))</f>
        <v>0.1</v>
      </c>
      <c r="O40">
        <f>IF(ROWS($2:40)&gt;COUNTIF(Maximum_RawData!$A:$A,"1_Maximum"),"",INDEX(Maximum_RawData!O:O,MATCH("1_Maximum",Maximum_RawData!$A:$A,0)+ROWS($2:40)-1))</f>
        <v>0.11</v>
      </c>
      <c r="P40">
        <f>IF(ROWS($2:40)&gt;COUNTIF(Maximum_RawData!$A:$A,"1_Maximum"),"",INDEX(Maximum_RawData!P:P,MATCH("1_Maximum",Maximum_RawData!$A:$A,0)+ROWS($2:40)-1))</f>
        <v>0.08</v>
      </c>
      <c r="Q40">
        <f>IF(ROWS($2:40)&gt;COUNTIF(Maximum_RawData!$A:$A,"1_Maximum"),"",INDEX(Maximum_RawData!Q:Q,MATCH("1_Maximum",Maximum_RawData!$A:$A,0)+ROWS($2:40)-1))</f>
        <v>0.1</v>
      </c>
      <c r="R40" t="str">
        <f>IF(ROWS($2:40)&gt;COUNTIF(Maximum_RawData!$A:$A,"1_Maximum"),"",INDEX(Maximum_RawData!R:R,MATCH("1_Maximum",Maximum_RawData!$A:$A,0)+ROWS($2:40)-1))</f>
        <v>Pass</v>
      </c>
      <c r="S40">
        <f>IF(ROWS($2:40)&gt;COUNTIF(Maximum_RawData!$A:$A,"1_Maximum"),"",INDEX(Maximum_RawData!S:S,MATCH("1_Maximum",Maximum_RawData!$A:$A,0)+ROWS($2:40)-1))</f>
        <v>0</v>
      </c>
      <c r="T40">
        <f>IF(ROWS($2:40)&gt;COUNTIF(Maximum_RawData!$A:$A,"1_Maximum"),"",INDEX(Maximum_RawData!T:T,MATCH("1_Maximum",Maximum_RawData!$A:$A,0)+ROWS($2:40)-1))</f>
        <v>0</v>
      </c>
    </row>
    <row r="41" spans="1:20">
      <c r="A41" t="str">
        <f>IF(ROWS($2:41)&gt;COUNTIF(Maximum_RawData!$A:$A,"1_Maximum"),"",INDEX(Maximum_RawData!A:A,MATCH("1_Maximum",Maximum_RawData!$A:$A,0)+ROWS($2:41)-1))</f>
        <v>1_Maximum</v>
      </c>
      <c r="B41">
        <f>IF(ROWS($2:41)&gt;COUNTIF(Maximum_RawData!$A:$A,"1_Maximum"),"",INDEX(Maximum_RawData!B:B,MATCH("1_Maximum",Maximum_RawData!$A:$A,0)+ROWS($2:41)-1))</f>
        <v>145838.08199999999</v>
      </c>
      <c r="C41">
        <f>IF(ROWS($2:41)&gt;COUNTIF(Maximum_RawData!$A:$A,"1_Maximum"),"",INDEX(Maximum_RawData!C:C,MATCH("1_Maximum",Maximum_RawData!$A:$A,0)+ROWS($2:41)-1))</f>
        <v>40.74</v>
      </c>
      <c r="D41">
        <f>IF(ROWS($2:41)&gt;COUNTIF(Maximum_RawData!$A:$A,"1_Maximum"),"",INDEX(Maximum_RawData!D:D,MATCH("1_Maximum",Maximum_RawData!$A:$A,0)+ROWS($2:41)-1))</f>
        <v>1312.0519999999999</v>
      </c>
      <c r="E41">
        <f>IF(ROWS($2:41)&gt;COUNTIF(Maximum_RawData!$A:$A,"1_Maximum"),"",INDEX(Maximum_RawData!E:E,MATCH("1_Maximum",Maximum_RawData!$A:$A,0)+ROWS($2:41)-1))</f>
        <v>5.15</v>
      </c>
      <c r="F41">
        <f>IF(ROWS($2:41)&gt;COUNTIF(Maximum_RawData!$A:$A,"1_Maximum"),"",INDEX(Maximum_RawData!F:F,MATCH("1_Maximum",Maximum_RawData!$A:$A,0)+ROWS($2:41)-1))</f>
        <v>399</v>
      </c>
      <c r="G41">
        <f>IF(ROWS($2:41)&gt;COUNTIF(Maximum_RawData!$A:$A,"1_Maximum"),"",INDEX(Maximum_RawData!G:G,MATCH("1_Maximum",Maximum_RawData!$A:$A,0)+ROWS($2:41)-1))</f>
        <v>399</v>
      </c>
      <c r="H41">
        <f>IF(ROWS($2:41)&gt;COUNTIF(Maximum_RawData!$A:$A,"1_Maximum"),"",INDEX(Maximum_RawData!H:H,MATCH("1_Maximum",Maximum_RawData!$A:$A,0)+ROWS($2:41)-1))</f>
        <v>399</v>
      </c>
      <c r="I41">
        <f>IF(ROWS($2:41)&gt;COUNTIF(Maximum_RawData!$A:$A,"1_Maximum"),"",INDEX(Maximum_RawData!I:I,MATCH("1_Maximum",Maximum_RawData!$A:$A,0)+ROWS($2:41)-1))</f>
        <v>399</v>
      </c>
      <c r="J41">
        <f>IF(ROWS($2:41)&gt;COUNTIF(Maximum_RawData!$A:$A,"1_Maximum"),"",INDEX(Maximum_RawData!J:J,MATCH("1_Maximum",Maximum_RawData!$A:$A,0)+ROWS($2:41)-1))</f>
        <v>399</v>
      </c>
      <c r="K41">
        <f>IF(ROWS($2:41)&gt;COUNTIF(Maximum_RawData!$A:$A,"1_Maximum"),"",INDEX(Maximum_RawData!K:K,MATCH("1_Maximum",Maximum_RawData!$A:$A,0)+ROWS($2:41)-1))</f>
        <v>399</v>
      </c>
      <c r="L41">
        <f>IF(ROWS($2:41)&gt;COUNTIF(Maximum_RawData!$A:$A,"1_Maximum"),"",INDEX(Maximum_RawData!L:L,MATCH("1_Maximum",Maximum_RawData!$A:$A,0)+ROWS($2:41)-1))</f>
        <v>399</v>
      </c>
      <c r="M41">
        <f>IF(ROWS($2:41)&gt;COUNTIF(Maximum_RawData!$A:$A,"1_Maximum"),"",INDEX(Maximum_RawData!M:M,MATCH("1_Maximum",Maximum_RawData!$A:$A,0)+ROWS($2:41)-1))</f>
        <v>399</v>
      </c>
      <c r="N41">
        <f>IF(ROWS($2:41)&gt;COUNTIF(Maximum_RawData!$A:$A,"1_Maximum"),"",INDEX(Maximum_RawData!N:N,MATCH("1_Maximum",Maximum_RawData!$A:$A,0)+ROWS($2:41)-1))</f>
        <v>0.1</v>
      </c>
      <c r="O41">
        <f>IF(ROWS($2:41)&gt;COUNTIF(Maximum_RawData!$A:$A,"1_Maximum"),"",INDEX(Maximum_RawData!O:O,MATCH("1_Maximum",Maximum_RawData!$A:$A,0)+ROWS($2:41)-1))</f>
        <v>0.11</v>
      </c>
      <c r="P41">
        <f>IF(ROWS($2:41)&gt;COUNTIF(Maximum_RawData!$A:$A,"1_Maximum"),"",INDEX(Maximum_RawData!P:P,MATCH("1_Maximum",Maximum_RawData!$A:$A,0)+ROWS($2:41)-1))</f>
        <v>0.08</v>
      </c>
      <c r="Q41">
        <f>IF(ROWS($2:41)&gt;COUNTIF(Maximum_RawData!$A:$A,"1_Maximum"),"",INDEX(Maximum_RawData!Q:Q,MATCH("1_Maximum",Maximum_RawData!$A:$A,0)+ROWS($2:41)-1))</f>
        <v>0.1</v>
      </c>
      <c r="R41" t="str">
        <f>IF(ROWS($2:41)&gt;COUNTIF(Maximum_RawData!$A:$A,"1_Maximum"),"",INDEX(Maximum_RawData!R:R,MATCH("1_Maximum",Maximum_RawData!$A:$A,0)+ROWS($2:41)-1))</f>
        <v>Pass</v>
      </c>
      <c r="S41">
        <f>IF(ROWS($2:41)&gt;COUNTIF(Maximum_RawData!$A:$A,"1_Maximum"),"",INDEX(Maximum_RawData!S:S,MATCH("1_Maximum",Maximum_RawData!$A:$A,0)+ROWS($2:41)-1))</f>
        <v>0</v>
      </c>
      <c r="T41">
        <f>IF(ROWS($2:41)&gt;COUNTIF(Maximum_RawData!$A:$A,"1_Maximum"),"",INDEX(Maximum_RawData!T:T,MATCH("1_Maximum",Maximum_RawData!$A:$A,0)+ROWS($2:41)-1))</f>
        <v>0</v>
      </c>
    </row>
    <row r="42" spans="1:20">
      <c r="A42" t="str">
        <f>IF(ROWS($2:42)&gt;COUNTIF(Maximum_RawData!$A:$A,"1_Maximum"),"",INDEX(Maximum_RawData!A:A,MATCH("1_Maximum",Maximum_RawData!$A:$A,0)+ROWS($2:42)-1))</f>
        <v>1_Maximum</v>
      </c>
      <c r="B42">
        <f>IF(ROWS($2:42)&gt;COUNTIF(Maximum_RawData!$A:$A,"1_Maximum"),"",INDEX(Maximum_RawData!B:B,MATCH("1_Maximum",Maximum_RawData!$A:$A,0)+ROWS($2:42)-1))</f>
        <v>145843.08600000001</v>
      </c>
      <c r="C42">
        <f>IF(ROWS($2:42)&gt;COUNTIF(Maximum_RawData!$A:$A,"1_Maximum"),"",INDEX(Maximum_RawData!C:C,MATCH("1_Maximum",Maximum_RawData!$A:$A,0)+ROWS($2:42)-1))</f>
        <v>40</v>
      </c>
      <c r="D42">
        <f>IF(ROWS($2:42)&gt;COUNTIF(Maximum_RawData!$A:$A,"1_Maximum"),"",INDEX(Maximum_RawData!D:D,MATCH("1_Maximum",Maximum_RawData!$A:$A,0)+ROWS($2:42)-1))</f>
        <v>1311.979</v>
      </c>
      <c r="E42">
        <f>IF(ROWS($2:42)&gt;COUNTIF(Maximum_RawData!$A:$A,"1_Maximum"),"",INDEX(Maximum_RawData!E:E,MATCH("1_Maximum",Maximum_RawData!$A:$A,0)+ROWS($2:42)-1))</f>
        <v>5.27</v>
      </c>
      <c r="F42">
        <f>IF(ROWS($2:42)&gt;COUNTIF(Maximum_RawData!$A:$A,"1_Maximum"),"",INDEX(Maximum_RawData!F:F,MATCH("1_Maximum",Maximum_RawData!$A:$A,0)+ROWS($2:42)-1))</f>
        <v>399</v>
      </c>
      <c r="G42">
        <f>IF(ROWS($2:42)&gt;COUNTIF(Maximum_RawData!$A:$A,"1_Maximum"),"",INDEX(Maximum_RawData!G:G,MATCH("1_Maximum",Maximum_RawData!$A:$A,0)+ROWS($2:42)-1))</f>
        <v>399</v>
      </c>
      <c r="H42">
        <f>IF(ROWS($2:42)&gt;COUNTIF(Maximum_RawData!$A:$A,"1_Maximum"),"",INDEX(Maximum_RawData!H:H,MATCH("1_Maximum",Maximum_RawData!$A:$A,0)+ROWS($2:42)-1))</f>
        <v>399</v>
      </c>
      <c r="I42">
        <f>IF(ROWS($2:42)&gt;COUNTIF(Maximum_RawData!$A:$A,"1_Maximum"),"",INDEX(Maximum_RawData!I:I,MATCH("1_Maximum",Maximum_RawData!$A:$A,0)+ROWS($2:42)-1))</f>
        <v>399</v>
      </c>
      <c r="J42">
        <f>IF(ROWS($2:42)&gt;COUNTIF(Maximum_RawData!$A:$A,"1_Maximum"),"",INDEX(Maximum_RawData!J:J,MATCH("1_Maximum",Maximum_RawData!$A:$A,0)+ROWS($2:42)-1))</f>
        <v>399</v>
      </c>
      <c r="K42">
        <f>IF(ROWS($2:42)&gt;COUNTIF(Maximum_RawData!$A:$A,"1_Maximum"),"",INDEX(Maximum_RawData!K:K,MATCH("1_Maximum",Maximum_RawData!$A:$A,0)+ROWS($2:42)-1))</f>
        <v>399</v>
      </c>
      <c r="L42">
        <f>IF(ROWS($2:42)&gt;COUNTIF(Maximum_RawData!$A:$A,"1_Maximum"),"",INDEX(Maximum_RawData!L:L,MATCH("1_Maximum",Maximum_RawData!$A:$A,0)+ROWS($2:42)-1))</f>
        <v>399</v>
      </c>
      <c r="M42">
        <f>IF(ROWS($2:42)&gt;COUNTIF(Maximum_RawData!$A:$A,"1_Maximum"),"",INDEX(Maximum_RawData!M:M,MATCH("1_Maximum",Maximum_RawData!$A:$A,0)+ROWS($2:42)-1))</f>
        <v>399</v>
      </c>
      <c r="N42">
        <f>IF(ROWS($2:42)&gt;COUNTIF(Maximum_RawData!$A:$A,"1_Maximum"),"",INDEX(Maximum_RawData!N:N,MATCH("1_Maximum",Maximum_RawData!$A:$A,0)+ROWS($2:42)-1))</f>
        <v>0.1</v>
      </c>
      <c r="O42">
        <f>IF(ROWS($2:42)&gt;COUNTIF(Maximum_RawData!$A:$A,"1_Maximum"),"",INDEX(Maximum_RawData!O:O,MATCH("1_Maximum",Maximum_RawData!$A:$A,0)+ROWS($2:42)-1))</f>
        <v>0.11</v>
      </c>
      <c r="P42">
        <f>IF(ROWS($2:42)&gt;COUNTIF(Maximum_RawData!$A:$A,"1_Maximum"),"",INDEX(Maximum_RawData!P:P,MATCH("1_Maximum",Maximum_RawData!$A:$A,0)+ROWS($2:42)-1))</f>
        <v>0.08</v>
      </c>
      <c r="Q42">
        <f>IF(ROWS($2:42)&gt;COUNTIF(Maximum_RawData!$A:$A,"1_Maximum"),"",INDEX(Maximum_RawData!Q:Q,MATCH("1_Maximum",Maximum_RawData!$A:$A,0)+ROWS($2:42)-1))</f>
        <v>0.1</v>
      </c>
      <c r="R42" t="str">
        <f>IF(ROWS($2:42)&gt;COUNTIF(Maximum_RawData!$A:$A,"1_Maximum"),"",INDEX(Maximum_RawData!R:R,MATCH("1_Maximum",Maximum_RawData!$A:$A,0)+ROWS($2:42)-1))</f>
        <v>Pass</v>
      </c>
      <c r="S42">
        <f>IF(ROWS($2:42)&gt;COUNTIF(Maximum_RawData!$A:$A,"1_Maximum"),"",INDEX(Maximum_RawData!S:S,MATCH("1_Maximum",Maximum_RawData!$A:$A,0)+ROWS($2:42)-1))</f>
        <v>0</v>
      </c>
      <c r="T42">
        <f>IF(ROWS($2:42)&gt;COUNTIF(Maximum_RawData!$A:$A,"1_Maximum"),"",INDEX(Maximum_RawData!T:T,MATCH("1_Maximum",Maximum_RawData!$A:$A,0)+ROWS($2:42)-1))</f>
        <v>0</v>
      </c>
    </row>
    <row r="43" spans="1:20">
      <c r="A43" t="str">
        <f>IF(ROWS($2:43)&gt;COUNTIF(Maximum_RawData!$A:$A,"1_Maximum"),"",INDEX(Maximum_RawData!A:A,MATCH("1_Maximum",Maximum_RawData!$A:$A,0)+ROWS($2:43)-1))</f>
        <v>1_Maximum</v>
      </c>
      <c r="B43">
        <f>IF(ROWS($2:43)&gt;COUNTIF(Maximum_RawData!$A:$A,"1_Maximum"),"",INDEX(Maximum_RawData!B:B,MATCH("1_Maximum",Maximum_RawData!$A:$A,0)+ROWS($2:43)-1))</f>
        <v>145848.084</v>
      </c>
      <c r="C43">
        <f>IF(ROWS($2:43)&gt;COUNTIF(Maximum_RawData!$A:$A,"1_Maximum"),"",INDEX(Maximum_RawData!C:C,MATCH("1_Maximum",Maximum_RawData!$A:$A,0)+ROWS($2:43)-1))</f>
        <v>39.24</v>
      </c>
      <c r="D43">
        <f>IF(ROWS($2:43)&gt;COUNTIF(Maximum_RawData!$A:$A,"1_Maximum"),"",INDEX(Maximum_RawData!D:D,MATCH("1_Maximum",Maximum_RawData!$A:$A,0)+ROWS($2:43)-1))</f>
        <v>1311.9069999999999</v>
      </c>
      <c r="E43">
        <f>IF(ROWS($2:43)&gt;COUNTIF(Maximum_RawData!$A:$A,"1_Maximum"),"",INDEX(Maximum_RawData!E:E,MATCH("1_Maximum",Maximum_RawData!$A:$A,0)+ROWS($2:43)-1))</f>
        <v>5.35</v>
      </c>
      <c r="F43">
        <f>IF(ROWS($2:43)&gt;COUNTIF(Maximum_RawData!$A:$A,"1_Maximum"),"",INDEX(Maximum_RawData!F:F,MATCH("1_Maximum",Maximum_RawData!$A:$A,0)+ROWS($2:43)-1))</f>
        <v>399</v>
      </c>
      <c r="G43">
        <f>IF(ROWS($2:43)&gt;COUNTIF(Maximum_RawData!$A:$A,"1_Maximum"),"",INDEX(Maximum_RawData!G:G,MATCH("1_Maximum",Maximum_RawData!$A:$A,0)+ROWS($2:43)-1))</f>
        <v>399</v>
      </c>
      <c r="H43">
        <f>IF(ROWS($2:43)&gt;COUNTIF(Maximum_RawData!$A:$A,"1_Maximum"),"",INDEX(Maximum_RawData!H:H,MATCH("1_Maximum",Maximum_RawData!$A:$A,0)+ROWS($2:43)-1))</f>
        <v>399</v>
      </c>
      <c r="I43">
        <f>IF(ROWS($2:43)&gt;COUNTIF(Maximum_RawData!$A:$A,"1_Maximum"),"",INDEX(Maximum_RawData!I:I,MATCH("1_Maximum",Maximum_RawData!$A:$A,0)+ROWS($2:43)-1))</f>
        <v>399</v>
      </c>
      <c r="J43">
        <f>IF(ROWS($2:43)&gt;COUNTIF(Maximum_RawData!$A:$A,"1_Maximum"),"",INDEX(Maximum_RawData!J:J,MATCH("1_Maximum",Maximum_RawData!$A:$A,0)+ROWS($2:43)-1))</f>
        <v>399</v>
      </c>
      <c r="K43">
        <f>IF(ROWS($2:43)&gt;COUNTIF(Maximum_RawData!$A:$A,"1_Maximum"),"",INDEX(Maximum_RawData!K:K,MATCH("1_Maximum",Maximum_RawData!$A:$A,0)+ROWS($2:43)-1))</f>
        <v>399</v>
      </c>
      <c r="L43">
        <f>IF(ROWS($2:43)&gt;COUNTIF(Maximum_RawData!$A:$A,"1_Maximum"),"",INDEX(Maximum_RawData!L:L,MATCH("1_Maximum",Maximum_RawData!$A:$A,0)+ROWS($2:43)-1))</f>
        <v>399</v>
      </c>
      <c r="M43">
        <f>IF(ROWS($2:43)&gt;COUNTIF(Maximum_RawData!$A:$A,"1_Maximum"),"",INDEX(Maximum_RawData!M:M,MATCH("1_Maximum",Maximum_RawData!$A:$A,0)+ROWS($2:43)-1))</f>
        <v>399</v>
      </c>
      <c r="N43">
        <f>IF(ROWS($2:43)&gt;COUNTIF(Maximum_RawData!$A:$A,"1_Maximum"),"",INDEX(Maximum_RawData!N:N,MATCH("1_Maximum",Maximum_RawData!$A:$A,0)+ROWS($2:43)-1))</f>
        <v>0.09</v>
      </c>
      <c r="O43">
        <f>IF(ROWS($2:43)&gt;COUNTIF(Maximum_RawData!$A:$A,"1_Maximum"),"",INDEX(Maximum_RawData!O:O,MATCH("1_Maximum",Maximum_RawData!$A:$A,0)+ROWS($2:43)-1))</f>
        <v>0.11</v>
      </c>
      <c r="P43">
        <f>IF(ROWS($2:43)&gt;COUNTIF(Maximum_RawData!$A:$A,"1_Maximum"),"",INDEX(Maximum_RawData!P:P,MATCH("1_Maximum",Maximum_RawData!$A:$A,0)+ROWS($2:43)-1))</f>
        <v>0.08</v>
      </c>
      <c r="Q43">
        <f>IF(ROWS($2:43)&gt;COUNTIF(Maximum_RawData!$A:$A,"1_Maximum"),"",INDEX(Maximum_RawData!Q:Q,MATCH("1_Maximum",Maximum_RawData!$A:$A,0)+ROWS($2:43)-1))</f>
        <v>0.1</v>
      </c>
      <c r="R43" t="str">
        <f>IF(ROWS($2:43)&gt;COUNTIF(Maximum_RawData!$A:$A,"1_Maximum"),"",INDEX(Maximum_RawData!R:R,MATCH("1_Maximum",Maximum_RawData!$A:$A,0)+ROWS($2:43)-1))</f>
        <v>Pass</v>
      </c>
      <c r="S43">
        <f>IF(ROWS($2:43)&gt;COUNTIF(Maximum_RawData!$A:$A,"1_Maximum"),"",INDEX(Maximum_RawData!S:S,MATCH("1_Maximum",Maximum_RawData!$A:$A,0)+ROWS($2:43)-1))</f>
        <v>0</v>
      </c>
      <c r="T43">
        <f>IF(ROWS($2:43)&gt;COUNTIF(Maximum_RawData!$A:$A,"1_Maximum"),"",INDEX(Maximum_RawData!T:T,MATCH("1_Maximum",Maximum_RawData!$A:$A,0)+ROWS($2:43)-1))</f>
        <v>0</v>
      </c>
    </row>
    <row r="44" spans="1:20">
      <c r="A44" t="str">
        <f>IF(ROWS($2:44)&gt;COUNTIF(Maximum_RawData!$A:$A,"1_Maximum"),"",INDEX(Maximum_RawData!A:A,MATCH("1_Maximum",Maximum_RawData!$A:$A,0)+ROWS($2:44)-1))</f>
        <v>1_Maximum</v>
      </c>
      <c r="B44">
        <f>IF(ROWS($2:44)&gt;COUNTIF(Maximum_RawData!$A:$A,"1_Maximum"),"",INDEX(Maximum_RawData!B:B,MATCH("1_Maximum",Maximum_RawData!$A:$A,0)+ROWS($2:44)-1))</f>
        <v>145853.08199999999</v>
      </c>
      <c r="C44">
        <f>IF(ROWS($2:44)&gt;COUNTIF(Maximum_RawData!$A:$A,"1_Maximum"),"",INDEX(Maximum_RawData!C:C,MATCH("1_Maximum",Maximum_RawData!$A:$A,0)+ROWS($2:44)-1))</f>
        <v>38.51</v>
      </c>
      <c r="D44">
        <f>IF(ROWS($2:44)&gt;COUNTIF(Maximum_RawData!$A:$A,"1_Maximum"),"",INDEX(Maximum_RawData!D:D,MATCH("1_Maximum",Maximum_RawData!$A:$A,0)+ROWS($2:44)-1))</f>
        <v>1311.835</v>
      </c>
      <c r="E44">
        <f>IF(ROWS($2:44)&gt;COUNTIF(Maximum_RawData!$A:$A,"1_Maximum"),"",INDEX(Maximum_RawData!E:E,MATCH("1_Maximum",Maximum_RawData!$A:$A,0)+ROWS($2:44)-1))</f>
        <v>5.48</v>
      </c>
      <c r="F44">
        <f>IF(ROWS($2:44)&gt;COUNTIF(Maximum_RawData!$A:$A,"1_Maximum"),"",INDEX(Maximum_RawData!F:F,MATCH("1_Maximum",Maximum_RawData!$A:$A,0)+ROWS($2:44)-1))</f>
        <v>399</v>
      </c>
      <c r="G44">
        <f>IF(ROWS($2:44)&gt;COUNTIF(Maximum_RawData!$A:$A,"1_Maximum"),"",INDEX(Maximum_RawData!G:G,MATCH("1_Maximum",Maximum_RawData!$A:$A,0)+ROWS($2:44)-1))</f>
        <v>399</v>
      </c>
      <c r="H44">
        <f>IF(ROWS($2:44)&gt;COUNTIF(Maximum_RawData!$A:$A,"1_Maximum"),"",INDEX(Maximum_RawData!H:H,MATCH("1_Maximum",Maximum_RawData!$A:$A,0)+ROWS($2:44)-1))</f>
        <v>399</v>
      </c>
      <c r="I44">
        <f>IF(ROWS($2:44)&gt;COUNTIF(Maximum_RawData!$A:$A,"1_Maximum"),"",INDEX(Maximum_RawData!I:I,MATCH("1_Maximum",Maximum_RawData!$A:$A,0)+ROWS($2:44)-1))</f>
        <v>399</v>
      </c>
      <c r="J44">
        <f>IF(ROWS($2:44)&gt;COUNTIF(Maximum_RawData!$A:$A,"1_Maximum"),"",INDEX(Maximum_RawData!J:J,MATCH("1_Maximum",Maximum_RawData!$A:$A,0)+ROWS($2:44)-1))</f>
        <v>399</v>
      </c>
      <c r="K44">
        <f>IF(ROWS($2:44)&gt;COUNTIF(Maximum_RawData!$A:$A,"1_Maximum"),"",INDEX(Maximum_RawData!K:K,MATCH("1_Maximum",Maximum_RawData!$A:$A,0)+ROWS($2:44)-1))</f>
        <v>399</v>
      </c>
      <c r="L44">
        <f>IF(ROWS($2:44)&gt;COUNTIF(Maximum_RawData!$A:$A,"1_Maximum"),"",INDEX(Maximum_RawData!L:L,MATCH("1_Maximum",Maximum_RawData!$A:$A,0)+ROWS($2:44)-1))</f>
        <v>399</v>
      </c>
      <c r="M44">
        <f>IF(ROWS($2:44)&gt;COUNTIF(Maximum_RawData!$A:$A,"1_Maximum"),"",INDEX(Maximum_RawData!M:M,MATCH("1_Maximum",Maximum_RawData!$A:$A,0)+ROWS($2:44)-1))</f>
        <v>399</v>
      </c>
      <c r="N44">
        <f>IF(ROWS($2:44)&gt;COUNTIF(Maximum_RawData!$A:$A,"1_Maximum"),"",INDEX(Maximum_RawData!N:N,MATCH("1_Maximum",Maximum_RawData!$A:$A,0)+ROWS($2:44)-1))</f>
        <v>0.1</v>
      </c>
      <c r="O44">
        <f>IF(ROWS($2:44)&gt;COUNTIF(Maximum_RawData!$A:$A,"1_Maximum"),"",INDEX(Maximum_RawData!O:O,MATCH("1_Maximum",Maximum_RawData!$A:$A,0)+ROWS($2:44)-1))</f>
        <v>0.11</v>
      </c>
      <c r="P44">
        <f>IF(ROWS($2:44)&gt;COUNTIF(Maximum_RawData!$A:$A,"1_Maximum"),"",INDEX(Maximum_RawData!P:P,MATCH("1_Maximum",Maximum_RawData!$A:$A,0)+ROWS($2:44)-1))</f>
        <v>0.08</v>
      </c>
      <c r="Q44">
        <f>IF(ROWS($2:44)&gt;COUNTIF(Maximum_RawData!$A:$A,"1_Maximum"),"",INDEX(Maximum_RawData!Q:Q,MATCH("1_Maximum",Maximum_RawData!$A:$A,0)+ROWS($2:44)-1))</f>
        <v>0.1</v>
      </c>
      <c r="R44" t="str">
        <f>IF(ROWS($2:44)&gt;COUNTIF(Maximum_RawData!$A:$A,"1_Maximum"),"",INDEX(Maximum_RawData!R:R,MATCH("1_Maximum",Maximum_RawData!$A:$A,0)+ROWS($2:44)-1))</f>
        <v>Pass</v>
      </c>
      <c r="S44">
        <f>IF(ROWS($2:44)&gt;COUNTIF(Maximum_RawData!$A:$A,"1_Maximum"),"",INDEX(Maximum_RawData!S:S,MATCH("1_Maximum",Maximum_RawData!$A:$A,0)+ROWS($2:44)-1))</f>
        <v>0</v>
      </c>
      <c r="T44">
        <f>IF(ROWS($2:44)&gt;COUNTIF(Maximum_RawData!$A:$A,"1_Maximum"),"",INDEX(Maximum_RawData!T:T,MATCH("1_Maximum",Maximum_RawData!$A:$A,0)+ROWS($2:44)-1))</f>
        <v>0</v>
      </c>
    </row>
    <row r="45" spans="1:20">
      <c r="A45" t="str">
        <f>IF(ROWS($2:45)&gt;COUNTIF(Maximum_RawData!$A:$A,"1_Maximum"),"",INDEX(Maximum_RawData!A:A,MATCH("1_Maximum",Maximum_RawData!$A:$A,0)+ROWS($2:45)-1))</f>
        <v>1_Maximum</v>
      </c>
      <c r="B45">
        <f>IF(ROWS($2:45)&gt;COUNTIF(Maximum_RawData!$A:$A,"1_Maximum"),"",INDEX(Maximum_RawData!B:B,MATCH("1_Maximum",Maximum_RawData!$A:$A,0)+ROWS($2:45)-1))</f>
        <v>145858.087</v>
      </c>
      <c r="C45">
        <f>IF(ROWS($2:45)&gt;COUNTIF(Maximum_RawData!$A:$A,"1_Maximum"),"",INDEX(Maximum_RawData!C:C,MATCH("1_Maximum",Maximum_RawData!$A:$A,0)+ROWS($2:45)-1))</f>
        <v>37.74</v>
      </c>
      <c r="D45">
        <f>IF(ROWS($2:45)&gt;COUNTIF(Maximum_RawData!$A:$A,"1_Maximum"),"",INDEX(Maximum_RawData!D:D,MATCH("1_Maximum",Maximum_RawData!$A:$A,0)+ROWS($2:45)-1))</f>
        <v>1311.77</v>
      </c>
      <c r="E45">
        <f>IF(ROWS($2:45)&gt;COUNTIF(Maximum_RawData!$A:$A,"1_Maximum"),"",INDEX(Maximum_RawData!E:E,MATCH("1_Maximum",Maximum_RawData!$A:$A,0)+ROWS($2:45)-1))</f>
        <v>5.6</v>
      </c>
      <c r="F45">
        <f>IF(ROWS($2:45)&gt;COUNTIF(Maximum_RawData!$A:$A,"1_Maximum"),"",INDEX(Maximum_RawData!F:F,MATCH("1_Maximum",Maximum_RawData!$A:$A,0)+ROWS($2:45)-1))</f>
        <v>399</v>
      </c>
      <c r="G45">
        <f>IF(ROWS($2:45)&gt;COUNTIF(Maximum_RawData!$A:$A,"1_Maximum"),"",INDEX(Maximum_RawData!G:G,MATCH("1_Maximum",Maximum_RawData!$A:$A,0)+ROWS($2:45)-1))</f>
        <v>399</v>
      </c>
      <c r="H45">
        <f>IF(ROWS($2:45)&gt;COUNTIF(Maximum_RawData!$A:$A,"1_Maximum"),"",INDEX(Maximum_RawData!H:H,MATCH("1_Maximum",Maximum_RawData!$A:$A,0)+ROWS($2:45)-1))</f>
        <v>399</v>
      </c>
      <c r="I45">
        <f>IF(ROWS($2:45)&gt;COUNTIF(Maximum_RawData!$A:$A,"1_Maximum"),"",INDEX(Maximum_RawData!I:I,MATCH("1_Maximum",Maximum_RawData!$A:$A,0)+ROWS($2:45)-1))</f>
        <v>399</v>
      </c>
      <c r="J45">
        <f>IF(ROWS($2:45)&gt;COUNTIF(Maximum_RawData!$A:$A,"1_Maximum"),"",INDEX(Maximum_RawData!J:J,MATCH("1_Maximum",Maximum_RawData!$A:$A,0)+ROWS($2:45)-1))</f>
        <v>399</v>
      </c>
      <c r="K45">
        <f>IF(ROWS($2:45)&gt;COUNTIF(Maximum_RawData!$A:$A,"1_Maximum"),"",INDEX(Maximum_RawData!K:K,MATCH("1_Maximum",Maximum_RawData!$A:$A,0)+ROWS($2:45)-1))</f>
        <v>399</v>
      </c>
      <c r="L45">
        <f>IF(ROWS($2:45)&gt;COUNTIF(Maximum_RawData!$A:$A,"1_Maximum"),"",INDEX(Maximum_RawData!L:L,MATCH("1_Maximum",Maximum_RawData!$A:$A,0)+ROWS($2:45)-1))</f>
        <v>399</v>
      </c>
      <c r="M45">
        <f>IF(ROWS($2:45)&gt;COUNTIF(Maximum_RawData!$A:$A,"1_Maximum"),"",INDEX(Maximum_RawData!M:M,MATCH("1_Maximum",Maximum_RawData!$A:$A,0)+ROWS($2:45)-1))</f>
        <v>399</v>
      </c>
      <c r="N45">
        <f>IF(ROWS($2:45)&gt;COUNTIF(Maximum_RawData!$A:$A,"1_Maximum"),"",INDEX(Maximum_RawData!N:N,MATCH("1_Maximum",Maximum_RawData!$A:$A,0)+ROWS($2:45)-1))</f>
        <v>0.08</v>
      </c>
      <c r="O45">
        <f>IF(ROWS($2:45)&gt;COUNTIF(Maximum_RawData!$A:$A,"1_Maximum"),"",INDEX(Maximum_RawData!O:O,MATCH("1_Maximum",Maximum_RawData!$A:$A,0)+ROWS($2:45)-1))</f>
        <v>0.11</v>
      </c>
      <c r="P45">
        <f>IF(ROWS($2:45)&gt;COUNTIF(Maximum_RawData!$A:$A,"1_Maximum"),"",INDEX(Maximum_RawData!P:P,MATCH("1_Maximum",Maximum_RawData!$A:$A,0)+ROWS($2:45)-1))</f>
        <v>0.08</v>
      </c>
      <c r="Q45">
        <f>IF(ROWS($2:45)&gt;COUNTIF(Maximum_RawData!$A:$A,"1_Maximum"),"",INDEX(Maximum_RawData!Q:Q,MATCH("1_Maximum",Maximum_RawData!$A:$A,0)+ROWS($2:45)-1))</f>
        <v>0.1</v>
      </c>
      <c r="R45" t="str">
        <f>IF(ROWS($2:45)&gt;COUNTIF(Maximum_RawData!$A:$A,"1_Maximum"),"",INDEX(Maximum_RawData!R:R,MATCH("1_Maximum",Maximum_RawData!$A:$A,0)+ROWS($2:45)-1))</f>
        <v>Pass</v>
      </c>
      <c r="S45">
        <f>IF(ROWS($2:45)&gt;COUNTIF(Maximum_RawData!$A:$A,"1_Maximum"),"",INDEX(Maximum_RawData!S:S,MATCH("1_Maximum",Maximum_RawData!$A:$A,0)+ROWS($2:45)-1))</f>
        <v>0</v>
      </c>
      <c r="T45">
        <f>IF(ROWS($2:45)&gt;COUNTIF(Maximum_RawData!$A:$A,"1_Maximum"),"",INDEX(Maximum_RawData!T:T,MATCH("1_Maximum",Maximum_RawData!$A:$A,0)+ROWS($2:45)-1))</f>
        <v>0</v>
      </c>
    </row>
    <row r="46" spans="1:20">
      <c r="A46" t="str">
        <f>IF(ROWS($2:46)&gt;COUNTIF(Maximum_RawData!$A:$A,"1_Maximum"),"",INDEX(Maximum_RawData!A:A,MATCH("1_Maximum",Maximum_RawData!$A:$A,0)+ROWS($2:46)-1))</f>
        <v>1_Maximum</v>
      </c>
      <c r="B46">
        <f>IF(ROWS($2:46)&gt;COUNTIF(Maximum_RawData!$A:$A,"1_Maximum"),"",INDEX(Maximum_RawData!B:B,MATCH("1_Maximum",Maximum_RawData!$A:$A,0)+ROWS($2:46)-1))</f>
        <v>145903.087</v>
      </c>
      <c r="C46">
        <f>IF(ROWS($2:46)&gt;COUNTIF(Maximum_RawData!$A:$A,"1_Maximum"),"",INDEX(Maximum_RawData!C:C,MATCH("1_Maximum",Maximum_RawData!$A:$A,0)+ROWS($2:46)-1))</f>
        <v>37.01</v>
      </c>
      <c r="D46">
        <f>IF(ROWS($2:46)&gt;COUNTIF(Maximum_RawData!$A:$A,"1_Maximum"),"",INDEX(Maximum_RawData!D:D,MATCH("1_Maximum",Maximum_RawData!$A:$A,0)+ROWS($2:46)-1))</f>
        <v>1311.691</v>
      </c>
      <c r="E46">
        <f>IF(ROWS($2:46)&gt;COUNTIF(Maximum_RawData!$A:$A,"1_Maximum"),"",INDEX(Maximum_RawData!E:E,MATCH("1_Maximum",Maximum_RawData!$A:$A,0)+ROWS($2:46)-1))</f>
        <v>5.67</v>
      </c>
      <c r="F46">
        <f>IF(ROWS($2:46)&gt;COUNTIF(Maximum_RawData!$A:$A,"1_Maximum"),"",INDEX(Maximum_RawData!F:F,MATCH("1_Maximum",Maximum_RawData!$A:$A,0)+ROWS($2:46)-1))</f>
        <v>399</v>
      </c>
      <c r="G46">
        <f>IF(ROWS($2:46)&gt;COUNTIF(Maximum_RawData!$A:$A,"1_Maximum"),"",INDEX(Maximum_RawData!G:G,MATCH("1_Maximum",Maximum_RawData!$A:$A,0)+ROWS($2:46)-1))</f>
        <v>399</v>
      </c>
      <c r="H46">
        <f>IF(ROWS($2:46)&gt;COUNTIF(Maximum_RawData!$A:$A,"1_Maximum"),"",INDEX(Maximum_RawData!H:H,MATCH("1_Maximum",Maximum_RawData!$A:$A,0)+ROWS($2:46)-1))</f>
        <v>399</v>
      </c>
      <c r="I46">
        <f>IF(ROWS($2:46)&gt;COUNTIF(Maximum_RawData!$A:$A,"1_Maximum"),"",INDEX(Maximum_RawData!I:I,MATCH("1_Maximum",Maximum_RawData!$A:$A,0)+ROWS($2:46)-1))</f>
        <v>399</v>
      </c>
      <c r="J46">
        <f>IF(ROWS($2:46)&gt;COUNTIF(Maximum_RawData!$A:$A,"1_Maximum"),"",INDEX(Maximum_RawData!J:J,MATCH("1_Maximum",Maximum_RawData!$A:$A,0)+ROWS($2:46)-1))</f>
        <v>399</v>
      </c>
      <c r="K46">
        <f>IF(ROWS($2:46)&gt;COUNTIF(Maximum_RawData!$A:$A,"1_Maximum"),"",INDEX(Maximum_RawData!K:K,MATCH("1_Maximum",Maximum_RawData!$A:$A,0)+ROWS($2:46)-1))</f>
        <v>399</v>
      </c>
      <c r="L46">
        <f>IF(ROWS($2:46)&gt;COUNTIF(Maximum_RawData!$A:$A,"1_Maximum"),"",INDEX(Maximum_RawData!L:L,MATCH("1_Maximum",Maximum_RawData!$A:$A,0)+ROWS($2:46)-1))</f>
        <v>399</v>
      </c>
      <c r="M46">
        <f>IF(ROWS($2:46)&gt;COUNTIF(Maximum_RawData!$A:$A,"1_Maximum"),"",INDEX(Maximum_RawData!M:M,MATCH("1_Maximum",Maximum_RawData!$A:$A,0)+ROWS($2:46)-1))</f>
        <v>399</v>
      </c>
      <c r="N46">
        <f>IF(ROWS($2:46)&gt;COUNTIF(Maximum_RawData!$A:$A,"1_Maximum"),"",INDEX(Maximum_RawData!N:N,MATCH("1_Maximum",Maximum_RawData!$A:$A,0)+ROWS($2:46)-1))</f>
        <v>0.11</v>
      </c>
      <c r="O46">
        <f>IF(ROWS($2:46)&gt;COUNTIF(Maximum_RawData!$A:$A,"1_Maximum"),"",INDEX(Maximum_RawData!O:O,MATCH("1_Maximum",Maximum_RawData!$A:$A,0)+ROWS($2:46)-1))</f>
        <v>0.11</v>
      </c>
      <c r="P46">
        <f>IF(ROWS($2:46)&gt;COUNTIF(Maximum_RawData!$A:$A,"1_Maximum"),"",INDEX(Maximum_RawData!P:P,MATCH("1_Maximum",Maximum_RawData!$A:$A,0)+ROWS($2:46)-1))</f>
        <v>0.08</v>
      </c>
      <c r="Q46">
        <f>IF(ROWS($2:46)&gt;COUNTIF(Maximum_RawData!$A:$A,"1_Maximum"),"",INDEX(Maximum_RawData!Q:Q,MATCH("1_Maximum",Maximum_RawData!$A:$A,0)+ROWS($2:46)-1))</f>
        <v>0.1</v>
      </c>
      <c r="R46" t="str">
        <f>IF(ROWS($2:46)&gt;COUNTIF(Maximum_RawData!$A:$A,"1_Maximum"),"",INDEX(Maximum_RawData!R:R,MATCH("1_Maximum",Maximum_RawData!$A:$A,0)+ROWS($2:46)-1))</f>
        <v>Pass</v>
      </c>
      <c r="S46">
        <f>IF(ROWS($2:46)&gt;COUNTIF(Maximum_RawData!$A:$A,"1_Maximum"),"",INDEX(Maximum_RawData!S:S,MATCH("1_Maximum",Maximum_RawData!$A:$A,0)+ROWS($2:46)-1))</f>
        <v>0</v>
      </c>
      <c r="T46">
        <f>IF(ROWS($2:46)&gt;COUNTIF(Maximum_RawData!$A:$A,"1_Maximum"),"",INDEX(Maximum_RawData!T:T,MATCH("1_Maximum",Maximum_RawData!$A:$A,0)+ROWS($2:46)-1))</f>
        <v>0</v>
      </c>
    </row>
    <row r="47" spans="1:20">
      <c r="A47" t="str">
        <f>IF(ROWS($2:47)&gt;COUNTIF(Maximum_RawData!$A:$A,"1_Maximum"),"",INDEX(Maximum_RawData!A:A,MATCH("1_Maximum",Maximum_RawData!$A:$A,0)+ROWS($2:47)-1))</f>
        <v>1_Maximum</v>
      </c>
      <c r="B47">
        <f>IF(ROWS($2:47)&gt;COUNTIF(Maximum_RawData!$A:$A,"1_Maximum"),"",INDEX(Maximum_RawData!B:B,MATCH("1_Maximum",Maximum_RawData!$A:$A,0)+ROWS($2:47)-1))</f>
        <v>145908.084</v>
      </c>
      <c r="C47">
        <f>IF(ROWS($2:47)&gt;COUNTIF(Maximum_RawData!$A:$A,"1_Maximum"),"",INDEX(Maximum_RawData!C:C,MATCH("1_Maximum",Maximum_RawData!$A:$A,0)+ROWS($2:47)-1))</f>
        <v>36.26</v>
      </c>
      <c r="D47">
        <f>IF(ROWS($2:47)&gt;COUNTIF(Maximum_RawData!$A:$A,"1_Maximum"),"",INDEX(Maximum_RawData!D:D,MATCH("1_Maximum",Maximum_RawData!$A:$A,0)+ROWS($2:47)-1))</f>
        <v>1311.6179999999999</v>
      </c>
      <c r="E47">
        <f>IF(ROWS($2:47)&gt;COUNTIF(Maximum_RawData!$A:$A,"1_Maximum"),"",INDEX(Maximum_RawData!E:E,MATCH("1_Maximum",Maximum_RawData!$A:$A,0)+ROWS($2:47)-1))</f>
        <v>5.75</v>
      </c>
      <c r="F47">
        <f>IF(ROWS($2:47)&gt;COUNTIF(Maximum_RawData!$A:$A,"1_Maximum"),"",INDEX(Maximum_RawData!F:F,MATCH("1_Maximum",Maximum_RawData!$A:$A,0)+ROWS($2:47)-1))</f>
        <v>399</v>
      </c>
      <c r="G47">
        <f>IF(ROWS($2:47)&gt;COUNTIF(Maximum_RawData!$A:$A,"1_Maximum"),"",INDEX(Maximum_RawData!G:G,MATCH("1_Maximum",Maximum_RawData!$A:$A,0)+ROWS($2:47)-1))</f>
        <v>399</v>
      </c>
      <c r="H47">
        <f>IF(ROWS($2:47)&gt;COUNTIF(Maximum_RawData!$A:$A,"1_Maximum"),"",INDEX(Maximum_RawData!H:H,MATCH("1_Maximum",Maximum_RawData!$A:$A,0)+ROWS($2:47)-1))</f>
        <v>399</v>
      </c>
      <c r="I47">
        <f>IF(ROWS($2:47)&gt;COUNTIF(Maximum_RawData!$A:$A,"1_Maximum"),"",INDEX(Maximum_RawData!I:I,MATCH("1_Maximum",Maximum_RawData!$A:$A,0)+ROWS($2:47)-1))</f>
        <v>399</v>
      </c>
      <c r="J47">
        <f>IF(ROWS($2:47)&gt;COUNTIF(Maximum_RawData!$A:$A,"1_Maximum"),"",INDEX(Maximum_RawData!J:J,MATCH("1_Maximum",Maximum_RawData!$A:$A,0)+ROWS($2:47)-1))</f>
        <v>399</v>
      </c>
      <c r="K47">
        <f>IF(ROWS($2:47)&gt;COUNTIF(Maximum_RawData!$A:$A,"1_Maximum"),"",INDEX(Maximum_RawData!K:K,MATCH("1_Maximum",Maximum_RawData!$A:$A,0)+ROWS($2:47)-1))</f>
        <v>399</v>
      </c>
      <c r="L47">
        <f>IF(ROWS($2:47)&gt;COUNTIF(Maximum_RawData!$A:$A,"1_Maximum"),"",INDEX(Maximum_RawData!L:L,MATCH("1_Maximum",Maximum_RawData!$A:$A,0)+ROWS($2:47)-1))</f>
        <v>399</v>
      </c>
      <c r="M47">
        <f>IF(ROWS($2:47)&gt;COUNTIF(Maximum_RawData!$A:$A,"1_Maximum"),"",INDEX(Maximum_RawData!M:M,MATCH("1_Maximum",Maximum_RawData!$A:$A,0)+ROWS($2:47)-1))</f>
        <v>399</v>
      </c>
      <c r="N47">
        <f>IF(ROWS($2:47)&gt;COUNTIF(Maximum_RawData!$A:$A,"1_Maximum"),"",INDEX(Maximum_RawData!N:N,MATCH("1_Maximum",Maximum_RawData!$A:$A,0)+ROWS($2:47)-1))</f>
        <v>0.1</v>
      </c>
      <c r="O47">
        <f>IF(ROWS($2:47)&gt;COUNTIF(Maximum_RawData!$A:$A,"1_Maximum"),"",INDEX(Maximum_RawData!O:O,MATCH("1_Maximum",Maximum_RawData!$A:$A,0)+ROWS($2:47)-1))</f>
        <v>0.11</v>
      </c>
      <c r="P47">
        <f>IF(ROWS($2:47)&gt;COUNTIF(Maximum_RawData!$A:$A,"1_Maximum"),"",INDEX(Maximum_RawData!P:P,MATCH("1_Maximum",Maximum_RawData!$A:$A,0)+ROWS($2:47)-1))</f>
        <v>0.08</v>
      </c>
      <c r="Q47">
        <f>IF(ROWS($2:47)&gt;COUNTIF(Maximum_RawData!$A:$A,"1_Maximum"),"",INDEX(Maximum_RawData!Q:Q,MATCH("1_Maximum",Maximum_RawData!$A:$A,0)+ROWS($2:47)-1))</f>
        <v>0.1</v>
      </c>
      <c r="R47" t="str">
        <f>IF(ROWS($2:47)&gt;COUNTIF(Maximum_RawData!$A:$A,"1_Maximum"),"",INDEX(Maximum_RawData!R:R,MATCH("1_Maximum",Maximum_RawData!$A:$A,0)+ROWS($2:47)-1))</f>
        <v>Pass</v>
      </c>
      <c r="S47">
        <f>IF(ROWS($2:47)&gt;COUNTIF(Maximum_RawData!$A:$A,"1_Maximum"),"",INDEX(Maximum_RawData!S:S,MATCH("1_Maximum",Maximum_RawData!$A:$A,0)+ROWS($2:47)-1))</f>
        <v>0</v>
      </c>
      <c r="T47">
        <f>IF(ROWS($2:47)&gt;COUNTIF(Maximum_RawData!$A:$A,"1_Maximum"),"",INDEX(Maximum_RawData!T:T,MATCH("1_Maximum",Maximum_RawData!$A:$A,0)+ROWS($2:47)-1))</f>
        <v>0</v>
      </c>
    </row>
    <row r="48" spans="1:20">
      <c r="A48" t="str">
        <f>IF(ROWS($2:48)&gt;COUNTIF(Maximum_RawData!$A:$A,"1_Maximum"),"",INDEX(Maximum_RawData!A:A,MATCH("1_Maximum",Maximum_RawData!$A:$A,0)+ROWS($2:48)-1))</f>
        <v>1_Maximum</v>
      </c>
      <c r="B48">
        <f>IF(ROWS($2:48)&gt;COUNTIF(Maximum_RawData!$A:$A,"1_Maximum"),"",INDEX(Maximum_RawData!B:B,MATCH("1_Maximum",Maximum_RawData!$A:$A,0)+ROWS($2:48)-1))</f>
        <v>145913.08799999999</v>
      </c>
      <c r="C48">
        <f>IF(ROWS($2:48)&gt;COUNTIF(Maximum_RawData!$A:$A,"1_Maximum"),"",INDEX(Maximum_RawData!C:C,MATCH("1_Maximum",Maximum_RawData!$A:$A,0)+ROWS($2:48)-1))</f>
        <v>35.53</v>
      </c>
      <c r="D48">
        <f>IF(ROWS($2:48)&gt;COUNTIF(Maximum_RawData!$A:$A,"1_Maximum"),"",INDEX(Maximum_RawData!D:D,MATCH("1_Maximum",Maximum_RawData!$A:$A,0)+ROWS($2:48)-1))</f>
        <v>1311.5540000000001</v>
      </c>
      <c r="E48">
        <f>IF(ROWS($2:48)&gt;COUNTIF(Maximum_RawData!$A:$A,"1_Maximum"),"",INDEX(Maximum_RawData!E:E,MATCH("1_Maximum",Maximum_RawData!$A:$A,0)+ROWS($2:48)-1))</f>
        <v>5.8</v>
      </c>
      <c r="F48">
        <f>IF(ROWS($2:48)&gt;COUNTIF(Maximum_RawData!$A:$A,"1_Maximum"),"",INDEX(Maximum_RawData!F:F,MATCH("1_Maximum",Maximum_RawData!$A:$A,0)+ROWS($2:48)-1))</f>
        <v>399</v>
      </c>
      <c r="G48">
        <f>IF(ROWS($2:48)&gt;COUNTIF(Maximum_RawData!$A:$A,"1_Maximum"),"",INDEX(Maximum_RawData!G:G,MATCH("1_Maximum",Maximum_RawData!$A:$A,0)+ROWS($2:48)-1))</f>
        <v>399</v>
      </c>
      <c r="H48">
        <f>IF(ROWS($2:48)&gt;COUNTIF(Maximum_RawData!$A:$A,"1_Maximum"),"",INDEX(Maximum_RawData!H:H,MATCH("1_Maximum",Maximum_RawData!$A:$A,0)+ROWS($2:48)-1))</f>
        <v>399</v>
      </c>
      <c r="I48">
        <f>IF(ROWS($2:48)&gt;COUNTIF(Maximum_RawData!$A:$A,"1_Maximum"),"",INDEX(Maximum_RawData!I:I,MATCH("1_Maximum",Maximum_RawData!$A:$A,0)+ROWS($2:48)-1))</f>
        <v>399</v>
      </c>
      <c r="J48">
        <f>IF(ROWS($2:48)&gt;COUNTIF(Maximum_RawData!$A:$A,"1_Maximum"),"",INDEX(Maximum_RawData!J:J,MATCH("1_Maximum",Maximum_RawData!$A:$A,0)+ROWS($2:48)-1))</f>
        <v>399</v>
      </c>
      <c r="K48">
        <f>IF(ROWS($2:48)&gt;COUNTIF(Maximum_RawData!$A:$A,"1_Maximum"),"",INDEX(Maximum_RawData!K:K,MATCH("1_Maximum",Maximum_RawData!$A:$A,0)+ROWS($2:48)-1))</f>
        <v>399</v>
      </c>
      <c r="L48">
        <f>IF(ROWS($2:48)&gt;COUNTIF(Maximum_RawData!$A:$A,"1_Maximum"),"",INDEX(Maximum_RawData!L:L,MATCH("1_Maximum",Maximum_RawData!$A:$A,0)+ROWS($2:48)-1))</f>
        <v>399</v>
      </c>
      <c r="M48">
        <f>IF(ROWS($2:48)&gt;COUNTIF(Maximum_RawData!$A:$A,"1_Maximum"),"",INDEX(Maximum_RawData!M:M,MATCH("1_Maximum",Maximum_RawData!$A:$A,0)+ROWS($2:48)-1))</f>
        <v>399</v>
      </c>
      <c r="N48">
        <f>IF(ROWS($2:48)&gt;COUNTIF(Maximum_RawData!$A:$A,"1_Maximum"),"",INDEX(Maximum_RawData!N:N,MATCH("1_Maximum",Maximum_RawData!$A:$A,0)+ROWS($2:48)-1))</f>
        <v>0.09</v>
      </c>
      <c r="O48">
        <f>IF(ROWS($2:48)&gt;COUNTIF(Maximum_RawData!$A:$A,"1_Maximum"),"",INDEX(Maximum_RawData!O:O,MATCH("1_Maximum",Maximum_RawData!$A:$A,0)+ROWS($2:48)-1))</f>
        <v>0.11</v>
      </c>
      <c r="P48">
        <f>IF(ROWS($2:48)&gt;COUNTIF(Maximum_RawData!$A:$A,"1_Maximum"),"",INDEX(Maximum_RawData!P:P,MATCH("1_Maximum",Maximum_RawData!$A:$A,0)+ROWS($2:48)-1))</f>
        <v>0.08</v>
      </c>
      <c r="Q48">
        <f>IF(ROWS($2:48)&gt;COUNTIF(Maximum_RawData!$A:$A,"1_Maximum"),"",INDEX(Maximum_RawData!Q:Q,MATCH("1_Maximum",Maximum_RawData!$A:$A,0)+ROWS($2:48)-1))</f>
        <v>0.1</v>
      </c>
      <c r="R48" t="str">
        <f>IF(ROWS($2:48)&gt;COUNTIF(Maximum_RawData!$A:$A,"1_Maximum"),"",INDEX(Maximum_RawData!R:R,MATCH("1_Maximum",Maximum_RawData!$A:$A,0)+ROWS($2:48)-1))</f>
        <v>Pass</v>
      </c>
      <c r="S48">
        <f>IF(ROWS($2:48)&gt;COUNTIF(Maximum_RawData!$A:$A,"1_Maximum"),"",INDEX(Maximum_RawData!S:S,MATCH("1_Maximum",Maximum_RawData!$A:$A,0)+ROWS($2:48)-1))</f>
        <v>0</v>
      </c>
      <c r="T48">
        <f>IF(ROWS($2:48)&gt;COUNTIF(Maximum_RawData!$A:$A,"1_Maximum"),"",INDEX(Maximum_RawData!T:T,MATCH("1_Maximum",Maximum_RawData!$A:$A,0)+ROWS($2:48)-1))</f>
        <v>0</v>
      </c>
    </row>
    <row r="49" spans="1:20">
      <c r="A49" t="str">
        <f>IF(ROWS($2:49)&gt;COUNTIF(Maximum_RawData!$A:$A,"1_Maximum"),"",INDEX(Maximum_RawData!A:A,MATCH("1_Maximum",Maximum_RawData!$A:$A,0)+ROWS($2:49)-1))</f>
        <v>1_Maximum</v>
      </c>
      <c r="B49">
        <f>IF(ROWS($2:49)&gt;COUNTIF(Maximum_RawData!$A:$A,"1_Maximum"),"",INDEX(Maximum_RawData!B:B,MATCH("1_Maximum",Maximum_RawData!$A:$A,0)+ROWS($2:49)-1))</f>
        <v>145918.09299999999</v>
      </c>
      <c r="C49">
        <f>IF(ROWS($2:49)&gt;COUNTIF(Maximum_RawData!$A:$A,"1_Maximum"),"",INDEX(Maximum_RawData!C:C,MATCH("1_Maximum",Maximum_RawData!$A:$A,0)+ROWS($2:49)-1))</f>
        <v>34.78</v>
      </c>
      <c r="D49">
        <f>IF(ROWS($2:49)&gt;COUNTIF(Maximum_RawData!$A:$A,"1_Maximum"),"",INDEX(Maximum_RawData!D:D,MATCH("1_Maximum",Maximum_RawData!$A:$A,0)+ROWS($2:49)-1))</f>
        <v>1311.4749999999999</v>
      </c>
      <c r="E49">
        <f>IF(ROWS($2:49)&gt;COUNTIF(Maximum_RawData!$A:$A,"1_Maximum"),"",INDEX(Maximum_RawData!E:E,MATCH("1_Maximum",Maximum_RawData!$A:$A,0)+ROWS($2:49)-1))</f>
        <v>5.96</v>
      </c>
      <c r="F49">
        <f>IF(ROWS($2:49)&gt;COUNTIF(Maximum_RawData!$A:$A,"1_Maximum"),"",INDEX(Maximum_RawData!F:F,MATCH("1_Maximum",Maximum_RawData!$A:$A,0)+ROWS($2:49)-1))</f>
        <v>399</v>
      </c>
      <c r="G49">
        <f>IF(ROWS($2:49)&gt;COUNTIF(Maximum_RawData!$A:$A,"1_Maximum"),"",INDEX(Maximum_RawData!G:G,MATCH("1_Maximum",Maximum_RawData!$A:$A,0)+ROWS($2:49)-1))</f>
        <v>399</v>
      </c>
      <c r="H49">
        <f>IF(ROWS($2:49)&gt;COUNTIF(Maximum_RawData!$A:$A,"1_Maximum"),"",INDEX(Maximum_RawData!H:H,MATCH("1_Maximum",Maximum_RawData!$A:$A,0)+ROWS($2:49)-1))</f>
        <v>399</v>
      </c>
      <c r="I49">
        <f>IF(ROWS($2:49)&gt;COUNTIF(Maximum_RawData!$A:$A,"1_Maximum"),"",INDEX(Maximum_RawData!I:I,MATCH("1_Maximum",Maximum_RawData!$A:$A,0)+ROWS($2:49)-1))</f>
        <v>399</v>
      </c>
      <c r="J49">
        <f>IF(ROWS($2:49)&gt;COUNTIF(Maximum_RawData!$A:$A,"1_Maximum"),"",INDEX(Maximum_RawData!J:J,MATCH("1_Maximum",Maximum_RawData!$A:$A,0)+ROWS($2:49)-1))</f>
        <v>399</v>
      </c>
      <c r="K49">
        <f>IF(ROWS($2:49)&gt;COUNTIF(Maximum_RawData!$A:$A,"1_Maximum"),"",INDEX(Maximum_RawData!K:K,MATCH("1_Maximum",Maximum_RawData!$A:$A,0)+ROWS($2:49)-1))</f>
        <v>399</v>
      </c>
      <c r="L49">
        <f>IF(ROWS($2:49)&gt;COUNTIF(Maximum_RawData!$A:$A,"1_Maximum"),"",INDEX(Maximum_RawData!L:L,MATCH("1_Maximum",Maximum_RawData!$A:$A,0)+ROWS($2:49)-1))</f>
        <v>399</v>
      </c>
      <c r="M49">
        <f>IF(ROWS($2:49)&gt;COUNTIF(Maximum_RawData!$A:$A,"1_Maximum"),"",INDEX(Maximum_RawData!M:M,MATCH("1_Maximum",Maximum_RawData!$A:$A,0)+ROWS($2:49)-1))</f>
        <v>399</v>
      </c>
      <c r="N49">
        <f>IF(ROWS($2:49)&gt;COUNTIF(Maximum_RawData!$A:$A,"1_Maximum"),"",INDEX(Maximum_RawData!N:N,MATCH("1_Maximum",Maximum_RawData!$A:$A,0)+ROWS($2:49)-1))</f>
        <v>0.11</v>
      </c>
      <c r="O49">
        <f>IF(ROWS($2:49)&gt;COUNTIF(Maximum_RawData!$A:$A,"1_Maximum"),"",INDEX(Maximum_RawData!O:O,MATCH("1_Maximum",Maximum_RawData!$A:$A,0)+ROWS($2:49)-1))</f>
        <v>0.11</v>
      </c>
      <c r="P49">
        <f>IF(ROWS($2:49)&gt;COUNTIF(Maximum_RawData!$A:$A,"1_Maximum"),"",INDEX(Maximum_RawData!P:P,MATCH("1_Maximum",Maximum_RawData!$A:$A,0)+ROWS($2:49)-1))</f>
        <v>0.08</v>
      </c>
      <c r="Q49">
        <f>IF(ROWS($2:49)&gt;COUNTIF(Maximum_RawData!$A:$A,"1_Maximum"),"",INDEX(Maximum_RawData!Q:Q,MATCH("1_Maximum",Maximum_RawData!$A:$A,0)+ROWS($2:49)-1))</f>
        <v>0.1</v>
      </c>
      <c r="R49" t="str">
        <f>IF(ROWS($2:49)&gt;COUNTIF(Maximum_RawData!$A:$A,"1_Maximum"),"",INDEX(Maximum_RawData!R:R,MATCH("1_Maximum",Maximum_RawData!$A:$A,0)+ROWS($2:49)-1))</f>
        <v>Pass</v>
      </c>
      <c r="S49">
        <f>IF(ROWS($2:49)&gt;COUNTIF(Maximum_RawData!$A:$A,"1_Maximum"),"",INDEX(Maximum_RawData!S:S,MATCH("1_Maximum",Maximum_RawData!$A:$A,0)+ROWS($2:49)-1))</f>
        <v>0</v>
      </c>
      <c r="T49">
        <f>IF(ROWS($2:49)&gt;COUNTIF(Maximum_RawData!$A:$A,"1_Maximum"),"",INDEX(Maximum_RawData!T:T,MATCH("1_Maximum",Maximum_RawData!$A:$A,0)+ROWS($2:49)-1))</f>
        <v>0</v>
      </c>
    </row>
    <row r="50" spans="1:20">
      <c r="A50" t="str">
        <f>IF(ROWS($2:50)&gt;COUNTIF(Maximum_RawData!$A:$A,"1_Maximum"),"",INDEX(Maximum_RawData!A:A,MATCH("1_Maximum",Maximum_RawData!$A:$A,0)+ROWS($2:50)-1))</f>
        <v>1_Maximum</v>
      </c>
      <c r="B50">
        <f>IF(ROWS($2:50)&gt;COUNTIF(Maximum_RawData!$A:$A,"1_Maximum"),"",INDEX(Maximum_RawData!B:B,MATCH("1_Maximum",Maximum_RawData!$A:$A,0)+ROWS($2:50)-1))</f>
        <v>145923.095</v>
      </c>
      <c r="C50">
        <f>IF(ROWS($2:50)&gt;COUNTIF(Maximum_RawData!$A:$A,"1_Maximum"),"",INDEX(Maximum_RawData!C:C,MATCH("1_Maximum",Maximum_RawData!$A:$A,0)+ROWS($2:50)-1))</f>
        <v>34</v>
      </c>
      <c r="D50">
        <f>IF(ROWS($2:50)&gt;COUNTIF(Maximum_RawData!$A:$A,"1_Maximum"),"",INDEX(Maximum_RawData!D:D,MATCH("1_Maximum",Maximum_RawData!$A:$A,0)+ROWS($2:50)-1))</f>
        <v>1311.403</v>
      </c>
      <c r="E50">
        <f>IF(ROWS($2:50)&gt;COUNTIF(Maximum_RawData!$A:$A,"1_Maximum"),"",INDEX(Maximum_RawData!E:E,MATCH("1_Maximum",Maximum_RawData!$A:$A,0)+ROWS($2:50)-1))</f>
        <v>6.11</v>
      </c>
      <c r="F50">
        <f>IF(ROWS($2:50)&gt;COUNTIF(Maximum_RawData!$A:$A,"1_Maximum"),"",INDEX(Maximum_RawData!F:F,MATCH("1_Maximum",Maximum_RawData!$A:$A,0)+ROWS($2:50)-1))</f>
        <v>399</v>
      </c>
      <c r="G50">
        <f>IF(ROWS($2:50)&gt;COUNTIF(Maximum_RawData!$A:$A,"1_Maximum"),"",INDEX(Maximum_RawData!G:G,MATCH("1_Maximum",Maximum_RawData!$A:$A,0)+ROWS($2:50)-1))</f>
        <v>399</v>
      </c>
      <c r="H50">
        <f>IF(ROWS($2:50)&gt;COUNTIF(Maximum_RawData!$A:$A,"1_Maximum"),"",INDEX(Maximum_RawData!H:H,MATCH("1_Maximum",Maximum_RawData!$A:$A,0)+ROWS($2:50)-1))</f>
        <v>399</v>
      </c>
      <c r="I50">
        <f>IF(ROWS($2:50)&gt;COUNTIF(Maximum_RawData!$A:$A,"1_Maximum"),"",INDEX(Maximum_RawData!I:I,MATCH("1_Maximum",Maximum_RawData!$A:$A,0)+ROWS($2:50)-1))</f>
        <v>399</v>
      </c>
      <c r="J50">
        <f>IF(ROWS($2:50)&gt;COUNTIF(Maximum_RawData!$A:$A,"1_Maximum"),"",INDEX(Maximum_RawData!J:J,MATCH("1_Maximum",Maximum_RawData!$A:$A,0)+ROWS($2:50)-1))</f>
        <v>399</v>
      </c>
      <c r="K50">
        <f>IF(ROWS($2:50)&gt;COUNTIF(Maximum_RawData!$A:$A,"1_Maximum"),"",INDEX(Maximum_RawData!K:K,MATCH("1_Maximum",Maximum_RawData!$A:$A,0)+ROWS($2:50)-1))</f>
        <v>399</v>
      </c>
      <c r="L50">
        <f>IF(ROWS($2:50)&gt;COUNTIF(Maximum_RawData!$A:$A,"1_Maximum"),"",INDEX(Maximum_RawData!L:L,MATCH("1_Maximum",Maximum_RawData!$A:$A,0)+ROWS($2:50)-1))</f>
        <v>399</v>
      </c>
      <c r="M50">
        <f>IF(ROWS($2:50)&gt;COUNTIF(Maximum_RawData!$A:$A,"1_Maximum"),"",INDEX(Maximum_RawData!M:M,MATCH("1_Maximum",Maximum_RawData!$A:$A,0)+ROWS($2:50)-1))</f>
        <v>399</v>
      </c>
      <c r="N50">
        <f>IF(ROWS($2:50)&gt;COUNTIF(Maximum_RawData!$A:$A,"1_Maximum"),"",INDEX(Maximum_RawData!N:N,MATCH("1_Maximum",Maximum_RawData!$A:$A,0)+ROWS($2:50)-1))</f>
        <v>0.09</v>
      </c>
      <c r="O50">
        <f>IF(ROWS($2:50)&gt;COUNTIF(Maximum_RawData!$A:$A,"1_Maximum"),"",INDEX(Maximum_RawData!O:O,MATCH("1_Maximum",Maximum_RawData!$A:$A,0)+ROWS($2:50)-1))</f>
        <v>0.11</v>
      </c>
      <c r="P50">
        <f>IF(ROWS($2:50)&gt;COUNTIF(Maximum_RawData!$A:$A,"1_Maximum"),"",INDEX(Maximum_RawData!P:P,MATCH("1_Maximum",Maximum_RawData!$A:$A,0)+ROWS($2:50)-1))</f>
        <v>0.08</v>
      </c>
      <c r="Q50">
        <f>IF(ROWS($2:50)&gt;COUNTIF(Maximum_RawData!$A:$A,"1_Maximum"),"",INDEX(Maximum_RawData!Q:Q,MATCH("1_Maximum",Maximum_RawData!$A:$A,0)+ROWS($2:50)-1))</f>
        <v>0.1</v>
      </c>
      <c r="R50" t="str">
        <f>IF(ROWS($2:50)&gt;COUNTIF(Maximum_RawData!$A:$A,"1_Maximum"),"",INDEX(Maximum_RawData!R:R,MATCH("1_Maximum",Maximum_RawData!$A:$A,0)+ROWS($2:50)-1))</f>
        <v>Pass</v>
      </c>
      <c r="S50">
        <f>IF(ROWS($2:50)&gt;COUNTIF(Maximum_RawData!$A:$A,"1_Maximum"),"",INDEX(Maximum_RawData!S:S,MATCH("1_Maximum",Maximum_RawData!$A:$A,0)+ROWS($2:50)-1))</f>
        <v>0</v>
      </c>
      <c r="T50">
        <f>IF(ROWS($2:50)&gt;COUNTIF(Maximum_RawData!$A:$A,"1_Maximum"),"",INDEX(Maximum_RawData!T:T,MATCH("1_Maximum",Maximum_RawData!$A:$A,0)+ROWS($2:50)-1))</f>
        <v>0</v>
      </c>
    </row>
    <row r="51" spans="1:20">
      <c r="A51" t="str">
        <f>IF(ROWS($2:51)&gt;COUNTIF(Maximum_RawData!$A:$A,"1_Maximum"),"",INDEX(Maximum_RawData!A:A,MATCH("1_Maximum",Maximum_RawData!$A:$A,0)+ROWS($2:51)-1))</f>
        <v>1_Maximum</v>
      </c>
      <c r="B51">
        <f>IF(ROWS($2:51)&gt;COUNTIF(Maximum_RawData!$A:$A,"1_Maximum"),"",INDEX(Maximum_RawData!B:B,MATCH("1_Maximum",Maximum_RawData!$A:$A,0)+ROWS($2:51)-1))</f>
        <v>145928.09599999999</v>
      </c>
      <c r="C51">
        <f>IF(ROWS($2:51)&gt;COUNTIF(Maximum_RawData!$A:$A,"1_Maximum"),"",INDEX(Maximum_RawData!C:C,MATCH("1_Maximum",Maximum_RawData!$A:$A,0)+ROWS($2:51)-1))</f>
        <v>33.26</v>
      </c>
      <c r="D51">
        <f>IF(ROWS($2:51)&gt;COUNTIF(Maximum_RawData!$A:$A,"1_Maximum"),"",INDEX(Maximum_RawData!D:D,MATCH("1_Maximum",Maximum_RawData!$A:$A,0)+ROWS($2:51)-1))</f>
        <v>1311.3309999999999</v>
      </c>
      <c r="E51">
        <f>IF(ROWS($2:51)&gt;COUNTIF(Maximum_RawData!$A:$A,"1_Maximum"),"",INDEX(Maximum_RawData!E:E,MATCH("1_Maximum",Maximum_RawData!$A:$A,0)+ROWS($2:51)-1))</f>
        <v>6.19</v>
      </c>
      <c r="F51">
        <f>IF(ROWS($2:51)&gt;COUNTIF(Maximum_RawData!$A:$A,"1_Maximum"),"",INDEX(Maximum_RawData!F:F,MATCH("1_Maximum",Maximum_RawData!$A:$A,0)+ROWS($2:51)-1))</f>
        <v>399</v>
      </c>
      <c r="G51">
        <f>IF(ROWS($2:51)&gt;COUNTIF(Maximum_RawData!$A:$A,"1_Maximum"),"",INDEX(Maximum_RawData!G:G,MATCH("1_Maximum",Maximum_RawData!$A:$A,0)+ROWS($2:51)-1))</f>
        <v>399</v>
      </c>
      <c r="H51">
        <f>IF(ROWS($2:51)&gt;COUNTIF(Maximum_RawData!$A:$A,"1_Maximum"),"",INDEX(Maximum_RawData!H:H,MATCH("1_Maximum",Maximum_RawData!$A:$A,0)+ROWS($2:51)-1))</f>
        <v>399</v>
      </c>
      <c r="I51">
        <f>IF(ROWS($2:51)&gt;COUNTIF(Maximum_RawData!$A:$A,"1_Maximum"),"",INDEX(Maximum_RawData!I:I,MATCH("1_Maximum",Maximum_RawData!$A:$A,0)+ROWS($2:51)-1))</f>
        <v>399</v>
      </c>
      <c r="J51">
        <f>IF(ROWS($2:51)&gt;COUNTIF(Maximum_RawData!$A:$A,"1_Maximum"),"",INDEX(Maximum_RawData!J:J,MATCH("1_Maximum",Maximum_RawData!$A:$A,0)+ROWS($2:51)-1))</f>
        <v>399</v>
      </c>
      <c r="K51">
        <f>IF(ROWS($2:51)&gt;COUNTIF(Maximum_RawData!$A:$A,"1_Maximum"),"",INDEX(Maximum_RawData!K:K,MATCH("1_Maximum",Maximum_RawData!$A:$A,0)+ROWS($2:51)-1))</f>
        <v>399</v>
      </c>
      <c r="L51">
        <f>IF(ROWS($2:51)&gt;COUNTIF(Maximum_RawData!$A:$A,"1_Maximum"),"",INDEX(Maximum_RawData!L:L,MATCH("1_Maximum",Maximum_RawData!$A:$A,0)+ROWS($2:51)-1))</f>
        <v>399</v>
      </c>
      <c r="M51">
        <f>IF(ROWS($2:51)&gt;COUNTIF(Maximum_RawData!$A:$A,"1_Maximum"),"",INDEX(Maximum_RawData!M:M,MATCH("1_Maximum",Maximum_RawData!$A:$A,0)+ROWS($2:51)-1))</f>
        <v>399</v>
      </c>
      <c r="N51">
        <f>IF(ROWS($2:51)&gt;COUNTIF(Maximum_RawData!$A:$A,"1_Maximum"),"",INDEX(Maximum_RawData!N:N,MATCH("1_Maximum",Maximum_RawData!$A:$A,0)+ROWS($2:51)-1))</f>
        <v>0.1</v>
      </c>
      <c r="O51">
        <f>IF(ROWS($2:51)&gt;COUNTIF(Maximum_RawData!$A:$A,"1_Maximum"),"",INDEX(Maximum_RawData!O:O,MATCH("1_Maximum",Maximum_RawData!$A:$A,0)+ROWS($2:51)-1))</f>
        <v>0.11</v>
      </c>
      <c r="P51">
        <f>IF(ROWS($2:51)&gt;COUNTIF(Maximum_RawData!$A:$A,"1_Maximum"),"",INDEX(Maximum_RawData!P:P,MATCH("1_Maximum",Maximum_RawData!$A:$A,0)+ROWS($2:51)-1))</f>
        <v>0.08</v>
      </c>
      <c r="Q51">
        <f>IF(ROWS($2:51)&gt;COUNTIF(Maximum_RawData!$A:$A,"1_Maximum"),"",INDEX(Maximum_RawData!Q:Q,MATCH("1_Maximum",Maximum_RawData!$A:$A,0)+ROWS($2:51)-1))</f>
        <v>0.1</v>
      </c>
      <c r="R51" t="str">
        <f>IF(ROWS($2:51)&gt;COUNTIF(Maximum_RawData!$A:$A,"1_Maximum"),"",INDEX(Maximum_RawData!R:R,MATCH("1_Maximum",Maximum_RawData!$A:$A,0)+ROWS($2:51)-1))</f>
        <v>Pass</v>
      </c>
      <c r="S51">
        <f>IF(ROWS($2:51)&gt;COUNTIF(Maximum_RawData!$A:$A,"1_Maximum"),"",INDEX(Maximum_RawData!S:S,MATCH("1_Maximum",Maximum_RawData!$A:$A,0)+ROWS($2:51)-1))</f>
        <v>0</v>
      </c>
      <c r="T51">
        <f>IF(ROWS($2:51)&gt;COUNTIF(Maximum_RawData!$A:$A,"1_Maximum"),"",INDEX(Maximum_RawData!T:T,MATCH("1_Maximum",Maximum_RawData!$A:$A,0)+ROWS($2:51)-1))</f>
        <v>0</v>
      </c>
    </row>
    <row r="52" spans="1:20">
      <c r="A52" t="str">
        <f>IF(ROWS($2:52)&gt;COUNTIF(Maximum_RawData!$A:$A,"1_Maximum"),"",INDEX(Maximum_RawData!A:A,MATCH("1_Maximum",Maximum_RawData!$A:$A,0)+ROWS($2:52)-1))</f>
        <v>1_Maximum</v>
      </c>
      <c r="B52">
        <f>IF(ROWS($2:52)&gt;COUNTIF(Maximum_RawData!$A:$A,"1_Maximum"),"",INDEX(Maximum_RawData!B:B,MATCH("1_Maximum",Maximum_RawData!$A:$A,0)+ROWS($2:52)-1))</f>
        <v>145933.095</v>
      </c>
      <c r="C52">
        <f>IF(ROWS($2:52)&gt;COUNTIF(Maximum_RawData!$A:$A,"1_Maximum"),"",INDEX(Maximum_RawData!C:C,MATCH("1_Maximum",Maximum_RawData!$A:$A,0)+ROWS($2:52)-1))</f>
        <v>32.51</v>
      </c>
      <c r="D52">
        <f>IF(ROWS($2:52)&gt;COUNTIF(Maximum_RawData!$A:$A,"1_Maximum"),"",INDEX(Maximum_RawData!D:D,MATCH("1_Maximum",Maximum_RawData!$A:$A,0)+ROWS($2:52)-1))</f>
        <v>1311.26</v>
      </c>
      <c r="E52">
        <f>IF(ROWS($2:52)&gt;COUNTIF(Maximum_RawData!$A:$A,"1_Maximum"),"",INDEX(Maximum_RawData!E:E,MATCH("1_Maximum",Maximum_RawData!$A:$A,0)+ROWS($2:52)-1))</f>
        <v>6.28</v>
      </c>
      <c r="F52">
        <f>IF(ROWS($2:52)&gt;COUNTIF(Maximum_RawData!$A:$A,"1_Maximum"),"",INDEX(Maximum_RawData!F:F,MATCH("1_Maximum",Maximum_RawData!$A:$A,0)+ROWS($2:52)-1))</f>
        <v>399</v>
      </c>
      <c r="G52">
        <f>IF(ROWS($2:52)&gt;COUNTIF(Maximum_RawData!$A:$A,"1_Maximum"),"",INDEX(Maximum_RawData!G:G,MATCH("1_Maximum",Maximum_RawData!$A:$A,0)+ROWS($2:52)-1))</f>
        <v>399</v>
      </c>
      <c r="H52">
        <f>IF(ROWS($2:52)&gt;COUNTIF(Maximum_RawData!$A:$A,"1_Maximum"),"",INDEX(Maximum_RawData!H:H,MATCH("1_Maximum",Maximum_RawData!$A:$A,0)+ROWS($2:52)-1))</f>
        <v>399</v>
      </c>
      <c r="I52">
        <f>IF(ROWS($2:52)&gt;COUNTIF(Maximum_RawData!$A:$A,"1_Maximum"),"",INDEX(Maximum_RawData!I:I,MATCH("1_Maximum",Maximum_RawData!$A:$A,0)+ROWS($2:52)-1))</f>
        <v>399</v>
      </c>
      <c r="J52">
        <f>IF(ROWS($2:52)&gt;COUNTIF(Maximum_RawData!$A:$A,"1_Maximum"),"",INDEX(Maximum_RawData!J:J,MATCH("1_Maximum",Maximum_RawData!$A:$A,0)+ROWS($2:52)-1))</f>
        <v>399</v>
      </c>
      <c r="K52">
        <f>IF(ROWS($2:52)&gt;COUNTIF(Maximum_RawData!$A:$A,"1_Maximum"),"",INDEX(Maximum_RawData!K:K,MATCH("1_Maximum",Maximum_RawData!$A:$A,0)+ROWS($2:52)-1))</f>
        <v>399</v>
      </c>
      <c r="L52">
        <f>IF(ROWS($2:52)&gt;COUNTIF(Maximum_RawData!$A:$A,"1_Maximum"),"",INDEX(Maximum_RawData!L:L,MATCH("1_Maximum",Maximum_RawData!$A:$A,0)+ROWS($2:52)-1))</f>
        <v>399</v>
      </c>
      <c r="M52">
        <f>IF(ROWS($2:52)&gt;COUNTIF(Maximum_RawData!$A:$A,"1_Maximum"),"",INDEX(Maximum_RawData!M:M,MATCH("1_Maximum",Maximum_RawData!$A:$A,0)+ROWS($2:52)-1))</f>
        <v>399</v>
      </c>
      <c r="N52">
        <f>IF(ROWS($2:52)&gt;COUNTIF(Maximum_RawData!$A:$A,"1_Maximum"),"",INDEX(Maximum_RawData!N:N,MATCH("1_Maximum",Maximum_RawData!$A:$A,0)+ROWS($2:52)-1))</f>
        <v>0.09</v>
      </c>
      <c r="O52">
        <f>IF(ROWS($2:52)&gt;COUNTIF(Maximum_RawData!$A:$A,"1_Maximum"),"",INDEX(Maximum_RawData!O:O,MATCH("1_Maximum",Maximum_RawData!$A:$A,0)+ROWS($2:52)-1))</f>
        <v>0.11</v>
      </c>
      <c r="P52">
        <f>IF(ROWS($2:52)&gt;COUNTIF(Maximum_RawData!$A:$A,"1_Maximum"),"",INDEX(Maximum_RawData!P:P,MATCH("1_Maximum",Maximum_RawData!$A:$A,0)+ROWS($2:52)-1))</f>
        <v>0.08</v>
      </c>
      <c r="Q52">
        <f>IF(ROWS($2:52)&gt;COUNTIF(Maximum_RawData!$A:$A,"1_Maximum"),"",INDEX(Maximum_RawData!Q:Q,MATCH("1_Maximum",Maximum_RawData!$A:$A,0)+ROWS($2:52)-1))</f>
        <v>0.1</v>
      </c>
      <c r="R52" t="str">
        <f>IF(ROWS($2:52)&gt;COUNTIF(Maximum_RawData!$A:$A,"1_Maximum"),"",INDEX(Maximum_RawData!R:R,MATCH("1_Maximum",Maximum_RawData!$A:$A,0)+ROWS($2:52)-1))</f>
        <v>Pass</v>
      </c>
      <c r="S52">
        <f>IF(ROWS($2:52)&gt;COUNTIF(Maximum_RawData!$A:$A,"1_Maximum"),"",INDEX(Maximum_RawData!S:S,MATCH("1_Maximum",Maximum_RawData!$A:$A,0)+ROWS($2:52)-1))</f>
        <v>0</v>
      </c>
      <c r="T52">
        <f>IF(ROWS($2:52)&gt;COUNTIF(Maximum_RawData!$A:$A,"1_Maximum"),"",INDEX(Maximum_RawData!T:T,MATCH("1_Maximum",Maximum_RawData!$A:$A,0)+ROWS($2:52)-1))</f>
        <v>0</v>
      </c>
    </row>
    <row r="53" spans="1:20">
      <c r="A53" t="str">
        <f>IF(ROWS($2:53)&gt;COUNTIF(Maximum_RawData!$A:$A,"1_Maximum"),"",INDEX(Maximum_RawData!A:A,MATCH("1_Maximum",Maximum_RawData!$A:$A,0)+ROWS($2:53)-1))</f>
        <v>1_Maximum</v>
      </c>
      <c r="B53">
        <f>IF(ROWS($2:53)&gt;COUNTIF(Maximum_RawData!$A:$A,"1_Maximum"),"",INDEX(Maximum_RawData!B:B,MATCH("1_Maximum",Maximum_RawData!$A:$A,0)+ROWS($2:53)-1))</f>
        <v>145938.098</v>
      </c>
      <c r="C53">
        <f>IF(ROWS($2:53)&gt;COUNTIF(Maximum_RawData!$A:$A,"1_Maximum"),"",INDEX(Maximum_RawData!C:C,MATCH("1_Maximum",Maximum_RawData!$A:$A,0)+ROWS($2:53)-1))</f>
        <v>31.78</v>
      </c>
      <c r="D53">
        <f>IF(ROWS($2:53)&gt;COUNTIF(Maximum_RawData!$A:$A,"1_Maximum"),"",INDEX(Maximum_RawData!D:D,MATCH("1_Maximum",Maximum_RawData!$A:$A,0)+ROWS($2:53)-1))</f>
        <v>1311.1880000000001</v>
      </c>
      <c r="E53">
        <f>IF(ROWS($2:53)&gt;COUNTIF(Maximum_RawData!$A:$A,"1_Maximum"),"",INDEX(Maximum_RawData!E:E,MATCH("1_Maximum",Maximum_RawData!$A:$A,0)+ROWS($2:53)-1))</f>
        <v>6.3</v>
      </c>
      <c r="F53">
        <f>IF(ROWS($2:53)&gt;COUNTIF(Maximum_RawData!$A:$A,"1_Maximum"),"",INDEX(Maximum_RawData!F:F,MATCH("1_Maximum",Maximum_RawData!$A:$A,0)+ROWS($2:53)-1))</f>
        <v>399</v>
      </c>
      <c r="G53">
        <f>IF(ROWS($2:53)&gt;COUNTIF(Maximum_RawData!$A:$A,"1_Maximum"),"",INDEX(Maximum_RawData!G:G,MATCH("1_Maximum",Maximum_RawData!$A:$A,0)+ROWS($2:53)-1))</f>
        <v>399</v>
      </c>
      <c r="H53">
        <f>IF(ROWS($2:53)&gt;COUNTIF(Maximum_RawData!$A:$A,"1_Maximum"),"",INDEX(Maximum_RawData!H:H,MATCH("1_Maximum",Maximum_RawData!$A:$A,0)+ROWS($2:53)-1))</f>
        <v>399</v>
      </c>
      <c r="I53">
        <f>IF(ROWS($2:53)&gt;COUNTIF(Maximum_RawData!$A:$A,"1_Maximum"),"",INDEX(Maximum_RawData!I:I,MATCH("1_Maximum",Maximum_RawData!$A:$A,0)+ROWS($2:53)-1))</f>
        <v>399</v>
      </c>
      <c r="J53">
        <f>IF(ROWS($2:53)&gt;COUNTIF(Maximum_RawData!$A:$A,"1_Maximum"),"",INDEX(Maximum_RawData!J:J,MATCH("1_Maximum",Maximum_RawData!$A:$A,0)+ROWS($2:53)-1))</f>
        <v>399</v>
      </c>
      <c r="K53">
        <f>IF(ROWS($2:53)&gt;COUNTIF(Maximum_RawData!$A:$A,"1_Maximum"),"",INDEX(Maximum_RawData!K:K,MATCH("1_Maximum",Maximum_RawData!$A:$A,0)+ROWS($2:53)-1))</f>
        <v>399</v>
      </c>
      <c r="L53">
        <f>IF(ROWS($2:53)&gt;COUNTIF(Maximum_RawData!$A:$A,"1_Maximum"),"",INDEX(Maximum_RawData!L:L,MATCH("1_Maximum",Maximum_RawData!$A:$A,0)+ROWS($2:53)-1))</f>
        <v>399</v>
      </c>
      <c r="M53">
        <f>IF(ROWS($2:53)&gt;COUNTIF(Maximum_RawData!$A:$A,"1_Maximum"),"",INDEX(Maximum_RawData!M:M,MATCH("1_Maximum",Maximum_RawData!$A:$A,0)+ROWS($2:53)-1))</f>
        <v>399</v>
      </c>
      <c r="N53">
        <f>IF(ROWS($2:53)&gt;COUNTIF(Maximum_RawData!$A:$A,"1_Maximum"),"",INDEX(Maximum_RawData!N:N,MATCH("1_Maximum",Maximum_RawData!$A:$A,0)+ROWS($2:53)-1))</f>
        <v>0.1</v>
      </c>
      <c r="O53">
        <f>IF(ROWS($2:53)&gt;COUNTIF(Maximum_RawData!$A:$A,"1_Maximum"),"",INDEX(Maximum_RawData!O:O,MATCH("1_Maximum",Maximum_RawData!$A:$A,0)+ROWS($2:53)-1))</f>
        <v>0.11</v>
      </c>
      <c r="P53">
        <f>IF(ROWS($2:53)&gt;COUNTIF(Maximum_RawData!$A:$A,"1_Maximum"),"",INDEX(Maximum_RawData!P:P,MATCH("1_Maximum",Maximum_RawData!$A:$A,0)+ROWS($2:53)-1))</f>
        <v>0.08</v>
      </c>
      <c r="Q53">
        <f>IF(ROWS($2:53)&gt;COUNTIF(Maximum_RawData!$A:$A,"1_Maximum"),"",INDEX(Maximum_RawData!Q:Q,MATCH("1_Maximum",Maximum_RawData!$A:$A,0)+ROWS($2:53)-1))</f>
        <v>0.1</v>
      </c>
      <c r="R53" t="str">
        <f>IF(ROWS($2:53)&gt;COUNTIF(Maximum_RawData!$A:$A,"1_Maximum"),"",INDEX(Maximum_RawData!R:R,MATCH("1_Maximum",Maximum_RawData!$A:$A,0)+ROWS($2:53)-1))</f>
        <v>Pass</v>
      </c>
      <c r="S53">
        <f>IF(ROWS($2:53)&gt;COUNTIF(Maximum_RawData!$A:$A,"1_Maximum"),"",INDEX(Maximum_RawData!S:S,MATCH("1_Maximum",Maximum_RawData!$A:$A,0)+ROWS($2:53)-1))</f>
        <v>0</v>
      </c>
      <c r="T53">
        <f>IF(ROWS($2:53)&gt;COUNTIF(Maximum_RawData!$A:$A,"1_Maximum"),"",INDEX(Maximum_RawData!T:T,MATCH("1_Maximum",Maximum_RawData!$A:$A,0)+ROWS($2:53)-1))</f>
        <v>0</v>
      </c>
    </row>
    <row r="54" spans="1:20">
      <c r="A54" t="str">
        <f>IF(ROWS($2:54)&gt;COUNTIF(Maximum_RawData!$A:$A,"1_Maximum"),"",INDEX(Maximum_RawData!A:A,MATCH("1_Maximum",Maximum_RawData!$A:$A,0)+ROWS($2:54)-1))</f>
        <v>1_Maximum</v>
      </c>
      <c r="B54">
        <f>IF(ROWS($2:54)&gt;COUNTIF(Maximum_RawData!$A:$A,"1_Maximum"),"",INDEX(Maximum_RawData!B:B,MATCH("1_Maximum",Maximum_RawData!$A:$A,0)+ROWS($2:54)-1))</f>
        <v>145943.10200000001</v>
      </c>
      <c r="C54">
        <f>IF(ROWS($2:54)&gt;COUNTIF(Maximum_RawData!$A:$A,"1_Maximum"),"",INDEX(Maximum_RawData!C:C,MATCH("1_Maximum",Maximum_RawData!$A:$A,0)+ROWS($2:54)-1))</f>
        <v>31.03</v>
      </c>
      <c r="D54">
        <f>IF(ROWS($2:54)&gt;COUNTIF(Maximum_RawData!$A:$A,"1_Maximum"),"",INDEX(Maximum_RawData!D:D,MATCH("1_Maximum",Maximum_RawData!$A:$A,0)+ROWS($2:54)-1))</f>
        <v>1311.117</v>
      </c>
      <c r="E54">
        <f>IF(ROWS($2:54)&gt;COUNTIF(Maximum_RawData!$A:$A,"1_Maximum"),"",INDEX(Maximum_RawData!E:E,MATCH("1_Maximum",Maximum_RawData!$A:$A,0)+ROWS($2:54)-1))</f>
        <v>6.33</v>
      </c>
      <c r="F54">
        <f>IF(ROWS($2:54)&gt;COUNTIF(Maximum_RawData!$A:$A,"1_Maximum"),"",INDEX(Maximum_RawData!F:F,MATCH("1_Maximum",Maximum_RawData!$A:$A,0)+ROWS($2:54)-1))</f>
        <v>399</v>
      </c>
      <c r="G54">
        <f>IF(ROWS($2:54)&gt;COUNTIF(Maximum_RawData!$A:$A,"1_Maximum"),"",INDEX(Maximum_RawData!G:G,MATCH("1_Maximum",Maximum_RawData!$A:$A,0)+ROWS($2:54)-1))</f>
        <v>399</v>
      </c>
      <c r="H54">
        <f>IF(ROWS($2:54)&gt;COUNTIF(Maximum_RawData!$A:$A,"1_Maximum"),"",INDEX(Maximum_RawData!H:H,MATCH("1_Maximum",Maximum_RawData!$A:$A,0)+ROWS($2:54)-1))</f>
        <v>399</v>
      </c>
      <c r="I54">
        <f>IF(ROWS($2:54)&gt;COUNTIF(Maximum_RawData!$A:$A,"1_Maximum"),"",INDEX(Maximum_RawData!I:I,MATCH("1_Maximum",Maximum_RawData!$A:$A,0)+ROWS($2:54)-1))</f>
        <v>399</v>
      </c>
      <c r="J54">
        <f>IF(ROWS($2:54)&gt;COUNTIF(Maximum_RawData!$A:$A,"1_Maximum"),"",INDEX(Maximum_RawData!J:J,MATCH("1_Maximum",Maximum_RawData!$A:$A,0)+ROWS($2:54)-1))</f>
        <v>399</v>
      </c>
      <c r="K54">
        <f>IF(ROWS($2:54)&gt;COUNTIF(Maximum_RawData!$A:$A,"1_Maximum"),"",INDEX(Maximum_RawData!K:K,MATCH("1_Maximum",Maximum_RawData!$A:$A,0)+ROWS($2:54)-1))</f>
        <v>399</v>
      </c>
      <c r="L54">
        <f>IF(ROWS($2:54)&gt;COUNTIF(Maximum_RawData!$A:$A,"1_Maximum"),"",INDEX(Maximum_RawData!L:L,MATCH("1_Maximum",Maximum_RawData!$A:$A,0)+ROWS($2:54)-1))</f>
        <v>399</v>
      </c>
      <c r="M54">
        <f>IF(ROWS($2:54)&gt;COUNTIF(Maximum_RawData!$A:$A,"1_Maximum"),"",INDEX(Maximum_RawData!M:M,MATCH("1_Maximum",Maximum_RawData!$A:$A,0)+ROWS($2:54)-1))</f>
        <v>399</v>
      </c>
      <c r="N54">
        <f>IF(ROWS($2:54)&gt;COUNTIF(Maximum_RawData!$A:$A,"1_Maximum"),"",INDEX(Maximum_RawData!N:N,MATCH("1_Maximum",Maximum_RawData!$A:$A,0)+ROWS($2:54)-1))</f>
        <v>0.09</v>
      </c>
      <c r="O54">
        <f>IF(ROWS($2:54)&gt;COUNTIF(Maximum_RawData!$A:$A,"1_Maximum"),"",INDEX(Maximum_RawData!O:O,MATCH("1_Maximum",Maximum_RawData!$A:$A,0)+ROWS($2:54)-1))</f>
        <v>0.11</v>
      </c>
      <c r="P54">
        <f>IF(ROWS($2:54)&gt;COUNTIF(Maximum_RawData!$A:$A,"1_Maximum"),"",INDEX(Maximum_RawData!P:P,MATCH("1_Maximum",Maximum_RawData!$A:$A,0)+ROWS($2:54)-1))</f>
        <v>0.08</v>
      </c>
      <c r="Q54">
        <f>IF(ROWS($2:54)&gt;COUNTIF(Maximum_RawData!$A:$A,"1_Maximum"),"",INDEX(Maximum_RawData!Q:Q,MATCH("1_Maximum",Maximum_RawData!$A:$A,0)+ROWS($2:54)-1))</f>
        <v>0.1</v>
      </c>
      <c r="R54" t="str">
        <f>IF(ROWS($2:54)&gt;COUNTIF(Maximum_RawData!$A:$A,"1_Maximum"),"",INDEX(Maximum_RawData!R:R,MATCH("1_Maximum",Maximum_RawData!$A:$A,0)+ROWS($2:54)-1))</f>
        <v>Pass</v>
      </c>
      <c r="S54">
        <f>IF(ROWS($2:54)&gt;COUNTIF(Maximum_RawData!$A:$A,"1_Maximum"),"",INDEX(Maximum_RawData!S:S,MATCH("1_Maximum",Maximum_RawData!$A:$A,0)+ROWS($2:54)-1))</f>
        <v>0</v>
      </c>
      <c r="T54">
        <f>IF(ROWS($2:54)&gt;COUNTIF(Maximum_RawData!$A:$A,"1_Maximum"),"",INDEX(Maximum_RawData!T:T,MATCH("1_Maximum",Maximum_RawData!$A:$A,0)+ROWS($2:54)-1))</f>
        <v>0</v>
      </c>
    </row>
    <row r="55" spans="1:20">
      <c r="A55" t="str">
        <f>IF(ROWS($2:55)&gt;COUNTIF(Maximum_RawData!$A:$A,"1_Maximum"),"",INDEX(Maximum_RawData!A:A,MATCH("1_Maximum",Maximum_RawData!$A:$A,0)+ROWS($2:55)-1))</f>
        <v>1_Maximum</v>
      </c>
      <c r="B55">
        <f>IF(ROWS($2:55)&gt;COUNTIF(Maximum_RawData!$A:$A,"1_Maximum"),"",INDEX(Maximum_RawData!B:B,MATCH("1_Maximum",Maximum_RawData!$A:$A,0)+ROWS($2:55)-1))</f>
        <v>145948.101</v>
      </c>
      <c r="C55">
        <f>IF(ROWS($2:55)&gt;COUNTIF(Maximum_RawData!$A:$A,"1_Maximum"),"",INDEX(Maximum_RawData!C:C,MATCH("1_Maximum",Maximum_RawData!$A:$A,0)+ROWS($2:55)-1))</f>
        <v>30.3</v>
      </c>
      <c r="D55">
        <f>IF(ROWS($2:55)&gt;COUNTIF(Maximum_RawData!$A:$A,"1_Maximum"),"",INDEX(Maximum_RawData!D:D,MATCH("1_Maximum",Maximum_RawData!$A:$A,0)+ROWS($2:55)-1))</f>
        <v>1311.0450000000001</v>
      </c>
      <c r="E55">
        <f>IF(ROWS($2:55)&gt;COUNTIF(Maximum_RawData!$A:$A,"1_Maximum"),"",INDEX(Maximum_RawData!E:E,MATCH("1_Maximum",Maximum_RawData!$A:$A,0)+ROWS($2:55)-1))</f>
        <v>6.48</v>
      </c>
      <c r="F55">
        <f>IF(ROWS($2:55)&gt;COUNTIF(Maximum_RawData!$A:$A,"1_Maximum"),"",INDEX(Maximum_RawData!F:F,MATCH("1_Maximum",Maximum_RawData!$A:$A,0)+ROWS($2:55)-1))</f>
        <v>399</v>
      </c>
      <c r="G55">
        <f>IF(ROWS($2:55)&gt;COUNTIF(Maximum_RawData!$A:$A,"1_Maximum"),"",INDEX(Maximum_RawData!G:G,MATCH("1_Maximum",Maximum_RawData!$A:$A,0)+ROWS($2:55)-1))</f>
        <v>399</v>
      </c>
      <c r="H55">
        <f>IF(ROWS($2:55)&gt;COUNTIF(Maximum_RawData!$A:$A,"1_Maximum"),"",INDEX(Maximum_RawData!H:H,MATCH("1_Maximum",Maximum_RawData!$A:$A,0)+ROWS($2:55)-1))</f>
        <v>399</v>
      </c>
      <c r="I55">
        <f>IF(ROWS($2:55)&gt;COUNTIF(Maximum_RawData!$A:$A,"1_Maximum"),"",INDEX(Maximum_RawData!I:I,MATCH("1_Maximum",Maximum_RawData!$A:$A,0)+ROWS($2:55)-1))</f>
        <v>399</v>
      </c>
      <c r="J55">
        <f>IF(ROWS($2:55)&gt;COUNTIF(Maximum_RawData!$A:$A,"1_Maximum"),"",INDEX(Maximum_RawData!J:J,MATCH("1_Maximum",Maximum_RawData!$A:$A,0)+ROWS($2:55)-1))</f>
        <v>399</v>
      </c>
      <c r="K55">
        <f>IF(ROWS($2:55)&gt;COUNTIF(Maximum_RawData!$A:$A,"1_Maximum"),"",INDEX(Maximum_RawData!K:K,MATCH("1_Maximum",Maximum_RawData!$A:$A,0)+ROWS($2:55)-1))</f>
        <v>399</v>
      </c>
      <c r="L55">
        <f>IF(ROWS($2:55)&gt;COUNTIF(Maximum_RawData!$A:$A,"1_Maximum"),"",INDEX(Maximum_RawData!L:L,MATCH("1_Maximum",Maximum_RawData!$A:$A,0)+ROWS($2:55)-1))</f>
        <v>399</v>
      </c>
      <c r="M55">
        <f>IF(ROWS($2:55)&gt;COUNTIF(Maximum_RawData!$A:$A,"1_Maximum"),"",INDEX(Maximum_RawData!M:M,MATCH("1_Maximum",Maximum_RawData!$A:$A,0)+ROWS($2:55)-1))</f>
        <v>399</v>
      </c>
      <c r="N55">
        <f>IF(ROWS($2:55)&gt;COUNTIF(Maximum_RawData!$A:$A,"1_Maximum"),"",INDEX(Maximum_RawData!N:N,MATCH("1_Maximum",Maximum_RawData!$A:$A,0)+ROWS($2:55)-1))</f>
        <v>0.1</v>
      </c>
      <c r="O55">
        <f>IF(ROWS($2:55)&gt;COUNTIF(Maximum_RawData!$A:$A,"1_Maximum"),"",INDEX(Maximum_RawData!O:O,MATCH("1_Maximum",Maximum_RawData!$A:$A,0)+ROWS($2:55)-1))</f>
        <v>0.11</v>
      </c>
      <c r="P55">
        <f>IF(ROWS($2:55)&gt;COUNTIF(Maximum_RawData!$A:$A,"1_Maximum"),"",INDEX(Maximum_RawData!P:P,MATCH("1_Maximum",Maximum_RawData!$A:$A,0)+ROWS($2:55)-1))</f>
        <v>0.08</v>
      </c>
      <c r="Q55">
        <f>IF(ROWS($2:55)&gt;COUNTIF(Maximum_RawData!$A:$A,"1_Maximum"),"",INDEX(Maximum_RawData!Q:Q,MATCH("1_Maximum",Maximum_RawData!$A:$A,0)+ROWS($2:55)-1))</f>
        <v>0.1</v>
      </c>
      <c r="R55" t="str">
        <f>IF(ROWS($2:55)&gt;COUNTIF(Maximum_RawData!$A:$A,"1_Maximum"),"",INDEX(Maximum_RawData!R:R,MATCH("1_Maximum",Maximum_RawData!$A:$A,0)+ROWS($2:55)-1))</f>
        <v>Pass</v>
      </c>
      <c r="S55">
        <f>IF(ROWS($2:55)&gt;COUNTIF(Maximum_RawData!$A:$A,"1_Maximum"),"",INDEX(Maximum_RawData!S:S,MATCH("1_Maximum",Maximum_RawData!$A:$A,0)+ROWS($2:55)-1))</f>
        <v>0</v>
      </c>
      <c r="T55">
        <f>IF(ROWS($2:55)&gt;COUNTIF(Maximum_RawData!$A:$A,"1_Maximum"),"",INDEX(Maximum_RawData!T:T,MATCH("1_Maximum",Maximum_RawData!$A:$A,0)+ROWS($2:55)-1))</f>
        <v>0</v>
      </c>
    </row>
    <row r="56" spans="1:20">
      <c r="A56" t="str">
        <f>IF(ROWS($2:56)&gt;COUNTIF(Maximum_RawData!$A:$A,"1_Maximum"),"",INDEX(Maximum_RawData!A:A,MATCH("1_Maximum",Maximum_RawData!$A:$A,0)+ROWS($2:56)-1))</f>
        <v>1_Maximum</v>
      </c>
      <c r="B56">
        <f>IF(ROWS($2:56)&gt;COUNTIF(Maximum_RawData!$A:$A,"1_Maximum"),"",INDEX(Maximum_RawData!B:B,MATCH("1_Maximum",Maximum_RawData!$A:$A,0)+ROWS($2:56)-1))</f>
        <v>145953.09899999999</v>
      </c>
      <c r="C56">
        <f>IF(ROWS($2:56)&gt;COUNTIF(Maximum_RawData!$A:$A,"1_Maximum"),"",INDEX(Maximum_RawData!C:C,MATCH("1_Maximum",Maximum_RawData!$A:$A,0)+ROWS($2:56)-1))</f>
        <v>29.54</v>
      </c>
      <c r="D56">
        <f>IF(ROWS($2:56)&gt;COUNTIF(Maximum_RawData!$A:$A,"1_Maximum"),"",INDEX(Maximum_RawData!D:D,MATCH("1_Maximum",Maximum_RawData!$A:$A,0)+ROWS($2:56)-1))</f>
        <v>1310.981</v>
      </c>
      <c r="E56">
        <f>IF(ROWS($2:56)&gt;COUNTIF(Maximum_RawData!$A:$A,"1_Maximum"),"",INDEX(Maximum_RawData!E:E,MATCH("1_Maximum",Maximum_RawData!$A:$A,0)+ROWS($2:56)-1))</f>
        <v>6.6</v>
      </c>
      <c r="F56">
        <f>IF(ROWS($2:56)&gt;COUNTIF(Maximum_RawData!$A:$A,"1_Maximum"),"",INDEX(Maximum_RawData!F:F,MATCH("1_Maximum",Maximum_RawData!$A:$A,0)+ROWS($2:56)-1))</f>
        <v>399</v>
      </c>
      <c r="G56">
        <f>IF(ROWS($2:56)&gt;COUNTIF(Maximum_RawData!$A:$A,"1_Maximum"),"",INDEX(Maximum_RawData!G:G,MATCH("1_Maximum",Maximum_RawData!$A:$A,0)+ROWS($2:56)-1))</f>
        <v>399</v>
      </c>
      <c r="H56">
        <f>IF(ROWS($2:56)&gt;COUNTIF(Maximum_RawData!$A:$A,"1_Maximum"),"",INDEX(Maximum_RawData!H:H,MATCH("1_Maximum",Maximum_RawData!$A:$A,0)+ROWS($2:56)-1))</f>
        <v>399</v>
      </c>
      <c r="I56">
        <f>IF(ROWS($2:56)&gt;COUNTIF(Maximum_RawData!$A:$A,"1_Maximum"),"",INDEX(Maximum_RawData!I:I,MATCH("1_Maximum",Maximum_RawData!$A:$A,0)+ROWS($2:56)-1))</f>
        <v>399</v>
      </c>
      <c r="J56">
        <f>IF(ROWS($2:56)&gt;COUNTIF(Maximum_RawData!$A:$A,"1_Maximum"),"",INDEX(Maximum_RawData!J:J,MATCH("1_Maximum",Maximum_RawData!$A:$A,0)+ROWS($2:56)-1))</f>
        <v>399</v>
      </c>
      <c r="K56">
        <f>IF(ROWS($2:56)&gt;COUNTIF(Maximum_RawData!$A:$A,"1_Maximum"),"",INDEX(Maximum_RawData!K:K,MATCH("1_Maximum",Maximum_RawData!$A:$A,0)+ROWS($2:56)-1))</f>
        <v>399</v>
      </c>
      <c r="L56">
        <f>IF(ROWS($2:56)&gt;COUNTIF(Maximum_RawData!$A:$A,"1_Maximum"),"",INDEX(Maximum_RawData!L:L,MATCH("1_Maximum",Maximum_RawData!$A:$A,0)+ROWS($2:56)-1))</f>
        <v>399</v>
      </c>
      <c r="M56">
        <f>IF(ROWS($2:56)&gt;COUNTIF(Maximum_RawData!$A:$A,"1_Maximum"),"",INDEX(Maximum_RawData!M:M,MATCH("1_Maximum",Maximum_RawData!$A:$A,0)+ROWS($2:56)-1))</f>
        <v>399</v>
      </c>
      <c r="N56">
        <f>IF(ROWS($2:56)&gt;COUNTIF(Maximum_RawData!$A:$A,"1_Maximum"),"",INDEX(Maximum_RawData!N:N,MATCH("1_Maximum",Maximum_RawData!$A:$A,0)+ROWS($2:56)-1))</f>
        <v>0.08</v>
      </c>
      <c r="O56">
        <f>IF(ROWS($2:56)&gt;COUNTIF(Maximum_RawData!$A:$A,"1_Maximum"),"",INDEX(Maximum_RawData!O:O,MATCH("1_Maximum",Maximum_RawData!$A:$A,0)+ROWS($2:56)-1))</f>
        <v>0.11</v>
      </c>
      <c r="P56">
        <f>IF(ROWS($2:56)&gt;COUNTIF(Maximum_RawData!$A:$A,"1_Maximum"),"",INDEX(Maximum_RawData!P:P,MATCH("1_Maximum",Maximum_RawData!$A:$A,0)+ROWS($2:56)-1))</f>
        <v>0.08</v>
      </c>
      <c r="Q56">
        <f>IF(ROWS($2:56)&gt;COUNTIF(Maximum_RawData!$A:$A,"1_Maximum"),"",INDEX(Maximum_RawData!Q:Q,MATCH("1_Maximum",Maximum_RawData!$A:$A,0)+ROWS($2:56)-1))</f>
        <v>0.1</v>
      </c>
      <c r="R56" t="str">
        <f>IF(ROWS($2:56)&gt;COUNTIF(Maximum_RawData!$A:$A,"1_Maximum"),"",INDEX(Maximum_RawData!R:R,MATCH("1_Maximum",Maximum_RawData!$A:$A,0)+ROWS($2:56)-1))</f>
        <v>Pass</v>
      </c>
      <c r="S56">
        <f>IF(ROWS($2:56)&gt;COUNTIF(Maximum_RawData!$A:$A,"1_Maximum"),"",INDEX(Maximum_RawData!S:S,MATCH("1_Maximum",Maximum_RawData!$A:$A,0)+ROWS($2:56)-1))</f>
        <v>0</v>
      </c>
      <c r="T56">
        <f>IF(ROWS($2:56)&gt;COUNTIF(Maximum_RawData!$A:$A,"1_Maximum"),"",INDEX(Maximum_RawData!T:T,MATCH("1_Maximum",Maximum_RawData!$A:$A,0)+ROWS($2:56)-1))</f>
        <v>0</v>
      </c>
    </row>
    <row r="57" spans="1:20">
      <c r="A57" t="str">
        <f>IF(ROWS($2:57)&gt;COUNTIF(Maximum_RawData!$A:$A,"1_Maximum"),"",INDEX(Maximum_RawData!A:A,MATCH("1_Maximum",Maximum_RawData!$A:$A,0)+ROWS($2:57)-1))</f>
        <v>1_Maximum</v>
      </c>
      <c r="B57">
        <f>IF(ROWS($2:57)&gt;COUNTIF(Maximum_RawData!$A:$A,"1_Maximum"),"",INDEX(Maximum_RawData!B:B,MATCH("1_Maximum",Maximum_RawData!$A:$A,0)+ROWS($2:57)-1))</f>
        <v>145958.10200000001</v>
      </c>
      <c r="C57">
        <f>IF(ROWS($2:57)&gt;COUNTIF(Maximum_RawData!$A:$A,"1_Maximum"),"",INDEX(Maximum_RawData!C:C,MATCH("1_Maximum",Maximum_RawData!$A:$A,0)+ROWS($2:57)-1))</f>
        <v>28.81</v>
      </c>
      <c r="D57">
        <f>IF(ROWS($2:57)&gt;COUNTIF(Maximum_RawData!$A:$A,"1_Maximum"),"",INDEX(Maximum_RawData!D:D,MATCH("1_Maximum",Maximum_RawData!$A:$A,0)+ROWS($2:57)-1))</f>
        <v>1310.902</v>
      </c>
      <c r="E57">
        <f>IF(ROWS($2:57)&gt;COUNTIF(Maximum_RawData!$A:$A,"1_Maximum"),"",INDEX(Maximum_RawData!E:E,MATCH("1_Maximum",Maximum_RawData!$A:$A,0)+ROWS($2:57)-1))</f>
        <v>6.66</v>
      </c>
      <c r="F57">
        <f>IF(ROWS($2:57)&gt;COUNTIF(Maximum_RawData!$A:$A,"1_Maximum"),"",INDEX(Maximum_RawData!F:F,MATCH("1_Maximum",Maximum_RawData!$A:$A,0)+ROWS($2:57)-1))</f>
        <v>399</v>
      </c>
      <c r="G57">
        <f>IF(ROWS($2:57)&gt;COUNTIF(Maximum_RawData!$A:$A,"1_Maximum"),"",INDEX(Maximum_RawData!G:G,MATCH("1_Maximum",Maximum_RawData!$A:$A,0)+ROWS($2:57)-1))</f>
        <v>399</v>
      </c>
      <c r="H57">
        <f>IF(ROWS($2:57)&gt;COUNTIF(Maximum_RawData!$A:$A,"1_Maximum"),"",INDEX(Maximum_RawData!H:H,MATCH("1_Maximum",Maximum_RawData!$A:$A,0)+ROWS($2:57)-1))</f>
        <v>399</v>
      </c>
      <c r="I57">
        <f>IF(ROWS($2:57)&gt;COUNTIF(Maximum_RawData!$A:$A,"1_Maximum"),"",INDEX(Maximum_RawData!I:I,MATCH("1_Maximum",Maximum_RawData!$A:$A,0)+ROWS($2:57)-1))</f>
        <v>399</v>
      </c>
      <c r="J57">
        <f>IF(ROWS($2:57)&gt;COUNTIF(Maximum_RawData!$A:$A,"1_Maximum"),"",INDEX(Maximum_RawData!J:J,MATCH("1_Maximum",Maximum_RawData!$A:$A,0)+ROWS($2:57)-1))</f>
        <v>399</v>
      </c>
      <c r="K57">
        <f>IF(ROWS($2:57)&gt;COUNTIF(Maximum_RawData!$A:$A,"1_Maximum"),"",INDEX(Maximum_RawData!K:K,MATCH("1_Maximum",Maximum_RawData!$A:$A,0)+ROWS($2:57)-1))</f>
        <v>399</v>
      </c>
      <c r="L57">
        <f>IF(ROWS($2:57)&gt;COUNTIF(Maximum_RawData!$A:$A,"1_Maximum"),"",INDEX(Maximum_RawData!L:L,MATCH("1_Maximum",Maximum_RawData!$A:$A,0)+ROWS($2:57)-1))</f>
        <v>399</v>
      </c>
      <c r="M57">
        <f>IF(ROWS($2:57)&gt;COUNTIF(Maximum_RawData!$A:$A,"1_Maximum"),"",INDEX(Maximum_RawData!M:M,MATCH("1_Maximum",Maximum_RawData!$A:$A,0)+ROWS($2:57)-1))</f>
        <v>399</v>
      </c>
      <c r="N57">
        <f>IF(ROWS($2:57)&gt;COUNTIF(Maximum_RawData!$A:$A,"1_Maximum"),"",INDEX(Maximum_RawData!N:N,MATCH("1_Maximum",Maximum_RawData!$A:$A,0)+ROWS($2:57)-1))</f>
        <v>0.11</v>
      </c>
      <c r="O57">
        <f>IF(ROWS($2:57)&gt;COUNTIF(Maximum_RawData!$A:$A,"1_Maximum"),"",INDEX(Maximum_RawData!O:O,MATCH("1_Maximum",Maximum_RawData!$A:$A,0)+ROWS($2:57)-1))</f>
        <v>0.11</v>
      </c>
      <c r="P57">
        <f>IF(ROWS($2:57)&gt;COUNTIF(Maximum_RawData!$A:$A,"1_Maximum"),"",INDEX(Maximum_RawData!P:P,MATCH("1_Maximum",Maximum_RawData!$A:$A,0)+ROWS($2:57)-1))</f>
        <v>0.08</v>
      </c>
      <c r="Q57">
        <f>IF(ROWS($2:57)&gt;COUNTIF(Maximum_RawData!$A:$A,"1_Maximum"),"",INDEX(Maximum_RawData!Q:Q,MATCH("1_Maximum",Maximum_RawData!$A:$A,0)+ROWS($2:57)-1))</f>
        <v>0.1</v>
      </c>
      <c r="R57" t="str">
        <f>IF(ROWS($2:57)&gt;COUNTIF(Maximum_RawData!$A:$A,"1_Maximum"),"",INDEX(Maximum_RawData!R:R,MATCH("1_Maximum",Maximum_RawData!$A:$A,0)+ROWS($2:57)-1))</f>
        <v>Pass</v>
      </c>
      <c r="S57">
        <f>IF(ROWS($2:57)&gt;COUNTIF(Maximum_RawData!$A:$A,"1_Maximum"),"",INDEX(Maximum_RawData!S:S,MATCH("1_Maximum",Maximum_RawData!$A:$A,0)+ROWS($2:57)-1))</f>
        <v>0</v>
      </c>
      <c r="T57">
        <f>IF(ROWS($2:57)&gt;COUNTIF(Maximum_RawData!$A:$A,"1_Maximum"),"",INDEX(Maximum_RawData!T:T,MATCH("1_Maximum",Maximum_RawData!$A:$A,0)+ROWS($2:57)-1))</f>
        <v>0</v>
      </c>
    </row>
    <row r="58" spans="1:20">
      <c r="A58" t="str">
        <f>IF(ROWS($2:58)&gt;COUNTIF(Maximum_RawData!$A:$A,"1_Maximum"),"",INDEX(Maximum_RawData!A:A,MATCH("1_Maximum",Maximum_RawData!$A:$A,0)+ROWS($2:58)-1))</f>
        <v>1_Maximum</v>
      </c>
      <c r="B58">
        <f>IF(ROWS($2:58)&gt;COUNTIF(Maximum_RawData!$A:$A,"1_Maximum"),"",INDEX(Maximum_RawData!B:B,MATCH("1_Maximum",Maximum_RawData!$A:$A,0)+ROWS($2:58)-1))</f>
        <v>150003.10699999999</v>
      </c>
      <c r="C58">
        <f>IF(ROWS($2:58)&gt;COUNTIF(Maximum_RawData!$A:$A,"1_Maximum"),"",INDEX(Maximum_RawData!C:C,MATCH("1_Maximum",Maximum_RawData!$A:$A,0)+ROWS($2:58)-1))</f>
        <v>28.06</v>
      </c>
      <c r="D58">
        <f>IF(ROWS($2:58)&gt;COUNTIF(Maximum_RawData!$A:$A,"1_Maximum"),"",INDEX(Maximum_RawData!D:D,MATCH("1_Maximum",Maximum_RawData!$A:$A,0)+ROWS($2:58)-1))</f>
        <v>1310.83</v>
      </c>
      <c r="E58">
        <f>IF(ROWS($2:58)&gt;COUNTIF(Maximum_RawData!$A:$A,"1_Maximum"),"",INDEX(Maximum_RawData!E:E,MATCH("1_Maximum",Maximum_RawData!$A:$A,0)+ROWS($2:58)-1))</f>
        <v>6.8</v>
      </c>
      <c r="F58">
        <f>IF(ROWS($2:58)&gt;COUNTIF(Maximum_RawData!$A:$A,"1_Maximum"),"",INDEX(Maximum_RawData!F:F,MATCH("1_Maximum",Maximum_RawData!$A:$A,0)+ROWS($2:58)-1))</f>
        <v>399</v>
      </c>
      <c r="G58">
        <f>IF(ROWS($2:58)&gt;COUNTIF(Maximum_RawData!$A:$A,"1_Maximum"),"",INDEX(Maximum_RawData!G:G,MATCH("1_Maximum",Maximum_RawData!$A:$A,0)+ROWS($2:58)-1))</f>
        <v>399</v>
      </c>
      <c r="H58">
        <f>IF(ROWS($2:58)&gt;COUNTIF(Maximum_RawData!$A:$A,"1_Maximum"),"",INDEX(Maximum_RawData!H:H,MATCH("1_Maximum",Maximum_RawData!$A:$A,0)+ROWS($2:58)-1))</f>
        <v>399</v>
      </c>
      <c r="I58">
        <f>IF(ROWS($2:58)&gt;COUNTIF(Maximum_RawData!$A:$A,"1_Maximum"),"",INDEX(Maximum_RawData!I:I,MATCH("1_Maximum",Maximum_RawData!$A:$A,0)+ROWS($2:58)-1))</f>
        <v>399</v>
      </c>
      <c r="J58">
        <f>IF(ROWS($2:58)&gt;COUNTIF(Maximum_RawData!$A:$A,"1_Maximum"),"",INDEX(Maximum_RawData!J:J,MATCH("1_Maximum",Maximum_RawData!$A:$A,0)+ROWS($2:58)-1))</f>
        <v>399</v>
      </c>
      <c r="K58">
        <f>IF(ROWS($2:58)&gt;COUNTIF(Maximum_RawData!$A:$A,"1_Maximum"),"",INDEX(Maximum_RawData!K:K,MATCH("1_Maximum",Maximum_RawData!$A:$A,0)+ROWS($2:58)-1))</f>
        <v>399</v>
      </c>
      <c r="L58">
        <f>IF(ROWS($2:58)&gt;COUNTIF(Maximum_RawData!$A:$A,"1_Maximum"),"",INDEX(Maximum_RawData!L:L,MATCH("1_Maximum",Maximum_RawData!$A:$A,0)+ROWS($2:58)-1))</f>
        <v>399</v>
      </c>
      <c r="M58">
        <f>IF(ROWS($2:58)&gt;COUNTIF(Maximum_RawData!$A:$A,"1_Maximum"),"",INDEX(Maximum_RawData!M:M,MATCH("1_Maximum",Maximum_RawData!$A:$A,0)+ROWS($2:58)-1))</f>
        <v>399</v>
      </c>
      <c r="N58">
        <f>IF(ROWS($2:58)&gt;COUNTIF(Maximum_RawData!$A:$A,"1_Maximum"),"",INDEX(Maximum_RawData!N:N,MATCH("1_Maximum",Maximum_RawData!$A:$A,0)+ROWS($2:58)-1))</f>
        <v>0.1</v>
      </c>
      <c r="O58">
        <f>IF(ROWS($2:58)&gt;COUNTIF(Maximum_RawData!$A:$A,"1_Maximum"),"",INDEX(Maximum_RawData!O:O,MATCH("1_Maximum",Maximum_RawData!$A:$A,0)+ROWS($2:58)-1))</f>
        <v>0.11</v>
      </c>
      <c r="P58">
        <f>IF(ROWS($2:58)&gt;COUNTIF(Maximum_RawData!$A:$A,"1_Maximum"),"",INDEX(Maximum_RawData!P:P,MATCH("1_Maximum",Maximum_RawData!$A:$A,0)+ROWS($2:58)-1))</f>
        <v>0.08</v>
      </c>
      <c r="Q58">
        <f>IF(ROWS($2:58)&gt;COUNTIF(Maximum_RawData!$A:$A,"1_Maximum"),"",INDEX(Maximum_RawData!Q:Q,MATCH("1_Maximum",Maximum_RawData!$A:$A,0)+ROWS($2:58)-1))</f>
        <v>0.1</v>
      </c>
      <c r="R58" t="str">
        <f>IF(ROWS($2:58)&gt;COUNTIF(Maximum_RawData!$A:$A,"1_Maximum"),"",INDEX(Maximum_RawData!R:R,MATCH("1_Maximum",Maximum_RawData!$A:$A,0)+ROWS($2:58)-1))</f>
        <v>Pass</v>
      </c>
      <c r="S58">
        <f>IF(ROWS($2:58)&gt;COUNTIF(Maximum_RawData!$A:$A,"1_Maximum"),"",INDEX(Maximum_RawData!S:S,MATCH("1_Maximum",Maximum_RawData!$A:$A,0)+ROWS($2:58)-1))</f>
        <v>0</v>
      </c>
      <c r="T58">
        <f>IF(ROWS($2:58)&gt;COUNTIF(Maximum_RawData!$A:$A,"1_Maximum"),"",INDEX(Maximum_RawData!T:T,MATCH("1_Maximum",Maximum_RawData!$A:$A,0)+ROWS($2:58)-1))</f>
        <v>0</v>
      </c>
    </row>
    <row r="59" spans="1:20">
      <c r="A59" t="str">
        <f>IF(ROWS($2:59)&gt;COUNTIF(Maximum_RawData!$A:$A,"1_Maximum"),"",INDEX(Maximum_RawData!A:A,MATCH("1_Maximum",Maximum_RawData!$A:$A,0)+ROWS($2:59)-1))</f>
        <v>1_Maximum</v>
      </c>
      <c r="B59">
        <f>IF(ROWS($2:59)&gt;COUNTIF(Maximum_RawData!$A:$A,"1_Maximum"),"",INDEX(Maximum_RawData!B:B,MATCH("1_Maximum",Maximum_RawData!$A:$A,0)+ROWS($2:59)-1))</f>
        <v>150008.10500000001</v>
      </c>
      <c r="C59">
        <f>IF(ROWS($2:59)&gt;COUNTIF(Maximum_RawData!$A:$A,"1_Maximum"),"",INDEX(Maximum_RawData!C:C,MATCH("1_Maximum",Maximum_RawData!$A:$A,0)+ROWS($2:59)-1))</f>
        <v>27.3</v>
      </c>
      <c r="D59">
        <f>IF(ROWS($2:59)&gt;COUNTIF(Maximum_RawData!$A:$A,"1_Maximum"),"",INDEX(Maximum_RawData!D:D,MATCH("1_Maximum",Maximum_RawData!$A:$A,0)+ROWS($2:59)-1))</f>
        <v>1310.759</v>
      </c>
      <c r="E59">
        <f>IF(ROWS($2:59)&gt;COUNTIF(Maximum_RawData!$A:$A,"1_Maximum"),"",INDEX(Maximum_RawData!E:E,MATCH("1_Maximum",Maximum_RawData!$A:$A,0)+ROWS($2:59)-1))</f>
        <v>6.9</v>
      </c>
      <c r="F59">
        <f>IF(ROWS($2:59)&gt;COUNTIF(Maximum_RawData!$A:$A,"1_Maximum"),"",INDEX(Maximum_RawData!F:F,MATCH("1_Maximum",Maximum_RawData!$A:$A,0)+ROWS($2:59)-1))</f>
        <v>399</v>
      </c>
      <c r="G59">
        <f>IF(ROWS($2:59)&gt;COUNTIF(Maximum_RawData!$A:$A,"1_Maximum"),"",INDEX(Maximum_RawData!G:G,MATCH("1_Maximum",Maximum_RawData!$A:$A,0)+ROWS($2:59)-1))</f>
        <v>399</v>
      </c>
      <c r="H59">
        <f>IF(ROWS($2:59)&gt;COUNTIF(Maximum_RawData!$A:$A,"1_Maximum"),"",INDEX(Maximum_RawData!H:H,MATCH("1_Maximum",Maximum_RawData!$A:$A,0)+ROWS($2:59)-1))</f>
        <v>399</v>
      </c>
      <c r="I59">
        <f>IF(ROWS($2:59)&gt;COUNTIF(Maximum_RawData!$A:$A,"1_Maximum"),"",INDEX(Maximum_RawData!I:I,MATCH("1_Maximum",Maximum_RawData!$A:$A,0)+ROWS($2:59)-1))</f>
        <v>399</v>
      </c>
      <c r="J59">
        <f>IF(ROWS($2:59)&gt;COUNTIF(Maximum_RawData!$A:$A,"1_Maximum"),"",INDEX(Maximum_RawData!J:J,MATCH("1_Maximum",Maximum_RawData!$A:$A,0)+ROWS($2:59)-1))</f>
        <v>399</v>
      </c>
      <c r="K59">
        <f>IF(ROWS($2:59)&gt;COUNTIF(Maximum_RawData!$A:$A,"1_Maximum"),"",INDEX(Maximum_RawData!K:K,MATCH("1_Maximum",Maximum_RawData!$A:$A,0)+ROWS($2:59)-1))</f>
        <v>399</v>
      </c>
      <c r="L59">
        <f>IF(ROWS($2:59)&gt;COUNTIF(Maximum_RawData!$A:$A,"1_Maximum"),"",INDEX(Maximum_RawData!L:L,MATCH("1_Maximum",Maximum_RawData!$A:$A,0)+ROWS($2:59)-1))</f>
        <v>399</v>
      </c>
      <c r="M59">
        <f>IF(ROWS($2:59)&gt;COUNTIF(Maximum_RawData!$A:$A,"1_Maximum"),"",INDEX(Maximum_RawData!M:M,MATCH("1_Maximum",Maximum_RawData!$A:$A,0)+ROWS($2:59)-1))</f>
        <v>399</v>
      </c>
      <c r="N59">
        <f>IF(ROWS($2:59)&gt;COUNTIF(Maximum_RawData!$A:$A,"1_Maximum"),"",INDEX(Maximum_RawData!N:N,MATCH("1_Maximum",Maximum_RawData!$A:$A,0)+ROWS($2:59)-1))</f>
        <v>0.09</v>
      </c>
      <c r="O59">
        <f>IF(ROWS($2:59)&gt;COUNTIF(Maximum_RawData!$A:$A,"1_Maximum"),"",INDEX(Maximum_RawData!O:O,MATCH("1_Maximum",Maximum_RawData!$A:$A,0)+ROWS($2:59)-1))</f>
        <v>0.11</v>
      </c>
      <c r="P59">
        <f>IF(ROWS($2:59)&gt;COUNTIF(Maximum_RawData!$A:$A,"1_Maximum"),"",INDEX(Maximum_RawData!P:P,MATCH("1_Maximum",Maximum_RawData!$A:$A,0)+ROWS($2:59)-1))</f>
        <v>0.08</v>
      </c>
      <c r="Q59">
        <f>IF(ROWS($2:59)&gt;COUNTIF(Maximum_RawData!$A:$A,"1_Maximum"),"",INDEX(Maximum_RawData!Q:Q,MATCH("1_Maximum",Maximum_RawData!$A:$A,0)+ROWS($2:59)-1))</f>
        <v>0.1</v>
      </c>
      <c r="R59" t="str">
        <f>IF(ROWS($2:59)&gt;COUNTIF(Maximum_RawData!$A:$A,"1_Maximum"),"",INDEX(Maximum_RawData!R:R,MATCH("1_Maximum",Maximum_RawData!$A:$A,0)+ROWS($2:59)-1))</f>
        <v>Pass</v>
      </c>
      <c r="S59">
        <f>IF(ROWS($2:59)&gt;COUNTIF(Maximum_RawData!$A:$A,"1_Maximum"),"",INDEX(Maximum_RawData!S:S,MATCH("1_Maximum",Maximum_RawData!$A:$A,0)+ROWS($2:59)-1))</f>
        <v>0</v>
      </c>
      <c r="T59">
        <f>IF(ROWS($2:59)&gt;COUNTIF(Maximum_RawData!$A:$A,"1_Maximum"),"",INDEX(Maximum_RawData!T:T,MATCH("1_Maximum",Maximum_RawData!$A:$A,0)+ROWS($2:59)-1))</f>
        <v>0</v>
      </c>
    </row>
    <row r="60" spans="1:20">
      <c r="A60" t="str">
        <f>IF(ROWS($2:60)&gt;COUNTIF(Maximum_RawData!$A:$A,"1_Maximum"),"",INDEX(Maximum_RawData!A:A,MATCH("1_Maximum",Maximum_RawData!$A:$A,0)+ROWS($2:60)-1))</f>
        <v>1_Maximum</v>
      </c>
      <c r="B60">
        <f>IF(ROWS($2:60)&gt;COUNTIF(Maximum_RawData!$A:$A,"1_Maximum"),"",INDEX(Maximum_RawData!B:B,MATCH("1_Maximum",Maximum_RawData!$A:$A,0)+ROWS($2:60)-1))</f>
        <v>150013.10699999999</v>
      </c>
      <c r="C60">
        <f>IF(ROWS($2:60)&gt;COUNTIF(Maximum_RawData!$A:$A,"1_Maximum"),"",INDEX(Maximum_RawData!C:C,MATCH("1_Maximum",Maximum_RawData!$A:$A,0)+ROWS($2:60)-1))</f>
        <v>26.57</v>
      </c>
      <c r="D60">
        <f>IF(ROWS($2:60)&gt;COUNTIF(Maximum_RawData!$A:$A,"1_Maximum"),"",INDEX(Maximum_RawData!D:D,MATCH("1_Maximum",Maximum_RawData!$A:$A,0)+ROWS($2:60)-1))</f>
        <v>1310.694</v>
      </c>
      <c r="E60">
        <f>IF(ROWS($2:60)&gt;COUNTIF(Maximum_RawData!$A:$A,"1_Maximum"),"",INDEX(Maximum_RawData!E:E,MATCH("1_Maximum",Maximum_RawData!$A:$A,0)+ROWS($2:60)-1))</f>
        <v>6.92</v>
      </c>
      <c r="F60">
        <f>IF(ROWS($2:60)&gt;COUNTIF(Maximum_RawData!$A:$A,"1_Maximum"),"",INDEX(Maximum_RawData!F:F,MATCH("1_Maximum",Maximum_RawData!$A:$A,0)+ROWS($2:60)-1))</f>
        <v>399</v>
      </c>
      <c r="G60">
        <f>IF(ROWS($2:60)&gt;COUNTIF(Maximum_RawData!$A:$A,"1_Maximum"),"",INDEX(Maximum_RawData!G:G,MATCH("1_Maximum",Maximum_RawData!$A:$A,0)+ROWS($2:60)-1))</f>
        <v>399</v>
      </c>
      <c r="H60">
        <f>IF(ROWS($2:60)&gt;COUNTIF(Maximum_RawData!$A:$A,"1_Maximum"),"",INDEX(Maximum_RawData!H:H,MATCH("1_Maximum",Maximum_RawData!$A:$A,0)+ROWS($2:60)-1))</f>
        <v>399</v>
      </c>
      <c r="I60">
        <f>IF(ROWS($2:60)&gt;COUNTIF(Maximum_RawData!$A:$A,"1_Maximum"),"",INDEX(Maximum_RawData!I:I,MATCH("1_Maximum",Maximum_RawData!$A:$A,0)+ROWS($2:60)-1))</f>
        <v>399</v>
      </c>
      <c r="J60">
        <f>IF(ROWS($2:60)&gt;COUNTIF(Maximum_RawData!$A:$A,"1_Maximum"),"",INDEX(Maximum_RawData!J:J,MATCH("1_Maximum",Maximum_RawData!$A:$A,0)+ROWS($2:60)-1))</f>
        <v>399</v>
      </c>
      <c r="K60">
        <f>IF(ROWS($2:60)&gt;COUNTIF(Maximum_RawData!$A:$A,"1_Maximum"),"",INDEX(Maximum_RawData!K:K,MATCH("1_Maximum",Maximum_RawData!$A:$A,0)+ROWS($2:60)-1))</f>
        <v>399</v>
      </c>
      <c r="L60">
        <f>IF(ROWS($2:60)&gt;COUNTIF(Maximum_RawData!$A:$A,"1_Maximum"),"",INDEX(Maximum_RawData!L:L,MATCH("1_Maximum",Maximum_RawData!$A:$A,0)+ROWS($2:60)-1))</f>
        <v>399</v>
      </c>
      <c r="M60">
        <f>IF(ROWS($2:60)&gt;COUNTIF(Maximum_RawData!$A:$A,"1_Maximum"),"",INDEX(Maximum_RawData!M:M,MATCH("1_Maximum",Maximum_RawData!$A:$A,0)+ROWS($2:60)-1))</f>
        <v>399</v>
      </c>
      <c r="N60">
        <f>IF(ROWS($2:60)&gt;COUNTIF(Maximum_RawData!$A:$A,"1_Maximum"),"",INDEX(Maximum_RawData!N:N,MATCH("1_Maximum",Maximum_RawData!$A:$A,0)+ROWS($2:60)-1))</f>
        <v>0.09</v>
      </c>
      <c r="O60">
        <f>IF(ROWS($2:60)&gt;COUNTIF(Maximum_RawData!$A:$A,"1_Maximum"),"",INDEX(Maximum_RawData!O:O,MATCH("1_Maximum",Maximum_RawData!$A:$A,0)+ROWS($2:60)-1))</f>
        <v>0.11</v>
      </c>
      <c r="P60">
        <f>IF(ROWS($2:60)&gt;COUNTIF(Maximum_RawData!$A:$A,"1_Maximum"),"",INDEX(Maximum_RawData!P:P,MATCH("1_Maximum",Maximum_RawData!$A:$A,0)+ROWS($2:60)-1))</f>
        <v>0.08</v>
      </c>
      <c r="Q60">
        <f>IF(ROWS($2:60)&gt;COUNTIF(Maximum_RawData!$A:$A,"1_Maximum"),"",INDEX(Maximum_RawData!Q:Q,MATCH("1_Maximum",Maximum_RawData!$A:$A,0)+ROWS($2:60)-1))</f>
        <v>0.1</v>
      </c>
      <c r="R60" t="str">
        <f>IF(ROWS($2:60)&gt;COUNTIF(Maximum_RawData!$A:$A,"1_Maximum"),"",INDEX(Maximum_RawData!R:R,MATCH("1_Maximum",Maximum_RawData!$A:$A,0)+ROWS($2:60)-1))</f>
        <v>Pass</v>
      </c>
      <c r="S60">
        <f>IF(ROWS($2:60)&gt;COUNTIF(Maximum_RawData!$A:$A,"1_Maximum"),"",INDEX(Maximum_RawData!S:S,MATCH("1_Maximum",Maximum_RawData!$A:$A,0)+ROWS($2:60)-1))</f>
        <v>0</v>
      </c>
      <c r="T60">
        <f>IF(ROWS($2:60)&gt;COUNTIF(Maximum_RawData!$A:$A,"1_Maximum"),"",INDEX(Maximum_RawData!T:T,MATCH("1_Maximum",Maximum_RawData!$A:$A,0)+ROWS($2:60)-1))</f>
        <v>0</v>
      </c>
    </row>
    <row r="61" spans="1:20">
      <c r="A61" t="str">
        <f>IF(ROWS($2:61)&gt;COUNTIF(Maximum_RawData!$A:$A,"1_Maximum"),"",INDEX(Maximum_RawData!A:A,MATCH("1_Maximum",Maximum_RawData!$A:$A,0)+ROWS($2:61)-1))</f>
        <v>1_Maximum</v>
      </c>
      <c r="B61">
        <f>IF(ROWS($2:61)&gt;COUNTIF(Maximum_RawData!$A:$A,"1_Maximum"),"",INDEX(Maximum_RawData!B:B,MATCH("1_Maximum",Maximum_RawData!$A:$A,0)+ROWS($2:61)-1))</f>
        <v>150018.103</v>
      </c>
      <c r="C61">
        <f>IF(ROWS($2:61)&gt;COUNTIF(Maximum_RawData!$A:$A,"1_Maximum"),"",INDEX(Maximum_RawData!C:C,MATCH("1_Maximum",Maximum_RawData!$A:$A,0)+ROWS($2:61)-1))</f>
        <v>25.81</v>
      </c>
      <c r="D61">
        <f>IF(ROWS($2:61)&gt;COUNTIF(Maximum_RawData!$A:$A,"1_Maximum"),"",INDEX(Maximum_RawData!D:D,MATCH("1_Maximum",Maximum_RawData!$A:$A,0)+ROWS($2:61)-1))</f>
        <v>1310.614</v>
      </c>
      <c r="E61">
        <f>IF(ROWS($2:61)&gt;COUNTIF(Maximum_RawData!$A:$A,"1_Maximum"),"",INDEX(Maximum_RawData!E:E,MATCH("1_Maximum",Maximum_RawData!$A:$A,0)+ROWS($2:61)-1))</f>
        <v>6.95</v>
      </c>
      <c r="F61">
        <f>IF(ROWS($2:61)&gt;COUNTIF(Maximum_RawData!$A:$A,"1_Maximum"),"",INDEX(Maximum_RawData!F:F,MATCH("1_Maximum",Maximum_RawData!$A:$A,0)+ROWS($2:61)-1))</f>
        <v>399</v>
      </c>
      <c r="G61">
        <f>IF(ROWS($2:61)&gt;COUNTIF(Maximum_RawData!$A:$A,"1_Maximum"),"",INDEX(Maximum_RawData!G:G,MATCH("1_Maximum",Maximum_RawData!$A:$A,0)+ROWS($2:61)-1))</f>
        <v>399</v>
      </c>
      <c r="H61">
        <f>IF(ROWS($2:61)&gt;COUNTIF(Maximum_RawData!$A:$A,"1_Maximum"),"",INDEX(Maximum_RawData!H:H,MATCH("1_Maximum",Maximum_RawData!$A:$A,0)+ROWS($2:61)-1))</f>
        <v>399</v>
      </c>
      <c r="I61">
        <f>IF(ROWS($2:61)&gt;COUNTIF(Maximum_RawData!$A:$A,"1_Maximum"),"",INDEX(Maximum_RawData!I:I,MATCH("1_Maximum",Maximum_RawData!$A:$A,0)+ROWS($2:61)-1))</f>
        <v>399</v>
      </c>
      <c r="J61">
        <f>IF(ROWS($2:61)&gt;COUNTIF(Maximum_RawData!$A:$A,"1_Maximum"),"",INDEX(Maximum_RawData!J:J,MATCH("1_Maximum",Maximum_RawData!$A:$A,0)+ROWS($2:61)-1))</f>
        <v>399</v>
      </c>
      <c r="K61">
        <f>IF(ROWS($2:61)&gt;COUNTIF(Maximum_RawData!$A:$A,"1_Maximum"),"",INDEX(Maximum_RawData!K:K,MATCH("1_Maximum",Maximum_RawData!$A:$A,0)+ROWS($2:61)-1))</f>
        <v>399</v>
      </c>
      <c r="L61">
        <f>IF(ROWS($2:61)&gt;COUNTIF(Maximum_RawData!$A:$A,"1_Maximum"),"",INDEX(Maximum_RawData!L:L,MATCH("1_Maximum",Maximum_RawData!$A:$A,0)+ROWS($2:61)-1))</f>
        <v>399</v>
      </c>
      <c r="M61">
        <f>IF(ROWS($2:61)&gt;COUNTIF(Maximum_RawData!$A:$A,"1_Maximum"),"",INDEX(Maximum_RawData!M:M,MATCH("1_Maximum",Maximum_RawData!$A:$A,0)+ROWS($2:61)-1))</f>
        <v>399</v>
      </c>
      <c r="N61">
        <f>IF(ROWS($2:61)&gt;COUNTIF(Maximum_RawData!$A:$A,"1_Maximum"),"",INDEX(Maximum_RawData!N:N,MATCH("1_Maximum",Maximum_RawData!$A:$A,0)+ROWS($2:61)-1))</f>
        <v>0.11</v>
      </c>
      <c r="O61">
        <f>IF(ROWS($2:61)&gt;COUNTIF(Maximum_RawData!$A:$A,"1_Maximum"),"",INDEX(Maximum_RawData!O:O,MATCH("1_Maximum",Maximum_RawData!$A:$A,0)+ROWS($2:61)-1))</f>
        <v>0.11</v>
      </c>
      <c r="P61">
        <f>IF(ROWS($2:61)&gt;COUNTIF(Maximum_RawData!$A:$A,"1_Maximum"),"",INDEX(Maximum_RawData!P:P,MATCH("1_Maximum",Maximum_RawData!$A:$A,0)+ROWS($2:61)-1))</f>
        <v>0.08</v>
      </c>
      <c r="Q61">
        <f>IF(ROWS($2:61)&gt;COUNTIF(Maximum_RawData!$A:$A,"1_Maximum"),"",INDEX(Maximum_RawData!Q:Q,MATCH("1_Maximum",Maximum_RawData!$A:$A,0)+ROWS($2:61)-1))</f>
        <v>0.1</v>
      </c>
      <c r="R61" t="str">
        <f>IF(ROWS($2:61)&gt;COUNTIF(Maximum_RawData!$A:$A,"1_Maximum"),"",INDEX(Maximum_RawData!R:R,MATCH("1_Maximum",Maximum_RawData!$A:$A,0)+ROWS($2:61)-1))</f>
        <v>Pass</v>
      </c>
      <c r="S61">
        <f>IF(ROWS($2:61)&gt;COUNTIF(Maximum_RawData!$A:$A,"1_Maximum"),"",INDEX(Maximum_RawData!S:S,MATCH("1_Maximum",Maximum_RawData!$A:$A,0)+ROWS($2:61)-1))</f>
        <v>0</v>
      </c>
      <c r="T61">
        <f>IF(ROWS($2:61)&gt;COUNTIF(Maximum_RawData!$A:$A,"1_Maximum"),"",INDEX(Maximum_RawData!T:T,MATCH("1_Maximum",Maximum_RawData!$A:$A,0)+ROWS($2:61)-1))</f>
        <v>0</v>
      </c>
    </row>
    <row r="62" spans="1:20">
      <c r="A62" t="str">
        <f>IF(ROWS($2:62)&gt;COUNTIF(Maximum_RawData!$A:$A,"1_Maximum"),"",INDEX(Maximum_RawData!A:A,MATCH("1_Maximum",Maximum_RawData!$A:$A,0)+ROWS($2:62)-1))</f>
        <v>1_Maximum</v>
      </c>
      <c r="B62">
        <f>IF(ROWS($2:62)&gt;COUNTIF(Maximum_RawData!$A:$A,"1_Maximum"),"",INDEX(Maximum_RawData!B:B,MATCH("1_Maximum",Maximum_RawData!$A:$A,0)+ROWS($2:62)-1))</f>
        <v>150023.106</v>
      </c>
      <c r="C62">
        <f>IF(ROWS($2:62)&gt;COUNTIF(Maximum_RawData!$A:$A,"1_Maximum"),"",INDEX(Maximum_RawData!C:C,MATCH("1_Maximum",Maximum_RawData!$A:$A,0)+ROWS($2:62)-1))</f>
        <v>25.09</v>
      </c>
      <c r="D62">
        <f>IF(ROWS($2:62)&gt;COUNTIF(Maximum_RawData!$A:$A,"1_Maximum"),"",INDEX(Maximum_RawData!D:D,MATCH("1_Maximum",Maximum_RawData!$A:$A,0)+ROWS($2:62)-1))</f>
        <v>1310.5419999999999</v>
      </c>
      <c r="E62">
        <f>IF(ROWS($2:62)&gt;COUNTIF(Maximum_RawData!$A:$A,"1_Maximum"),"",INDEX(Maximum_RawData!E:E,MATCH("1_Maximum",Maximum_RawData!$A:$A,0)+ROWS($2:62)-1))</f>
        <v>7.05</v>
      </c>
      <c r="F62">
        <f>IF(ROWS($2:62)&gt;COUNTIF(Maximum_RawData!$A:$A,"1_Maximum"),"",INDEX(Maximum_RawData!F:F,MATCH("1_Maximum",Maximum_RawData!$A:$A,0)+ROWS($2:62)-1))</f>
        <v>399</v>
      </c>
      <c r="G62">
        <f>IF(ROWS($2:62)&gt;COUNTIF(Maximum_RawData!$A:$A,"1_Maximum"),"",INDEX(Maximum_RawData!G:G,MATCH("1_Maximum",Maximum_RawData!$A:$A,0)+ROWS($2:62)-1))</f>
        <v>399</v>
      </c>
      <c r="H62">
        <f>IF(ROWS($2:62)&gt;COUNTIF(Maximum_RawData!$A:$A,"1_Maximum"),"",INDEX(Maximum_RawData!H:H,MATCH("1_Maximum",Maximum_RawData!$A:$A,0)+ROWS($2:62)-1))</f>
        <v>399</v>
      </c>
      <c r="I62">
        <f>IF(ROWS($2:62)&gt;COUNTIF(Maximum_RawData!$A:$A,"1_Maximum"),"",INDEX(Maximum_RawData!I:I,MATCH("1_Maximum",Maximum_RawData!$A:$A,0)+ROWS($2:62)-1))</f>
        <v>399</v>
      </c>
      <c r="J62">
        <f>IF(ROWS($2:62)&gt;COUNTIF(Maximum_RawData!$A:$A,"1_Maximum"),"",INDEX(Maximum_RawData!J:J,MATCH("1_Maximum",Maximum_RawData!$A:$A,0)+ROWS($2:62)-1))</f>
        <v>399</v>
      </c>
      <c r="K62">
        <f>IF(ROWS($2:62)&gt;COUNTIF(Maximum_RawData!$A:$A,"1_Maximum"),"",INDEX(Maximum_RawData!K:K,MATCH("1_Maximum",Maximum_RawData!$A:$A,0)+ROWS($2:62)-1))</f>
        <v>399</v>
      </c>
      <c r="L62">
        <f>IF(ROWS($2:62)&gt;COUNTIF(Maximum_RawData!$A:$A,"1_Maximum"),"",INDEX(Maximum_RawData!L:L,MATCH("1_Maximum",Maximum_RawData!$A:$A,0)+ROWS($2:62)-1))</f>
        <v>399</v>
      </c>
      <c r="M62">
        <f>IF(ROWS($2:62)&gt;COUNTIF(Maximum_RawData!$A:$A,"1_Maximum"),"",INDEX(Maximum_RawData!M:M,MATCH("1_Maximum",Maximum_RawData!$A:$A,0)+ROWS($2:62)-1))</f>
        <v>399</v>
      </c>
      <c r="N62">
        <f>IF(ROWS($2:62)&gt;COUNTIF(Maximum_RawData!$A:$A,"1_Maximum"),"",INDEX(Maximum_RawData!N:N,MATCH("1_Maximum",Maximum_RawData!$A:$A,0)+ROWS($2:62)-1))</f>
        <v>0.1</v>
      </c>
      <c r="O62">
        <f>IF(ROWS($2:62)&gt;COUNTIF(Maximum_RawData!$A:$A,"1_Maximum"),"",INDEX(Maximum_RawData!O:O,MATCH("1_Maximum",Maximum_RawData!$A:$A,0)+ROWS($2:62)-1))</f>
        <v>0.11</v>
      </c>
      <c r="P62">
        <f>IF(ROWS($2:62)&gt;COUNTIF(Maximum_RawData!$A:$A,"1_Maximum"),"",INDEX(Maximum_RawData!P:P,MATCH("1_Maximum",Maximum_RawData!$A:$A,0)+ROWS($2:62)-1))</f>
        <v>0.08</v>
      </c>
      <c r="Q62">
        <f>IF(ROWS($2:62)&gt;COUNTIF(Maximum_RawData!$A:$A,"1_Maximum"),"",INDEX(Maximum_RawData!Q:Q,MATCH("1_Maximum",Maximum_RawData!$A:$A,0)+ROWS($2:62)-1))</f>
        <v>0.1</v>
      </c>
      <c r="R62" t="str">
        <f>IF(ROWS($2:62)&gt;COUNTIF(Maximum_RawData!$A:$A,"1_Maximum"),"",INDEX(Maximum_RawData!R:R,MATCH("1_Maximum",Maximum_RawData!$A:$A,0)+ROWS($2:62)-1))</f>
        <v>Pass</v>
      </c>
      <c r="S62">
        <f>IF(ROWS($2:62)&gt;COUNTIF(Maximum_RawData!$A:$A,"1_Maximum"),"",INDEX(Maximum_RawData!S:S,MATCH("1_Maximum",Maximum_RawData!$A:$A,0)+ROWS($2:62)-1))</f>
        <v>0</v>
      </c>
      <c r="T62">
        <f>IF(ROWS($2:62)&gt;COUNTIF(Maximum_RawData!$A:$A,"1_Maximum"),"",INDEX(Maximum_RawData!T:T,MATCH("1_Maximum",Maximum_RawData!$A:$A,0)+ROWS($2:62)-1))</f>
        <v>0</v>
      </c>
    </row>
    <row r="63" spans="1:20">
      <c r="A63" t="str">
        <f>IF(ROWS($2:63)&gt;COUNTIF(Maximum_RawData!$A:$A,"1_Maximum"),"",INDEX(Maximum_RawData!A:A,MATCH("1_Maximum",Maximum_RawData!$A:$A,0)+ROWS($2:63)-1))</f>
        <v>1_Maximum</v>
      </c>
      <c r="B63">
        <f>IF(ROWS($2:63)&gt;COUNTIF(Maximum_RawData!$A:$A,"1_Maximum"),"",INDEX(Maximum_RawData!B:B,MATCH("1_Maximum",Maximum_RawData!$A:$A,0)+ROWS($2:63)-1))</f>
        <v>150028.101</v>
      </c>
      <c r="C63">
        <f>IF(ROWS($2:63)&gt;COUNTIF(Maximum_RawData!$A:$A,"1_Maximum"),"",INDEX(Maximum_RawData!C:C,MATCH("1_Maximum",Maximum_RawData!$A:$A,0)+ROWS($2:63)-1))</f>
        <v>24.32</v>
      </c>
      <c r="D63">
        <f>IF(ROWS($2:63)&gt;COUNTIF(Maximum_RawData!$A:$A,"1_Maximum"),"",INDEX(Maximum_RawData!D:D,MATCH("1_Maximum",Maximum_RawData!$A:$A,0)+ROWS($2:63)-1))</f>
        <v>1310.472</v>
      </c>
      <c r="E63">
        <f>IF(ROWS($2:63)&gt;COUNTIF(Maximum_RawData!$A:$A,"1_Maximum"),"",INDEX(Maximum_RawData!E:E,MATCH("1_Maximum",Maximum_RawData!$A:$A,0)+ROWS($2:63)-1))</f>
        <v>6.97</v>
      </c>
      <c r="F63">
        <f>IF(ROWS($2:63)&gt;COUNTIF(Maximum_RawData!$A:$A,"1_Maximum"),"",INDEX(Maximum_RawData!F:F,MATCH("1_Maximum",Maximum_RawData!$A:$A,0)+ROWS($2:63)-1))</f>
        <v>399</v>
      </c>
      <c r="G63">
        <f>IF(ROWS($2:63)&gt;COUNTIF(Maximum_RawData!$A:$A,"1_Maximum"),"",INDEX(Maximum_RawData!G:G,MATCH("1_Maximum",Maximum_RawData!$A:$A,0)+ROWS($2:63)-1))</f>
        <v>399</v>
      </c>
      <c r="H63">
        <f>IF(ROWS($2:63)&gt;COUNTIF(Maximum_RawData!$A:$A,"1_Maximum"),"",INDEX(Maximum_RawData!H:H,MATCH("1_Maximum",Maximum_RawData!$A:$A,0)+ROWS($2:63)-1))</f>
        <v>399</v>
      </c>
      <c r="I63">
        <f>IF(ROWS($2:63)&gt;COUNTIF(Maximum_RawData!$A:$A,"1_Maximum"),"",INDEX(Maximum_RawData!I:I,MATCH("1_Maximum",Maximum_RawData!$A:$A,0)+ROWS($2:63)-1))</f>
        <v>399</v>
      </c>
      <c r="J63">
        <f>IF(ROWS($2:63)&gt;COUNTIF(Maximum_RawData!$A:$A,"1_Maximum"),"",INDEX(Maximum_RawData!J:J,MATCH("1_Maximum",Maximum_RawData!$A:$A,0)+ROWS($2:63)-1))</f>
        <v>399</v>
      </c>
      <c r="K63">
        <f>IF(ROWS($2:63)&gt;COUNTIF(Maximum_RawData!$A:$A,"1_Maximum"),"",INDEX(Maximum_RawData!K:K,MATCH("1_Maximum",Maximum_RawData!$A:$A,0)+ROWS($2:63)-1))</f>
        <v>399</v>
      </c>
      <c r="L63">
        <f>IF(ROWS($2:63)&gt;COUNTIF(Maximum_RawData!$A:$A,"1_Maximum"),"",INDEX(Maximum_RawData!L:L,MATCH("1_Maximum",Maximum_RawData!$A:$A,0)+ROWS($2:63)-1))</f>
        <v>399</v>
      </c>
      <c r="M63">
        <f>IF(ROWS($2:63)&gt;COUNTIF(Maximum_RawData!$A:$A,"1_Maximum"),"",INDEX(Maximum_RawData!M:M,MATCH("1_Maximum",Maximum_RawData!$A:$A,0)+ROWS($2:63)-1))</f>
        <v>399</v>
      </c>
      <c r="N63">
        <f>IF(ROWS($2:63)&gt;COUNTIF(Maximum_RawData!$A:$A,"1_Maximum"),"",INDEX(Maximum_RawData!N:N,MATCH("1_Maximum",Maximum_RawData!$A:$A,0)+ROWS($2:63)-1))</f>
        <v>0.09</v>
      </c>
      <c r="O63">
        <f>IF(ROWS($2:63)&gt;COUNTIF(Maximum_RawData!$A:$A,"1_Maximum"),"",INDEX(Maximum_RawData!O:O,MATCH("1_Maximum",Maximum_RawData!$A:$A,0)+ROWS($2:63)-1))</f>
        <v>0.11</v>
      </c>
      <c r="P63">
        <f>IF(ROWS($2:63)&gt;COUNTIF(Maximum_RawData!$A:$A,"1_Maximum"),"",INDEX(Maximum_RawData!P:P,MATCH("1_Maximum",Maximum_RawData!$A:$A,0)+ROWS($2:63)-1))</f>
        <v>0.08</v>
      </c>
      <c r="Q63">
        <f>IF(ROWS($2:63)&gt;COUNTIF(Maximum_RawData!$A:$A,"1_Maximum"),"",INDEX(Maximum_RawData!Q:Q,MATCH("1_Maximum",Maximum_RawData!$A:$A,0)+ROWS($2:63)-1))</f>
        <v>0.1</v>
      </c>
      <c r="R63" t="str">
        <f>IF(ROWS($2:63)&gt;COUNTIF(Maximum_RawData!$A:$A,"1_Maximum"),"",INDEX(Maximum_RawData!R:R,MATCH("1_Maximum",Maximum_RawData!$A:$A,0)+ROWS($2:63)-1))</f>
        <v>Pass</v>
      </c>
      <c r="S63">
        <f>IF(ROWS($2:63)&gt;COUNTIF(Maximum_RawData!$A:$A,"1_Maximum"),"",INDEX(Maximum_RawData!S:S,MATCH("1_Maximum",Maximum_RawData!$A:$A,0)+ROWS($2:63)-1))</f>
        <v>0</v>
      </c>
      <c r="T63">
        <f>IF(ROWS($2:63)&gt;COUNTIF(Maximum_RawData!$A:$A,"1_Maximum"),"",INDEX(Maximum_RawData!T:T,MATCH("1_Maximum",Maximum_RawData!$A:$A,0)+ROWS($2:63)-1))</f>
        <v>0</v>
      </c>
    </row>
    <row r="64" spans="1:20">
      <c r="A64" t="str">
        <f>IF(ROWS($2:64)&gt;COUNTIF(Maximum_RawData!$A:$A,"1_Maximum"),"",INDEX(Maximum_RawData!A:A,MATCH("1_Maximum",Maximum_RawData!$A:$A,0)+ROWS($2:64)-1))</f>
        <v>1_Maximum</v>
      </c>
      <c r="B64">
        <f>IF(ROWS($2:64)&gt;COUNTIF(Maximum_RawData!$A:$A,"1_Maximum"),"",INDEX(Maximum_RawData!B:B,MATCH("1_Maximum",Maximum_RawData!$A:$A,0)+ROWS($2:64)-1))</f>
        <v>150033.10999999999</v>
      </c>
      <c r="C64">
        <f>IF(ROWS($2:64)&gt;COUNTIF(Maximum_RawData!$A:$A,"1_Maximum"),"",INDEX(Maximum_RawData!C:C,MATCH("1_Maximum",Maximum_RawData!$A:$A,0)+ROWS($2:64)-1))</f>
        <v>23.61</v>
      </c>
      <c r="D64">
        <f>IF(ROWS($2:64)&gt;COUNTIF(Maximum_RawData!$A:$A,"1_Maximum"),"",INDEX(Maximum_RawData!D:D,MATCH("1_Maximum",Maximum_RawData!$A:$A,0)+ROWS($2:64)-1))</f>
        <v>1310.4010000000001</v>
      </c>
      <c r="E64">
        <f>IF(ROWS($2:64)&gt;COUNTIF(Maximum_RawData!$A:$A,"1_Maximum"),"",INDEX(Maximum_RawData!E:E,MATCH("1_Maximum",Maximum_RawData!$A:$A,0)+ROWS($2:64)-1))</f>
        <v>7.12</v>
      </c>
      <c r="F64">
        <f>IF(ROWS($2:64)&gt;COUNTIF(Maximum_RawData!$A:$A,"1_Maximum"),"",INDEX(Maximum_RawData!F:F,MATCH("1_Maximum",Maximum_RawData!$A:$A,0)+ROWS($2:64)-1))</f>
        <v>399</v>
      </c>
      <c r="G64">
        <f>IF(ROWS($2:64)&gt;COUNTIF(Maximum_RawData!$A:$A,"1_Maximum"),"",INDEX(Maximum_RawData!G:G,MATCH("1_Maximum",Maximum_RawData!$A:$A,0)+ROWS($2:64)-1))</f>
        <v>399</v>
      </c>
      <c r="H64">
        <f>IF(ROWS($2:64)&gt;COUNTIF(Maximum_RawData!$A:$A,"1_Maximum"),"",INDEX(Maximum_RawData!H:H,MATCH("1_Maximum",Maximum_RawData!$A:$A,0)+ROWS($2:64)-1))</f>
        <v>399</v>
      </c>
      <c r="I64">
        <f>IF(ROWS($2:64)&gt;COUNTIF(Maximum_RawData!$A:$A,"1_Maximum"),"",INDEX(Maximum_RawData!I:I,MATCH("1_Maximum",Maximum_RawData!$A:$A,0)+ROWS($2:64)-1))</f>
        <v>399</v>
      </c>
      <c r="J64">
        <f>IF(ROWS($2:64)&gt;COUNTIF(Maximum_RawData!$A:$A,"1_Maximum"),"",INDEX(Maximum_RawData!J:J,MATCH("1_Maximum",Maximum_RawData!$A:$A,0)+ROWS($2:64)-1))</f>
        <v>399</v>
      </c>
      <c r="K64">
        <f>IF(ROWS($2:64)&gt;COUNTIF(Maximum_RawData!$A:$A,"1_Maximum"),"",INDEX(Maximum_RawData!K:K,MATCH("1_Maximum",Maximum_RawData!$A:$A,0)+ROWS($2:64)-1))</f>
        <v>399</v>
      </c>
      <c r="L64">
        <f>IF(ROWS($2:64)&gt;COUNTIF(Maximum_RawData!$A:$A,"1_Maximum"),"",INDEX(Maximum_RawData!L:L,MATCH("1_Maximum",Maximum_RawData!$A:$A,0)+ROWS($2:64)-1))</f>
        <v>399</v>
      </c>
      <c r="M64">
        <f>IF(ROWS($2:64)&gt;COUNTIF(Maximum_RawData!$A:$A,"1_Maximum"),"",INDEX(Maximum_RawData!M:M,MATCH("1_Maximum",Maximum_RawData!$A:$A,0)+ROWS($2:64)-1))</f>
        <v>399</v>
      </c>
      <c r="N64">
        <f>IF(ROWS($2:64)&gt;COUNTIF(Maximum_RawData!$A:$A,"1_Maximum"),"",INDEX(Maximum_RawData!N:N,MATCH("1_Maximum",Maximum_RawData!$A:$A,0)+ROWS($2:64)-1))</f>
        <v>0.1</v>
      </c>
      <c r="O64">
        <f>IF(ROWS($2:64)&gt;COUNTIF(Maximum_RawData!$A:$A,"1_Maximum"),"",INDEX(Maximum_RawData!O:O,MATCH("1_Maximum",Maximum_RawData!$A:$A,0)+ROWS($2:64)-1))</f>
        <v>0.11</v>
      </c>
      <c r="P64">
        <f>IF(ROWS($2:64)&gt;COUNTIF(Maximum_RawData!$A:$A,"1_Maximum"),"",INDEX(Maximum_RawData!P:P,MATCH("1_Maximum",Maximum_RawData!$A:$A,0)+ROWS($2:64)-1))</f>
        <v>0.08</v>
      </c>
      <c r="Q64">
        <f>IF(ROWS($2:64)&gt;COUNTIF(Maximum_RawData!$A:$A,"1_Maximum"),"",INDEX(Maximum_RawData!Q:Q,MATCH("1_Maximum",Maximum_RawData!$A:$A,0)+ROWS($2:64)-1))</f>
        <v>0.1</v>
      </c>
      <c r="R64" t="str">
        <f>IF(ROWS($2:64)&gt;COUNTIF(Maximum_RawData!$A:$A,"1_Maximum"),"",INDEX(Maximum_RawData!R:R,MATCH("1_Maximum",Maximum_RawData!$A:$A,0)+ROWS($2:64)-1))</f>
        <v>Pass</v>
      </c>
      <c r="S64">
        <f>IF(ROWS($2:64)&gt;COUNTIF(Maximum_RawData!$A:$A,"1_Maximum"),"",INDEX(Maximum_RawData!S:S,MATCH("1_Maximum",Maximum_RawData!$A:$A,0)+ROWS($2:64)-1))</f>
        <v>0</v>
      </c>
      <c r="T64">
        <f>IF(ROWS($2:64)&gt;COUNTIF(Maximum_RawData!$A:$A,"1_Maximum"),"",INDEX(Maximum_RawData!T:T,MATCH("1_Maximum",Maximum_RawData!$A:$A,0)+ROWS($2:64)-1))</f>
        <v>0</v>
      </c>
    </row>
    <row r="65" spans="1:20">
      <c r="A65" t="str">
        <f>IF(ROWS($2:65)&gt;COUNTIF(Maximum_RawData!$A:$A,"1_Maximum"),"",INDEX(Maximum_RawData!A:A,MATCH("1_Maximum",Maximum_RawData!$A:$A,0)+ROWS($2:65)-1))</f>
        <v>1_Maximum</v>
      </c>
      <c r="B65">
        <f>IF(ROWS($2:65)&gt;COUNTIF(Maximum_RawData!$A:$A,"1_Maximum"),"",INDEX(Maximum_RawData!B:B,MATCH("1_Maximum",Maximum_RawData!$A:$A,0)+ROWS($2:65)-1))</f>
        <v>150038.10200000001</v>
      </c>
      <c r="C65">
        <f>IF(ROWS($2:65)&gt;COUNTIF(Maximum_RawData!$A:$A,"1_Maximum"),"",INDEX(Maximum_RawData!C:C,MATCH("1_Maximum",Maximum_RawData!$A:$A,0)+ROWS($2:65)-1))</f>
        <v>22.89</v>
      </c>
      <c r="D65">
        <f>IF(ROWS($2:65)&gt;COUNTIF(Maximum_RawData!$A:$A,"1_Maximum"),"",INDEX(Maximum_RawData!D:D,MATCH("1_Maximum",Maximum_RawData!$A:$A,0)+ROWS($2:65)-1))</f>
        <v>1310.337</v>
      </c>
      <c r="E65">
        <f>IF(ROWS($2:65)&gt;COUNTIF(Maximum_RawData!$A:$A,"1_Maximum"),"",INDEX(Maximum_RawData!E:E,MATCH("1_Maximum",Maximum_RawData!$A:$A,0)+ROWS($2:65)-1))</f>
        <v>7.2</v>
      </c>
      <c r="F65">
        <f>IF(ROWS($2:65)&gt;COUNTIF(Maximum_RawData!$A:$A,"1_Maximum"),"",INDEX(Maximum_RawData!F:F,MATCH("1_Maximum",Maximum_RawData!$A:$A,0)+ROWS($2:65)-1))</f>
        <v>399</v>
      </c>
      <c r="G65">
        <f>IF(ROWS($2:65)&gt;COUNTIF(Maximum_RawData!$A:$A,"1_Maximum"),"",INDEX(Maximum_RawData!G:G,MATCH("1_Maximum",Maximum_RawData!$A:$A,0)+ROWS($2:65)-1))</f>
        <v>399</v>
      </c>
      <c r="H65">
        <f>IF(ROWS($2:65)&gt;COUNTIF(Maximum_RawData!$A:$A,"1_Maximum"),"",INDEX(Maximum_RawData!H:H,MATCH("1_Maximum",Maximum_RawData!$A:$A,0)+ROWS($2:65)-1))</f>
        <v>399</v>
      </c>
      <c r="I65">
        <f>IF(ROWS($2:65)&gt;COUNTIF(Maximum_RawData!$A:$A,"1_Maximum"),"",INDEX(Maximum_RawData!I:I,MATCH("1_Maximum",Maximum_RawData!$A:$A,0)+ROWS($2:65)-1))</f>
        <v>399</v>
      </c>
      <c r="J65">
        <f>IF(ROWS($2:65)&gt;COUNTIF(Maximum_RawData!$A:$A,"1_Maximum"),"",INDEX(Maximum_RawData!J:J,MATCH("1_Maximum",Maximum_RawData!$A:$A,0)+ROWS($2:65)-1))</f>
        <v>399</v>
      </c>
      <c r="K65">
        <f>IF(ROWS($2:65)&gt;COUNTIF(Maximum_RawData!$A:$A,"1_Maximum"),"",INDEX(Maximum_RawData!K:K,MATCH("1_Maximum",Maximum_RawData!$A:$A,0)+ROWS($2:65)-1))</f>
        <v>399</v>
      </c>
      <c r="L65">
        <f>IF(ROWS($2:65)&gt;COUNTIF(Maximum_RawData!$A:$A,"1_Maximum"),"",INDEX(Maximum_RawData!L:L,MATCH("1_Maximum",Maximum_RawData!$A:$A,0)+ROWS($2:65)-1))</f>
        <v>399</v>
      </c>
      <c r="M65">
        <f>IF(ROWS($2:65)&gt;COUNTIF(Maximum_RawData!$A:$A,"1_Maximum"),"",INDEX(Maximum_RawData!M:M,MATCH("1_Maximum",Maximum_RawData!$A:$A,0)+ROWS($2:65)-1))</f>
        <v>399</v>
      </c>
      <c r="N65">
        <f>IF(ROWS($2:65)&gt;COUNTIF(Maximum_RawData!$A:$A,"1_Maximum"),"",INDEX(Maximum_RawData!N:N,MATCH("1_Maximum",Maximum_RawData!$A:$A,0)+ROWS($2:65)-1))</f>
        <v>0.09</v>
      </c>
      <c r="O65">
        <f>IF(ROWS($2:65)&gt;COUNTIF(Maximum_RawData!$A:$A,"1_Maximum"),"",INDEX(Maximum_RawData!O:O,MATCH("1_Maximum",Maximum_RawData!$A:$A,0)+ROWS($2:65)-1))</f>
        <v>0.11</v>
      </c>
      <c r="P65">
        <f>IF(ROWS($2:65)&gt;COUNTIF(Maximum_RawData!$A:$A,"1_Maximum"),"",INDEX(Maximum_RawData!P:P,MATCH("1_Maximum",Maximum_RawData!$A:$A,0)+ROWS($2:65)-1))</f>
        <v>0.08</v>
      </c>
      <c r="Q65">
        <f>IF(ROWS($2:65)&gt;COUNTIF(Maximum_RawData!$A:$A,"1_Maximum"),"",INDEX(Maximum_RawData!Q:Q,MATCH("1_Maximum",Maximum_RawData!$A:$A,0)+ROWS($2:65)-1))</f>
        <v>0.1</v>
      </c>
      <c r="R65" t="str">
        <f>IF(ROWS($2:65)&gt;COUNTIF(Maximum_RawData!$A:$A,"1_Maximum"),"",INDEX(Maximum_RawData!R:R,MATCH("1_Maximum",Maximum_RawData!$A:$A,0)+ROWS($2:65)-1))</f>
        <v>Pass</v>
      </c>
      <c r="S65">
        <f>IF(ROWS($2:65)&gt;COUNTIF(Maximum_RawData!$A:$A,"1_Maximum"),"",INDEX(Maximum_RawData!S:S,MATCH("1_Maximum",Maximum_RawData!$A:$A,0)+ROWS($2:65)-1))</f>
        <v>0</v>
      </c>
      <c r="T65">
        <f>IF(ROWS($2:65)&gt;COUNTIF(Maximum_RawData!$A:$A,"1_Maximum"),"",INDEX(Maximum_RawData!T:T,MATCH("1_Maximum",Maximum_RawData!$A:$A,0)+ROWS($2:65)-1))</f>
        <v>0</v>
      </c>
    </row>
    <row r="66" spans="1:20">
      <c r="A66" t="str">
        <f>IF(ROWS($2:66)&gt;COUNTIF(Maximum_RawData!$A:$A,"1_Maximum"),"",INDEX(Maximum_RawData!A:A,MATCH("1_Maximum",Maximum_RawData!$A:$A,0)+ROWS($2:66)-1))</f>
        <v>1_Maximum</v>
      </c>
      <c r="B66">
        <f>IF(ROWS($2:66)&gt;COUNTIF(Maximum_RawData!$A:$A,"1_Maximum"),"",INDEX(Maximum_RawData!B:B,MATCH("1_Maximum",Maximum_RawData!$A:$A,0)+ROWS($2:66)-1))</f>
        <v>150043.10200000001</v>
      </c>
      <c r="C66">
        <f>IF(ROWS($2:66)&gt;COUNTIF(Maximum_RawData!$A:$A,"1_Maximum"),"",INDEX(Maximum_RawData!C:C,MATCH("1_Maximum",Maximum_RawData!$A:$A,0)+ROWS($2:66)-1))</f>
        <v>22.15</v>
      </c>
      <c r="D66">
        <f>IF(ROWS($2:66)&gt;COUNTIF(Maximum_RawData!$A:$A,"1_Maximum"),"",INDEX(Maximum_RawData!D:D,MATCH("1_Maximum",Maximum_RawData!$A:$A,0)+ROWS($2:66)-1))</f>
        <v>1310.258</v>
      </c>
      <c r="E66">
        <f>IF(ROWS($2:66)&gt;COUNTIF(Maximum_RawData!$A:$A,"1_Maximum"),"",INDEX(Maximum_RawData!E:E,MATCH("1_Maximum",Maximum_RawData!$A:$A,0)+ROWS($2:66)-1))</f>
        <v>7.13</v>
      </c>
      <c r="F66">
        <f>IF(ROWS($2:66)&gt;COUNTIF(Maximum_RawData!$A:$A,"1_Maximum"),"",INDEX(Maximum_RawData!F:F,MATCH("1_Maximum",Maximum_RawData!$A:$A,0)+ROWS($2:66)-1))</f>
        <v>399</v>
      </c>
      <c r="G66">
        <f>IF(ROWS($2:66)&gt;COUNTIF(Maximum_RawData!$A:$A,"1_Maximum"),"",INDEX(Maximum_RawData!G:G,MATCH("1_Maximum",Maximum_RawData!$A:$A,0)+ROWS($2:66)-1))</f>
        <v>399</v>
      </c>
      <c r="H66">
        <f>IF(ROWS($2:66)&gt;COUNTIF(Maximum_RawData!$A:$A,"1_Maximum"),"",INDEX(Maximum_RawData!H:H,MATCH("1_Maximum",Maximum_RawData!$A:$A,0)+ROWS($2:66)-1))</f>
        <v>399</v>
      </c>
      <c r="I66">
        <f>IF(ROWS($2:66)&gt;COUNTIF(Maximum_RawData!$A:$A,"1_Maximum"),"",INDEX(Maximum_RawData!I:I,MATCH("1_Maximum",Maximum_RawData!$A:$A,0)+ROWS($2:66)-1))</f>
        <v>399</v>
      </c>
      <c r="J66">
        <f>IF(ROWS($2:66)&gt;COUNTIF(Maximum_RawData!$A:$A,"1_Maximum"),"",INDEX(Maximum_RawData!J:J,MATCH("1_Maximum",Maximum_RawData!$A:$A,0)+ROWS($2:66)-1))</f>
        <v>399</v>
      </c>
      <c r="K66">
        <f>IF(ROWS($2:66)&gt;COUNTIF(Maximum_RawData!$A:$A,"1_Maximum"),"",INDEX(Maximum_RawData!K:K,MATCH("1_Maximum",Maximum_RawData!$A:$A,0)+ROWS($2:66)-1))</f>
        <v>399</v>
      </c>
      <c r="L66">
        <f>IF(ROWS($2:66)&gt;COUNTIF(Maximum_RawData!$A:$A,"1_Maximum"),"",INDEX(Maximum_RawData!L:L,MATCH("1_Maximum",Maximum_RawData!$A:$A,0)+ROWS($2:66)-1))</f>
        <v>399</v>
      </c>
      <c r="M66">
        <f>IF(ROWS($2:66)&gt;COUNTIF(Maximum_RawData!$A:$A,"1_Maximum"),"",INDEX(Maximum_RawData!M:M,MATCH("1_Maximum",Maximum_RawData!$A:$A,0)+ROWS($2:66)-1))</f>
        <v>399</v>
      </c>
      <c r="N66">
        <f>IF(ROWS($2:66)&gt;COUNTIF(Maximum_RawData!$A:$A,"1_Maximum"),"",INDEX(Maximum_RawData!N:N,MATCH("1_Maximum",Maximum_RawData!$A:$A,0)+ROWS($2:66)-1))</f>
        <v>0.11</v>
      </c>
      <c r="O66">
        <f>IF(ROWS($2:66)&gt;COUNTIF(Maximum_RawData!$A:$A,"1_Maximum"),"",INDEX(Maximum_RawData!O:O,MATCH("1_Maximum",Maximum_RawData!$A:$A,0)+ROWS($2:66)-1))</f>
        <v>0.11</v>
      </c>
      <c r="P66">
        <f>IF(ROWS($2:66)&gt;COUNTIF(Maximum_RawData!$A:$A,"1_Maximum"),"",INDEX(Maximum_RawData!P:P,MATCH("1_Maximum",Maximum_RawData!$A:$A,0)+ROWS($2:66)-1))</f>
        <v>0.08</v>
      </c>
      <c r="Q66">
        <f>IF(ROWS($2:66)&gt;COUNTIF(Maximum_RawData!$A:$A,"1_Maximum"),"",INDEX(Maximum_RawData!Q:Q,MATCH("1_Maximum",Maximum_RawData!$A:$A,0)+ROWS($2:66)-1))</f>
        <v>0.1</v>
      </c>
      <c r="R66" t="str">
        <f>IF(ROWS($2:66)&gt;COUNTIF(Maximum_RawData!$A:$A,"1_Maximum"),"",INDEX(Maximum_RawData!R:R,MATCH("1_Maximum",Maximum_RawData!$A:$A,0)+ROWS($2:66)-1))</f>
        <v>Pass</v>
      </c>
      <c r="S66">
        <f>IF(ROWS($2:66)&gt;COUNTIF(Maximum_RawData!$A:$A,"1_Maximum"),"",INDEX(Maximum_RawData!S:S,MATCH("1_Maximum",Maximum_RawData!$A:$A,0)+ROWS($2:66)-1))</f>
        <v>0</v>
      </c>
      <c r="T66">
        <f>IF(ROWS($2:66)&gt;COUNTIF(Maximum_RawData!$A:$A,"1_Maximum"),"",INDEX(Maximum_RawData!T:T,MATCH("1_Maximum",Maximum_RawData!$A:$A,0)+ROWS($2:66)-1))</f>
        <v>0</v>
      </c>
    </row>
    <row r="67" spans="1:20">
      <c r="A67" t="str">
        <f>IF(ROWS($2:67)&gt;COUNTIF(Maximum_RawData!$A:$A,"1_Maximum"),"",INDEX(Maximum_RawData!A:A,MATCH("1_Maximum",Maximum_RawData!$A:$A,0)+ROWS($2:67)-1))</f>
        <v>1_Maximum</v>
      </c>
      <c r="B67">
        <f>IF(ROWS($2:67)&gt;COUNTIF(Maximum_RawData!$A:$A,"1_Maximum"),"",INDEX(Maximum_RawData!B:B,MATCH("1_Maximum",Maximum_RawData!$A:$A,0)+ROWS($2:67)-1))</f>
        <v>150048.11799999999</v>
      </c>
      <c r="C67">
        <f>IF(ROWS($2:67)&gt;COUNTIF(Maximum_RawData!$A:$A,"1_Maximum"),"",INDEX(Maximum_RawData!C:C,MATCH("1_Maximum",Maximum_RawData!$A:$A,0)+ROWS($2:67)-1))</f>
        <v>21.39</v>
      </c>
      <c r="D67">
        <f>IF(ROWS($2:67)&gt;COUNTIF(Maximum_RawData!$A:$A,"1_Maximum"),"",INDEX(Maximum_RawData!D:D,MATCH("1_Maximum",Maximum_RawData!$A:$A,0)+ROWS($2:67)-1))</f>
        <v>1310.19</v>
      </c>
      <c r="E67">
        <f>IF(ROWS($2:67)&gt;COUNTIF(Maximum_RawData!$A:$A,"1_Maximum"),"",INDEX(Maximum_RawData!E:E,MATCH("1_Maximum",Maximum_RawData!$A:$A,0)+ROWS($2:67)-1))</f>
        <v>7.23</v>
      </c>
      <c r="F67">
        <f>IF(ROWS($2:67)&gt;COUNTIF(Maximum_RawData!$A:$A,"1_Maximum"),"",INDEX(Maximum_RawData!F:F,MATCH("1_Maximum",Maximum_RawData!$A:$A,0)+ROWS($2:67)-1))</f>
        <v>399</v>
      </c>
      <c r="G67">
        <f>IF(ROWS($2:67)&gt;COUNTIF(Maximum_RawData!$A:$A,"1_Maximum"),"",INDEX(Maximum_RawData!G:G,MATCH("1_Maximum",Maximum_RawData!$A:$A,0)+ROWS($2:67)-1))</f>
        <v>399</v>
      </c>
      <c r="H67">
        <f>IF(ROWS($2:67)&gt;COUNTIF(Maximum_RawData!$A:$A,"1_Maximum"),"",INDEX(Maximum_RawData!H:H,MATCH("1_Maximum",Maximum_RawData!$A:$A,0)+ROWS($2:67)-1))</f>
        <v>399</v>
      </c>
      <c r="I67">
        <f>IF(ROWS($2:67)&gt;COUNTIF(Maximum_RawData!$A:$A,"1_Maximum"),"",INDEX(Maximum_RawData!I:I,MATCH("1_Maximum",Maximum_RawData!$A:$A,0)+ROWS($2:67)-1))</f>
        <v>399</v>
      </c>
      <c r="J67">
        <f>IF(ROWS($2:67)&gt;COUNTIF(Maximum_RawData!$A:$A,"1_Maximum"),"",INDEX(Maximum_RawData!J:J,MATCH("1_Maximum",Maximum_RawData!$A:$A,0)+ROWS($2:67)-1))</f>
        <v>399</v>
      </c>
      <c r="K67">
        <f>IF(ROWS($2:67)&gt;COUNTIF(Maximum_RawData!$A:$A,"1_Maximum"),"",INDEX(Maximum_RawData!K:K,MATCH("1_Maximum",Maximum_RawData!$A:$A,0)+ROWS($2:67)-1))</f>
        <v>399</v>
      </c>
      <c r="L67">
        <f>IF(ROWS($2:67)&gt;COUNTIF(Maximum_RawData!$A:$A,"1_Maximum"),"",INDEX(Maximum_RawData!L:L,MATCH("1_Maximum",Maximum_RawData!$A:$A,0)+ROWS($2:67)-1))</f>
        <v>399</v>
      </c>
      <c r="M67">
        <f>IF(ROWS($2:67)&gt;COUNTIF(Maximum_RawData!$A:$A,"1_Maximum"),"",INDEX(Maximum_RawData!M:M,MATCH("1_Maximum",Maximum_RawData!$A:$A,0)+ROWS($2:67)-1))</f>
        <v>399</v>
      </c>
      <c r="N67">
        <f>IF(ROWS($2:67)&gt;COUNTIF(Maximum_RawData!$A:$A,"1_Maximum"),"",INDEX(Maximum_RawData!N:N,MATCH("1_Maximum",Maximum_RawData!$A:$A,0)+ROWS($2:67)-1))</f>
        <v>0.09</v>
      </c>
      <c r="O67">
        <f>IF(ROWS($2:67)&gt;COUNTIF(Maximum_RawData!$A:$A,"1_Maximum"),"",INDEX(Maximum_RawData!O:O,MATCH("1_Maximum",Maximum_RawData!$A:$A,0)+ROWS($2:67)-1))</f>
        <v>0.11</v>
      </c>
      <c r="P67">
        <f>IF(ROWS($2:67)&gt;COUNTIF(Maximum_RawData!$A:$A,"1_Maximum"),"",INDEX(Maximum_RawData!P:P,MATCH("1_Maximum",Maximum_RawData!$A:$A,0)+ROWS($2:67)-1))</f>
        <v>0.08</v>
      </c>
      <c r="Q67">
        <f>IF(ROWS($2:67)&gt;COUNTIF(Maximum_RawData!$A:$A,"1_Maximum"),"",INDEX(Maximum_RawData!Q:Q,MATCH("1_Maximum",Maximum_RawData!$A:$A,0)+ROWS($2:67)-1))</f>
        <v>0.1</v>
      </c>
      <c r="R67" t="str">
        <f>IF(ROWS($2:67)&gt;COUNTIF(Maximum_RawData!$A:$A,"1_Maximum"),"",INDEX(Maximum_RawData!R:R,MATCH("1_Maximum",Maximum_RawData!$A:$A,0)+ROWS($2:67)-1))</f>
        <v>Pass</v>
      </c>
      <c r="S67">
        <f>IF(ROWS($2:67)&gt;COUNTIF(Maximum_RawData!$A:$A,"1_Maximum"),"",INDEX(Maximum_RawData!S:S,MATCH("1_Maximum",Maximum_RawData!$A:$A,0)+ROWS($2:67)-1))</f>
        <v>0</v>
      </c>
      <c r="T67">
        <f>IF(ROWS($2:67)&gt;COUNTIF(Maximum_RawData!$A:$A,"1_Maximum"),"",INDEX(Maximum_RawData!T:T,MATCH("1_Maximum",Maximum_RawData!$A:$A,0)+ROWS($2:67)-1))</f>
        <v>0</v>
      </c>
    </row>
    <row r="68" spans="1:20">
      <c r="A68" t="str">
        <f>IF(ROWS($2:68)&gt;COUNTIF(Maximum_RawData!$A:$A,"1_Maximum"),"",INDEX(Maximum_RawData!A:A,MATCH("1_Maximum",Maximum_RawData!$A:$A,0)+ROWS($2:68)-1))</f>
        <v>1_Maximum</v>
      </c>
      <c r="B68">
        <f>IF(ROWS($2:68)&gt;COUNTIF(Maximum_RawData!$A:$A,"1_Maximum"),"",INDEX(Maximum_RawData!B:B,MATCH("1_Maximum",Maximum_RawData!$A:$A,0)+ROWS($2:68)-1))</f>
        <v>150053.10200000001</v>
      </c>
      <c r="C68">
        <f>IF(ROWS($2:68)&gt;COUNTIF(Maximum_RawData!$A:$A,"1_Maximum"),"",INDEX(Maximum_RawData!C:C,MATCH("1_Maximum",Maximum_RawData!$A:$A,0)+ROWS($2:68)-1))</f>
        <v>20.63</v>
      </c>
      <c r="D68">
        <f>IF(ROWS($2:68)&gt;COUNTIF(Maximum_RawData!$A:$A,"1_Maximum"),"",INDEX(Maximum_RawData!D:D,MATCH("1_Maximum",Maximum_RawData!$A:$A,0)+ROWS($2:68)-1))</f>
        <v>1310.1189999999999</v>
      </c>
      <c r="E68">
        <f>IF(ROWS($2:68)&gt;COUNTIF(Maximum_RawData!$A:$A,"1_Maximum"),"",INDEX(Maximum_RawData!E:E,MATCH("1_Maximum",Maximum_RawData!$A:$A,0)+ROWS($2:68)-1))</f>
        <v>7.29</v>
      </c>
      <c r="F68">
        <f>IF(ROWS($2:68)&gt;COUNTIF(Maximum_RawData!$A:$A,"1_Maximum"),"",INDEX(Maximum_RawData!F:F,MATCH("1_Maximum",Maximum_RawData!$A:$A,0)+ROWS($2:68)-1))</f>
        <v>399</v>
      </c>
      <c r="G68">
        <f>IF(ROWS($2:68)&gt;COUNTIF(Maximum_RawData!$A:$A,"1_Maximum"),"",INDEX(Maximum_RawData!G:G,MATCH("1_Maximum",Maximum_RawData!$A:$A,0)+ROWS($2:68)-1))</f>
        <v>399</v>
      </c>
      <c r="H68">
        <f>IF(ROWS($2:68)&gt;COUNTIF(Maximum_RawData!$A:$A,"1_Maximum"),"",INDEX(Maximum_RawData!H:H,MATCH("1_Maximum",Maximum_RawData!$A:$A,0)+ROWS($2:68)-1))</f>
        <v>399</v>
      </c>
      <c r="I68">
        <f>IF(ROWS($2:68)&gt;COUNTIF(Maximum_RawData!$A:$A,"1_Maximum"),"",INDEX(Maximum_RawData!I:I,MATCH("1_Maximum",Maximum_RawData!$A:$A,0)+ROWS($2:68)-1))</f>
        <v>399</v>
      </c>
      <c r="J68">
        <f>IF(ROWS($2:68)&gt;COUNTIF(Maximum_RawData!$A:$A,"1_Maximum"),"",INDEX(Maximum_RawData!J:J,MATCH("1_Maximum",Maximum_RawData!$A:$A,0)+ROWS($2:68)-1))</f>
        <v>399</v>
      </c>
      <c r="K68">
        <f>IF(ROWS($2:68)&gt;COUNTIF(Maximum_RawData!$A:$A,"1_Maximum"),"",INDEX(Maximum_RawData!K:K,MATCH("1_Maximum",Maximum_RawData!$A:$A,0)+ROWS($2:68)-1))</f>
        <v>399</v>
      </c>
      <c r="L68">
        <f>IF(ROWS($2:68)&gt;COUNTIF(Maximum_RawData!$A:$A,"1_Maximum"),"",INDEX(Maximum_RawData!L:L,MATCH("1_Maximum",Maximum_RawData!$A:$A,0)+ROWS($2:68)-1))</f>
        <v>399</v>
      </c>
      <c r="M68">
        <f>IF(ROWS($2:68)&gt;COUNTIF(Maximum_RawData!$A:$A,"1_Maximum"),"",INDEX(Maximum_RawData!M:M,MATCH("1_Maximum",Maximum_RawData!$A:$A,0)+ROWS($2:68)-1))</f>
        <v>399</v>
      </c>
      <c r="N68">
        <f>IF(ROWS($2:68)&gt;COUNTIF(Maximum_RawData!$A:$A,"1_Maximum"),"",INDEX(Maximum_RawData!N:N,MATCH("1_Maximum",Maximum_RawData!$A:$A,0)+ROWS($2:68)-1))</f>
        <v>0.09</v>
      </c>
      <c r="O68">
        <f>IF(ROWS($2:68)&gt;COUNTIF(Maximum_RawData!$A:$A,"1_Maximum"),"",INDEX(Maximum_RawData!O:O,MATCH("1_Maximum",Maximum_RawData!$A:$A,0)+ROWS($2:68)-1))</f>
        <v>0.11</v>
      </c>
      <c r="P68">
        <f>IF(ROWS($2:68)&gt;COUNTIF(Maximum_RawData!$A:$A,"1_Maximum"),"",INDEX(Maximum_RawData!P:P,MATCH("1_Maximum",Maximum_RawData!$A:$A,0)+ROWS($2:68)-1))</f>
        <v>0.08</v>
      </c>
      <c r="Q68">
        <f>IF(ROWS($2:68)&gt;COUNTIF(Maximum_RawData!$A:$A,"1_Maximum"),"",INDEX(Maximum_RawData!Q:Q,MATCH("1_Maximum",Maximum_RawData!$A:$A,0)+ROWS($2:68)-1))</f>
        <v>0.1</v>
      </c>
      <c r="R68" t="str">
        <f>IF(ROWS($2:68)&gt;COUNTIF(Maximum_RawData!$A:$A,"1_Maximum"),"",INDEX(Maximum_RawData!R:R,MATCH("1_Maximum",Maximum_RawData!$A:$A,0)+ROWS($2:68)-1))</f>
        <v>Pass</v>
      </c>
      <c r="S68">
        <f>IF(ROWS($2:68)&gt;COUNTIF(Maximum_RawData!$A:$A,"1_Maximum"),"",INDEX(Maximum_RawData!S:S,MATCH("1_Maximum",Maximum_RawData!$A:$A,0)+ROWS($2:68)-1))</f>
        <v>0</v>
      </c>
      <c r="T68">
        <f>IF(ROWS($2:68)&gt;COUNTIF(Maximum_RawData!$A:$A,"1_Maximum"),"",INDEX(Maximum_RawData!T:T,MATCH("1_Maximum",Maximum_RawData!$A:$A,0)+ROWS($2:68)-1))</f>
        <v>0</v>
      </c>
    </row>
    <row r="69" spans="1:20">
      <c r="A69" t="str">
        <f>IF(ROWS($2:69)&gt;COUNTIF(Maximum_RawData!$A:$A,"1_Maximum"),"",INDEX(Maximum_RawData!A:A,MATCH("1_Maximum",Maximum_RawData!$A:$A,0)+ROWS($2:69)-1))</f>
        <v>1_Maximum</v>
      </c>
      <c r="B69">
        <f>IF(ROWS($2:69)&gt;COUNTIF(Maximum_RawData!$A:$A,"1_Maximum"),"",INDEX(Maximum_RawData!B:B,MATCH("1_Maximum",Maximum_RawData!$A:$A,0)+ROWS($2:69)-1))</f>
        <v>150058.10699999999</v>
      </c>
      <c r="C69">
        <f>IF(ROWS($2:69)&gt;COUNTIF(Maximum_RawData!$A:$A,"1_Maximum"),"",INDEX(Maximum_RawData!C:C,MATCH("1_Maximum",Maximum_RawData!$A:$A,0)+ROWS($2:69)-1))</f>
        <v>19.899999999999999</v>
      </c>
      <c r="D69">
        <f>IF(ROWS($2:69)&gt;COUNTIF(Maximum_RawData!$A:$A,"1_Maximum"),"",INDEX(Maximum_RawData!D:D,MATCH("1_Maximum",Maximum_RawData!$A:$A,0)+ROWS($2:69)-1))</f>
        <v>1310.047</v>
      </c>
      <c r="E69">
        <f>IF(ROWS($2:69)&gt;COUNTIF(Maximum_RawData!$A:$A,"1_Maximum"),"",INDEX(Maximum_RawData!E:E,MATCH("1_Maximum",Maximum_RawData!$A:$A,0)+ROWS($2:69)-1))</f>
        <v>7.39</v>
      </c>
      <c r="F69">
        <f>IF(ROWS($2:69)&gt;COUNTIF(Maximum_RawData!$A:$A,"1_Maximum"),"",INDEX(Maximum_RawData!F:F,MATCH("1_Maximum",Maximum_RawData!$A:$A,0)+ROWS($2:69)-1))</f>
        <v>399</v>
      </c>
      <c r="G69">
        <f>IF(ROWS($2:69)&gt;COUNTIF(Maximum_RawData!$A:$A,"1_Maximum"),"",INDEX(Maximum_RawData!G:G,MATCH("1_Maximum",Maximum_RawData!$A:$A,0)+ROWS($2:69)-1))</f>
        <v>399</v>
      </c>
      <c r="H69">
        <f>IF(ROWS($2:69)&gt;COUNTIF(Maximum_RawData!$A:$A,"1_Maximum"),"",INDEX(Maximum_RawData!H:H,MATCH("1_Maximum",Maximum_RawData!$A:$A,0)+ROWS($2:69)-1))</f>
        <v>399</v>
      </c>
      <c r="I69">
        <f>IF(ROWS($2:69)&gt;COUNTIF(Maximum_RawData!$A:$A,"1_Maximum"),"",INDEX(Maximum_RawData!I:I,MATCH("1_Maximum",Maximum_RawData!$A:$A,0)+ROWS($2:69)-1))</f>
        <v>399</v>
      </c>
      <c r="J69">
        <f>IF(ROWS($2:69)&gt;COUNTIF(Maximum_RawData!$A:$A,"1_Maximum"),"",INDEX(Maximum_RawData!J:J,MATCH("1_Maximum",Maximum_RawData!$A:$A,0)+ROWS($2:69)-1))</f>
        <v>399</v>
      </c>
      <c r="K69">
        <f>IF(ROWS($2:69)&gt;COUNTIF(Maximum_RawData!$A:$A,"1_Maximum"),"",INDEX(Maximum_RawData!K:K,MATCH("1_Maximum",Maximum_RawData!$A:$A,0)+ROWS($2:69)-1))</f>
        <v>399</v>
      </c>
      <c r="L69">
        <f>IF(ROWS($2:69)&gt;COUNTIF(Maximum_RawData!$A:$A,"1_Maximum"),"",INDEX(Maximum_RawData!L:L,MATCH("1_Maximum",Maximum_RawData!$A:$A,0)+ROWS($2:69)-1))</f>
        <v>399</v>
      </c>
      <c r="M69">
        <f>IF(ROWS($2:69)&gt;COUNTIF(Maximum_RawData!$A:$A,"1_Maximum"),"",INDEX(Maximum_RawData!M:M,MATCH("1_Maximum",Maximum_RawData!$A:$A,0)+ROWS($2:69)-1))</f>
        <v>399</v>
      </c>
      <c r="N69">
        <f>IF(ROWS($2:69)&gt;COUNTIF(Maximum_RawData!$A:$A,"1_Maximum"),"",INDEX(Maximum_RawData!N:N,MATCH("1_Maximum",Maximum_RawData!$A:$A,0)+ROWS($2:69)-1))</f>
        <v>0.1</v>
      </c>
      <c r="O69">
        <f>IF(ROWS($2:69)&gt;COUNTIF(Maximum_RawData!$A:$A,"1_Maximum"),"",INDEX(Maximum_RawData!O:O,MATCH("1_Maximum",Maximum_RawData!$A:$A,0)+ROWS($2:69)-1))</f>
        <v>0.11</v>
      </c>
      <c r="P69">
        <f>IF(ROWS($2:69)&gt;COUNTIF(Maximum_RawData!$A:$A,"1_Maximum"),"",INDEX(Maximum_RawData!P:P,MATCH("1_Maximum",Maximum_RawData!$A:$A,0)+ROWS($2:69)-1))</f>
        <v>0.08</v>
      </c>
      <c r="Q69">
        <f>IF(ROWS($2:69)&gt;COUNTIF(Maximum_RawData!$A:$A,"1_Maximum"),"",INDEX(Maximum_RawData!Q:Q,MATCH("1_Maximum",Maximum_RawData!$A:$A,0)+ROWS($2:69)-1))</f>
        <v>0.1</v>
      </c>
      <c r="R69" t="str">
        <f>IF(ROWS($2:69)&gt;COUNTIF(Maximum_RawData!$A:$A,"1_Maximum"),"",INDEX(Maximum_RawData!R:R,MATCH("1_Maximum",Maximum_RawData!$A:$A,0)+ROWS($2:69)-1))</f>
        <v>Pass</v>
      </c>
      <c r="S69">
        <f>IF(ROWS($2:69)&gt;COUNTIF(Maximum_RawData!$A:$A,"1_Maximum"),"",INDEX(Maximum_RawData!S:S,MATCH("1_Maximum",Maximum_RawData!$A:$A,0)+ROWS($2:69)-1))</f>
        <v>0</v>
      </c>
      <c r="T69">
        <f>IF(ROWS($2:69)&gt;COUNTIF(Maximum_RawData!$A:$A,"1_Maximum"),"",INDEX(Maximum_RawData!T:T,MATCH("1_Maximum",Maximum_RawData!$A:$A,0)+ROWS($2:69)-1))</f>
        <v>0</v>
      </c>
    </row>
    <row r="70" spans="1:20">
      <c r="A70" t="str">
        <f>IF(ROWS($2:70)&gt;COUNTIF(Maximum_RawData!$A:$A,"1_Maximum"),"",INDEX(Maximum_RawData!A:A,MATCH("1_Maximum",Maximum_RawData!$A:$A,0)+ROWS($2:70)-1))</f>
        <v>1_Maximum</v>
      </c>
      <c r="B70">
        <f>IF(ROWS($2:70)&gt;COUNTIF(Maximum_RawData!$A:$A,"1_Maximum"),"",INDEX(Maximum_RawData!B:B,MATCH("1_Maximum",Maximum_RawData!$A:$A,0)+ROWS($2:70)-1))</f>
        <v>150103.106</v>
      </c>
      <c r="C70">
        <f>IF(ROWS($2:70)&gt;COUNTIF(Maximum_RawData!$A:$A,"1_Maximum"),"",INDEX(Maximum_RawData!C:C,MATCH("1_Maximum",Maximum_RawData!$A:$A,0)+ROWS($2:70)-1))</f>
        <v>19.149999999999999</v>
      </c>
      <c r="D70">
        <f>IF(ROWS($2:70)&gt;COUNTIF(Maximum_RawData!$A:$A,"1_Maximum"),"",INDEX(Maximum_RawData!D:D,MATCH("1_Maximum",Maximum_RawData!$A:$A,0)+ROWS($2:70)-1))</f>
        <v>1309.9749999999999</v>
      </c>
      <c r="E70">
        <f>IF(ROWS($2:70)&gt;COUNTIF(Maximum_RawData!$A:$A,"1_Maximum"),"",INDEX(Maximum_RawData!E:E,MATCH("1_Maximum",Maximum_RawData!$A:$A,0)+ROWS($2:70)-1))</f>
        <v>7.47</v>
      </c>
      <c r="F70">
        <f>IF(ROWS($2:70)&gt;COUNTIF(Maximum_RawData!$A:$A,"1_Maximum"),"",INDEX(Maximum_RawData!F:F,MATCH("1_Maximum",Maximum_RawData!$A:$A,0)+ROWS($2:70)-1))</f>
        <v>399</v>
      </c>
      <c r="G70">
        <f>IF(ROWS($2:70)&gt;COUNTIF(Maximum_RawData!$A:$A,"1_Maximum"),"",INDEX(Maximum_RawData!G:G,MATCH("1_Maximum",Maximum_RawData!$A:$A,0)+ROWS($2:70)-1))</f>
        <v>399</v>
      </c>
      <c r="H70">
        <f>IF(ROWS($2:70)&gt;COUNTIF(Maximum_RawData!$A:$A,"1_Maximum"),"",INDEX(Maximum_RawData!H:H,MATCH("1_Maximum",Maximum_RawData!$A:$A,0)+ROWS($2:70)-1))</f>
        <v>399</v>
      </c>
      <c r="I70">
        <f>IF(ROWS($2:70)&gt;COUNTIF(Maximum_RawData!$A:$A,"1_Maximum"),"",INDEX(Maximum_RawData!I:I,MATCH("1_Maximum",Maximum_RawData!$A:$A,0)+ROWS($2:70)-1))</f>
        <v>399</v>
      </c>
      <c r="J70">
        <f>IF(ROWS($2:70)&gt;COUNTIF(Maximum_RawData!$A:$A,"1_Maximum"),"",INDEX(Maximum_RawData!J:J,MATCH("1_Maximum",Maximum_RawData!$A:$A,0)+ROWS($2:70)-1))</f>
        <v>399</v>
      </c>
      <c r="K70">
        <f>IF(ROWS($2:70)&gt;COUNTIF(Maximum_RawData!$A:$A,"1_Maximum"),"",INDEX(Maximum_RawData!K:K,MATCH("1_Maximum",Maximum_RawData!$A:$A,0)+ROWS($2:70)-1))</f>
        <v>399</v>
      </c>
      <c r="L70">
        <f>IF(ROWS($2:70)&gt;COUNTIF(Maximum_RawData!$A:$A,"1_Maximum"),"",INDEX(Maximum_RawData!L:L,MATCH("1_Maximum",Maximum_RawData!$A:$A,0)+ROWS($2:70)-1))</f>
        <v>399</v>
      </c>
      <c r="M70">
        <f>IF(ROWS($2:70)&gt;COUNTIF(Maximum_RawData!$A:$A,"1_Maximum"),"",INDEX(Maximum_RawData!M:M,MATCH("1_Maximum",Maximum_RawData!$A:$A,0)+ROWS($2:70)-1))</f>
        <v>399</v>
      </c>
      <c r="N70">
        <f>IF(ROWS($2:70)&gt;COUNTIF(Maximum_RawData!$A:$A,"1_Maximum"),"",INDEX(Maximum_RawData!N:N,MATCH("1_Maximum",Maximum_RawData!$A:$A,0)+ROWS($2:70)-1))</f>
        <v>0.1</v>
      </c>
      <c r="O70">
        <f>IF(ROWS($2:70)&gt;COUNTIF(Maximum_RawData!$A:$A,"1_Maximum"),"",INDEX(Maximum_RawData!O:O,MATCH("1_Maximum",Maximum_RawData!$A:$A,0)+ROWS($2:70)-1))</f>
        <v>0.11</v>
      </c>
      <c r="P70">
        <f>IF(ROWS($2:70)&gt;COUNTIF(Maximum_RawData!$A:$A,"1_Maximum"),"",INDEX(Maximum_RawData!P:P,MATCH("1_Maximum",Maximum_RawData!$A:$A,0)+ROWS($2:70)-1))</f>
        <v>0.08</v>
      </c>
      <c r="Q70">
        <f>IF(ROWS($2:70)&gt;COUNTIF(Maximum_RawData!$A:$A,"1_Maximum"),"",INDEX(Maximum_RawData!Q:Q,MATCH("1_Maximum",Maximum_RawData!$A:$A,0)+ROWS($2:70)-1))</f>
        <v>0.1</v>
      </c>
      <c r="R70" t="str">
        <f>IF(ROWS($2:70)&gt;COUNTIF(Maximum_RawData!$A:$A,"1_Maximum"),"",INDEX(Maximum_RawData!R:R,MATCH("1_Maximum",Maximum_RawData!$A:$A,0)+ROWS($2:70)-1))</f>
        <v>Pass</v>
      </c>
      <c r="S70">
        <f>IF(ROWS($2:70)&gt;COUNTIF(Maximum_RawData!$A:$A,"1_Maximum"),"",INDEX(Maximum_RawData!S:S,MATCH("1_Maximum",Maximum_RawData!$A:$A,0)+ROWS($2:70)-1))</f>
        <v>0</v>
      </c>
      <c r="T70">
        <f>IF(ROWS($2:70)&gt;COUNTIF(Maximum_RawData!$A:$A,"1_Maximum"),"",INDEX(Maximum_RawData!T:T,MATCH("1_Maximum",Maximum_RawData!$A:$A,0)+ROWS($2:70)-1))</f>
        <v>0</v>
      </c>
    </row>
    <row r="71" spans="1:20">
      <c r="A71" t="str">
        <f>IF(ROWS($2:71)&gt;COUNTIF(Maximum_RawData!$A:$A,"1_Maximum"),"",INDEX(Maximum_RawData!A:A,MATCH("1_Maximum",Maximum_RawData!$A:$A,0)+ROWS($2:71)-1))</f>
        <v>1_Maximum</v>
      </c>
      <c r="B71">
        <f>IF(ROWS($2:71)&gt;COUNTIF(Maximum_RawData!$A:$A,"1_Maximum"),"",INDEX(Maximum_RawData!B:B,MATCH("1_Maximum",Maximum_RawData!$A:$A,0)+ROWS($2:71)-1))</f>
        <v>150108.10699999999</v>
      </c>
      <c r="C71">
        <f>IF(ROWS($2:71)&gt;COUNTIF(Maximum_RawData!$A:$A,"1_Maximum"),"",INDEX(Maximum_RawData!C:C,MATCH("1_Maximum",Maximum_RawData!$A:$A,0)+ROWS($2:71)-1))</f>
        <v>18.420000000000002</v>
      </c>
      <c r="D71">
        <f>IF(ROWS($2:71)&gt;COUNTIF(Maximum_RawData!$A:$A,"1_Maximum"),"",INDEX(Maximum_RawData!D:D,MATCH("1_Maximum",Maximum_RawData!$A:$A,0)+ROWS($2:71)-1))</f>
        <v>1309.903</v>
      </c>
      <c r="E71">
        <f>IF(ROWS($2:71)&gt;COUNTIF(Maximum_RawData!$A:$A,"1_Maximum"),"",INDEX(Maximum_RawData!E:E,MATCH("1_Maximum",Maximum_RawData!$A:$A,0)+ROWS($2:71)-1))</f>
        <v>7.49</v>
      </c>
      <c r="F71">
        <f>IF(ROWS($2:71)&gt;COUNTIF(Maximum_RawData!$A:$A,"1_Maximum"),"",INDEX(Maximum_RawData!F:F,MATCH("1_Maximum",Maximum_RawData!$A:$A,0)+ROWS($2:71)-1))</f>
        <v>399</v>
      </c>
      <c r="G71">
        <f>IF(ROWS($2:71)&gt;COUNTIF(Maximum_RawData!$A:$A,"1_Maximum"),"",INDEX(Maximum_RawData!G:G,MATCH("1_Maximum",Maximum_RawData!$A:$A,0)+ROWS($2:71)-1))</f>
        <v>399</v>
      </c>
      <c r="H71">
        <f>IF(ROWS($2:71)&gt;COUNTIF(Maximum_RawData!$A:$A,"1_Maximum"),"",INDEX(Maximum_RawData!H:H,MATCH("1_Maximum",Maximum_RawData!$A:$A,0)+ROWS($2:71)-1))</f>
        <v>399</v>
      </c>
      <c r="I71">
        <f>IF(ROWS($2:71)&gt;COUNTIF(Maximum_RawData!$A:$A,"1_Maximum"),"",INDEX(Maximum_RawData!I:I,MATCH("1_Maximum",Maximum_RawData!$A:$A,0)+ROWS($2:71)-1))</f>
        <v>399</v>
      </c>
      <c r="J71">
        <f>IF(ROWS($2:71)&gt;COUNTIF(Maximum_RawData!$A:$A,"1_Maximum"),"",INDEX(Maximum_RawData!J:J,MATCH("1_Maximum",Maximum_RawData!$A:$A,0)+ROWS($2:71)-1))</f>
        <v>399</v>
      </c>
      <c r="K71">
        <f>IF(ROWS($2:71)&gt;COUNTIF(Maximum_RawData!$A:$A,"1_Maximum"),"",INDEX(Maximum_RawData!K:K,MATCH("1_Maximum",Maximum_RawData!$A:$A,0)+ROWS($2:71)-1))</f>
        <v>399</v>
      </c>
      <c r="L71">
        <f>IF(ROWS($2:71)&gt;COUNTIF(Maximum_RawData!$A:$A,"1_Maximum"),"",INDEX(Maximum_RawData!L:L,MATCH("1_Maximum",Maximum_RawData!$A:$A,0)+ROWS($2:71)-1))</f>
        <v>399</v>
      </c>
      <c r="M71">
        <f>IF(ROWS($2:71)&gt;COUNTIF(Maximum_RawData!$A:$A,"1_Maximum"),"",INDEX(Maximum_RawData!M:M,MATCH("1_Maximum",Maximum_RawData!$A:$A,0)+ROWS($2:71)-1))</f>
        <v>399</v>
      </c>
      <c r="N71">
        <f>IF(ROWS($2:71)&gt;COUNTIF(Maximum_RawData!$A:$A,"1_Maximum"),"",INDEX(Maximum_RawData!N:N,MATCH("1_Maximum",Maximum_RawData!$A:$A,0)+ROWS($2:71)-1))</f>
        <v>0.1</v>
      </c>
      <c r="O71">
        <f>IF(ROWS($2:71)&gt;COUNTIF(Maximum_RawData!$A:$A,"1_Maximum"),"",INDEX(Maximum_RawData!O:O,MATCH("1_Maximum",Maximum_RawData!$A:$A,0)+ROWS($2:71)-1))</f>
        <v>0.11</v>
      </c>
      <c r="P71">
        <f>IF(ROWS($2:71)&gt;COUNTIF(Maximum_RawData!$A:$A,"1_Maximum"),"",INDEX(Maximum_RawData!P:P,MATCH("1_Maximum",Maximum_RawData!$A:$A,0)+ROWS($2:71)-1))</f>
        <v>0.08</v>
      </c>
      <c r="Q71">
        <f>IF(ROWS($2:71)&gt;COUNTIF(Maximum_RawData!$A:$A,"1_Maximum"),"",INDEX(Maximum_RawData!Q:Q,MATCH("1_Maximum",Maximum_RawData!$A:$A,0)+ROWS($2:71)-1))</f>
        <v>0.1</v>
      </c>
      <c r="R71" t="str">
        <f>IF(ROWS($2:71)&gt;COUNTIF(Maximum_RawData!$A:$A,"1_Maximum"),"",INDEX(Maximum_RawData!R:R,MATCH("1_Maximum",Maximum_RawData!$A:$A,0)+ROWS($2:71)-1))</f>
        <v>Pass</v>
      </c>
      <c r="S71">
        <f>IF(ROWS($2:71)&gt;COUNTIF(Maximum_RawData!$A:$A,"1_Maximum"),"",INDEX(Maximum_RawData!S:S,MATCH("1_Maximum",Maximum_RawData!$A:$A,0)+ROWS($2:71)-1))</f>
        <v>0</v>
      </c>
      <c r="T71">
        <f>IF(ROWS($2:71)&gt;COUNTIF(Maximum_RawData!$A:$A,"1_Maximum"),"",INDEX(Maximum_RawData!T:T,MATCH("1_Maximum",Maximum_RawData!$A:$A,0)+ROWS($2:71)-1))</f>
        <v>0</v>
      </c>
    </row>
    <row r="72" spans="1:20">
      <c r="A72" t="str">
        <f>IF(ROWS($2:72)&gt;COUNTIF(Maximum_RawData!$A:$A,"1_Maximum"),"",INDEX(Maximum_RawData!A:A,MATCH("1_Maximum",Maximum_RawData!$A:$A,0)+ROWS($2:72)-1))</f>
        <v>1_Maximum</v>
      </c>
      <c r="B72">
        <f>IF(ROWS($2:72)&gt;COUNTIF(Maximum_RawData!$A:$A,"1_Maximum"),"",INDEX(Maximum_RawData!B:B,MATCH("1_Maximum",Maximum_RawData!$A:$A,0)+ROWS($2:72)-1))</f>
        <v>150113.11199999999</v>
      </c>
      <c r="C72">
        <f>IF(ROWS($2:72)&gt;COUNTIF(Maximum_RawData!$A:$A,"1_Maximum"),"",INDEX(Maximum_RawData!C:C,MATCH("1_Maximum",Maximum_RawData!$A:$A,0)+ROWS($2:72)-1))</f>
        <v>17.66</v>
      </c>
      <c r="D72">
        <f>IF(ROWS($2:72)&gt;COUNTIF(Maximum_RawData!$A:$A,"1_Maximum"),"",INDEX(Maximum_RawData!D:D,MATCH("1_Maximum",Maximum_RawData!$A:$A,0)+ROWS($2:72)-1))</f>
        <v>1309.8389999999999</v>
      </c>
      <c r="E72">
        <f>IF(ROWS($2:72)&gt;COUNTIF(Maximum_RawData!$A:$A,"1_Maximum"),"",INDEX(Maximum_RawData!E:E,MATCH("1_Maximum",Maximum_RawData!$A:$A,0)+ROWS($2:72)-1))</f>
        <v>7.45</v>
      </c>
      <c r="F72">
        <f>IF(ROWS($2:72)&gt;COUNTIF(Maximum_RawData!$A:$A,"1_Maximum"),"",INDEX(Maximum_RawData!F:F,MATCH("1_Maximum",Maximum_RawData!$A:$A,0)+ROWS($2:72)-1))</f>
        <v>399</v>
      </c>
      <c r="G72">
        <f>IF(ROWS($2:72)&gt;COUNTIF(Maximum_RawData!$A:$A,"1_Maximum"),"",INDEX(Maximum_RawData!G:G,MATCH("1_Maximum",Maximum_RawData!$A:$A,0)+ROWS($2:72)-1))</f>
        <v>399</v>
      </c>
      <c r="H72">
        <f>IF(ROWS($2:72)&gt;COUNTIF(Maximum_RawData!$A:$A,"1_Maximum"),"",INDEX(Maximum_RawData!H:H,MATCH("1_Maximum",Maximum_RawData!$A:$A,0)+ROWS($2:72)-1))</f>
        <v>399</v>
      </c>
      <c r="I72">
        <f>IF(ROWS($2:72)&gt;COUNTIF(Maximum_RawData!$A:$A,"1_Maximum"),"",INDEX(Maximum_RawData!I:I,MATCH("1_Maximum",Maximum_RawData!$A:$A,0)+ROWS($2:72)-1))</f>
        <v>399</v>
      </c>
      <c r="J72">
        <f>IF(ROWS($2:72)&gt;COUNTIF(Maximum_RawData!$A:$A,"1_Maximum"),"",INDEX(Maximum_RawData!J:J,MATCH("1_Maximum",Maximum_RawData!$A:$A,0)+ROWS($2:72)-1))</f>
        <v>399</v>
      </c>
      <c r="K72">
        <f>IF(ROWS($2:72)&gt;COUNTIF(Maximum_RawData!$A:$A,"1_Maximum"),"",INDEX(Maximum_RawData!K:K,MATCH("1_Maximum",Maximum_RawData!$A:$A,0)+ROWS($2:72)-1))</f>
        <v>399</v>
      </c>
      <c r="L72">
        <f>IF(ROWS($2:72)&gt;COUNTIF(Maximum_RawData!$A:$A,"1_Maximum"),"",INDEX(Maximum_RawData!L:L,MATCH("1_Maximum",Maximum_RawData!$A:$A,0)+ROWS($2:72)-1))</f>
        <v>399</v>
      </c>
      <c r="M72">
        <f>IF(ROWS($2:72)&gt;COUNTIF(Maximum_RawData!$A:$A,"1_Maximum"),"",INDEX(Maximum_RawData!M:M,MATCH("1_Maximum",Maximum_RawData!$A:$A,0)+ROWS($2:72)-1))</f>
        <v>399</v>
      </c>
      <c r="N72">
        <f>IF(ROWS($2:72)&gt;COUNTIF(Maximum_RawData!$A:$A,"1_Maximum"),"",INDEX(Maximum_RawData!N:N,MATCH("1_Maximum",Maximum_RawData!$A:$A,0)+ROWS($2:72)-1))</f>
        <v>0.08</v>
      </c>
      <c r="O72">
        <f>IF(ROWS($2:72)&gt;COUNTIF(Maximum_RawData!$A:$A,"1_Maximum"),"",INDEX(Maximum_RawData!O:O,MATCH("1_Maximum",Maximum_RawData!$A:$A,0)+ROWS($2:72)-1))</f>
        <v>0.11</v>
      </c>
      <c r="P72">
        <f>IF(ROWS($2:72)&gt;COUNTIF(Maximum_RawData!$A:$A,"1_Maximum"),"",INDEX(Maximum_RawData!P:P,MATCH("1_Maximum",Maximum_RawData!$A:$A,0)+ROWS($2:72)-1))</f>
        <v>0.08</v>
      </c>
      <c r="Q72">
        <f>IF(ROWS($2:72)&gt;COUNTIF(Maximum_RawData!$A:$A,"1_Maximum"),"",INDEX(Maximum_RawData!Q:Q,MATCH("1_Maximum",Maximum_RawData!$A:$A,0)+ROWS($2:72)-1))</f>
        <v>0.1</v>
      </c>
      <c r="R72" t="str">
        <f>IF(ROWS($2:72)&gt;COUNTIF(Maximum_RawData!$A:$A,"1_Maximum"),"",INDEX(Maximum_RawData!R:R,MATCH("1_Maximum",Maximum_RawData!$A:$A,0)+ROWS($2:72)-1))</f>
        <v>Pass</v>
      </c>
      <c r="S72">
        <f>IF(ROWS($2:72)&gt;COUNTIF(Maximum_RawData!$A:$A,"1_Maximum"),"",INDEX(Maximum_RawData!S:S,MATCH("1_Maximum",Maximum_RawData!$A:$A,0)+ROWS($2:72)-1))</f>
        <v>0</v>
      </c>
      <c r="T72">
        <f>IF(ROWS($2:72)&gt;COUNTIF(Maximum_RawData!$A:$A,"1_Maximum"),"",INDEX(Maximum_RawData!T:T,MATCH("1_Maximum",Maximum_RawData!$A:$A,0)+ROWS($2:72)-1))</f>
        <v>0</v>
      </c>
    </row>
    <row r="73" spans="1:20">
      <c r="A73" t="str">
        <f>IF(ROWS($2:73)&gt;COUNTIF(Maximum_RawData!$A:$A,"1_Maximum"),"",INDEX(Maximum_RawData!A:A,MATCH("1_Maximum",Maximum_RawData!$A:$A,0)+ROWS($2:73)-1))</f>
        <v>1_Maximum</v>
      </c>
      <c r="B73">
        <f>IF(ROWS($2:73)&gt;COUNTIF(Maximum_RawData!$A:$A,"1_Maximum"),"",INDEX(Maximum_RawData!B:B,MATCH("1_Maximum",Maximum_RawData!$A:$A,0)+ROWS($2:73)-1))</f>
        <v>150118.117</v>
      </c>
      <c r="C73">
        <f>IF(ROWS($2:73)&gt;COUNTIF(Maximum_RawData!$A:$A,"1_Maximum"),"",INDEX(Maximum_RawData!C:C,MATCH("1_Maximum",Maximum_RawData!$A:$A,0)+ROWS($2:73)-1))</f>
        <v>16.920000000000002</v>
      </c>
      <c r="D73">
        <f>IF(ROWS($2:73)&gt;COUNTIF(Maximum_RawData!$A:$A,"1_Maximum"),"",INDEX(Maximum_RawData!D:D,MATCH("1_Maximum",Maximum_RawData!$A:$A,0)+ROWS($2:73)-1))</f>
        <v>1309.761</v>
      </c>
      <c r="E73">
        <f>IF(ROWS($2:73)&gt;COUNTIF(Maximum_RawData!$A:$A,"1_Maximum"),"",INDEX(Maximum_RawData!E:E,MATCH("1_Maximum",Maximum_RawData!$A:$A,0)+ROWS($2:73)-1))</f>
        <v>7.39</v>
      </c>
      <c r="F73">
        <f>IF(ROWS($2:73)&gt;COUNTIF(Maximum_RawData!$A:$A,"1_Maximum"),"",INDEX(Maximum_RawData!F:F,MATCH("1_Maximum",Maximum_RawData!$A:$A,0)+ROWS($2:73)-1))</f>
        <v>399</v>
      </c>
      <c r="G73">
        <f>IF(ROWS($2:73)&gt;COUNTIF(Maximum_RawData!$A:$A,"1_Maximum"),"",INDEX(Maximum_RawData!G:G,MATCH("1_Maximum",Maximum_RawData!$A:$A,0)+ROWS($2:73)-1))</f>
        <v>399</v>
      </c>
      <c r="H73">
        <f>IF(ROWS($2:73)&gt;COUNTIF(Maximum_RawData!$A:$A,"1_Maximum"),"",INDEX(Maximum_RawData!H:H,MATCH("1_Maximum",Maximum_RawData!$A:$A,0)+ROWS($2:73)-1))</f>
        <v>399</v>
      </c>
      <c r="I73">
        <f>IF(ROWS($2:73)&gt;COUNTIF(Maximum_RawData!$A:$A,"1_Maximum"),"",INDEX(Maximum_RawData!I:I,MATCH("1_Maximum",Maximum_RawData!$A:$A,0)+ROWS($2:73)-1))</f>
        <v>399</v>
      </c>
      <c r="J73">
        <f>IF(ROWS($2:73)&gt;COUNTIF(Maximum_RawData!$A:$A,"1_Maximum"),"",INDEX(Maximum_RawData!J:J,MATCH("1_Maximum",Maximum_RawData!$A:$A,0)+ROWS($2:73)-1))</f>
        <v>399</v>
      </c>
      <c r="K73">
        <f>IF(ROWS($2:73)&gt;COUNTIF(Maximum_RawData!$A:$A,"1_Maximum"),"",INDEX(Maximum_RawData!K:K,MATCH("1_Maximum",Maximum_RawData!$A:$A,0)+ROWS($2:73)-1))</f>
        <v>399</v>
      </c>
      <c r="L73">
        <f>IF(ROWS($2:73)&gt;COUNTIF(Maximum_RawData!$A:$A,"1_Maximum"),"",INDEX(Maximum_RawData!L:L,MATCH("1_Maximum",Maximum_RawData!$A:$A,0)+ROWS($2:73)-1))</f>
        <v>399</v>
      </c>
      <c r="M73">
        <f>IF(ROWS($2:73)&gt;COUNTIF(Maximum_RawData!$A:$A,"1_Maximum"),"",INDEX(Maximum_RawData!M:M,MATCH("1_Maximum",Maximum_RawData!$A:$A,0)+ROWS($2:73)-1))</f>
        <v>399</v>
      </c>
      <c r="N73">
        <f>IF(ROWS($2:73)&gt;COUNTIF(Maximum_RawData!$A:$A,"1_Maximum"),"",INDEX(Maximum_RawData!N:N,MATCH("1_Maximum",Maximum_RawData!$A:$A,0)+ROWS($2:73)-1))</f>
        <v>0.11</v>
      </c>
      <c r="O73">
        <f>IF(ROWS($2:73)&gt;COUNTIF(Maximum_RawData!$A:$A,"1_Maximum"),"",INDEX(Maximum_RawData!O:O,MATCH("1_Maximum",Maximum_RawData!$A:$A,0)+ROWS($2:73)-1))</f>
        <v>0.11</v>
      </c>
      <c r="P73">
        <f>IF(ROWS($2:73)&gt;COUNTIF(Maximum_RawData!$A:$A,"1_Maximum"),"",INDEX(Maximum_RawData!P:P,MATCH("1_Maximum",Maximum_RawData!$A:$A,0)+ROWS($2:73)-1))</f>
        <v>0.08</v>
      </c>
      <c r="Q73">
        <f>IF(ROWS($2:73)&gt;COUNTIF(Maximum_RawData!$A:$A,"1_Maximum"),"",INDEX(Maximum_RawData!Q:Q,MATCH("1_Maximum",Maximum_RawData!$A:$A,0)+ROWS($2:73)-1))</f>
        <v>0.1</v>
      </c>
      <c r="R73" t="str">
        <f>IF(ROWS($2:73)&gt;COUNTIF(Maximum_RawData!$A:$A,"1_Maximum"),"",INDEX(Maximum_RawData!R:R,MATCH("1_Maximum",Maximum_RawData!$A:$A,0)+ROWS($2:73)-1))</f>
        <v>Pass</v>
      </c>
      <c r="S73">
        <f>IF(ROWS($2:73)&gt;COUNTIF(Maximum_RawData!$A:$A,"1_Maximum"),"",INDEX(Maximum_RawData!S:S,MATCH("1_Maximum",Maximum_RawData!$A:$A,0)+ROWS($2:73)-1))</f>
        <v>0</v>
      </c>
      <c r="T73">
        <f>IF(ROWS($2:73)&gt;COUNTIF(Maximum_RawData!$A:$A,"1_Maximum"),"",INDEX(Maximum_RawData!T:T,MATCH("1_Maximum",Maximum_RawData!$A:$A,0)+ROWS($2:73)-1))</f>
        <v>0</v>
      </c>
    </row>
    <row r="74" spans="1:20">
      <c r="A74" t="str">
        <f>IF(ROWS($2:74)&gt;COUNTIF(Maximum_RawData!$A:$A,"1_Maximum"),"",INDEX(Maximum_RawData!A:A,MATCH("1_Maximum",Maximum_RawData!$A:$A,0)+ROWS($2:74)-1))</f>
        <v>1_Maximum</v>
      </c>
      <c r="B74">
        <f>IF(ROWS($2:74)&gt;COUNTIF(Maximum_RawData!$A:$A,"1_Maximum"),"",INDEX(Maximum_RawData!B:B,MATCH("1_Maximum",Maximum_RawData!$A:$A,0)+ROWS($2:74)-1))</f>
        <v>150123.11499999999</v>
      </c>
      <c r="C74">
        <f>IF(ROWS($2:74)&gt;COUNTIF(Maximum_RawData!$A:$A,"1_Maximum"),"",INDEX(Maximum_RawData!C:C,MATCH("1_Maximum",Maximum_RawData!$A:$A,0)+ROWS($2:74)-1))</f>
        <v>16.149999999999999</v>
      </c>
      <c r="D74">
        <f>IF(ROWS($2:74)&gt;COUNTIF(Maximum_RawData!$A:$A,"1_Maximum"),"",INDEX(Maximum_RawData!D:D,MATCH("1_Maximum",Maximum_RawData!$A:$A,0)+ROWS($2:74)-1))</f>
        <v>1309.69</v>
      </c>
      <c r="E74">
        <f>IF(ROWS($2:74)&gt;COUNTIF(Maximum_RawData!$A:$A,"1_Maximum"),"",INDEX(Maximum_RawData!E:E,MATCH("1_Maximum",Maximum_RawData!$A:$A,0)+ROWS($2:74)-1))</f>
        <v>7.47</v>
      </c>
      <c r="F74">
        <f>IF(ROWS($2:74)&gt;COUNTIF(Maximum_RawData!$A:$A,"1_Maximum"),"",INDEX(Maximum_RawData!F:F,MATCH("1_Maximum",Maximum_RawData!$A:$A,0)+ROWS($2:74)-1))</f>
        <v>399</v>
      </c>
      <c r="G74">
        <f>IF(ROWS($2:74)&gt;COUNTIF(Maximum_RawData!$A:$A,"1_Maximum"),"",INDEX(Maximum_RawData!G:G,MATCH("1_Maximum",Maximum_RawData!$A:$A,0)+ROWS($2:74)-1))</f>
        <v>399</v>
      </c>
      <c r="H74">
        <f>IF(ROWS($2:74)&gt;COUNTIF(Maximum_RawData!$A:$A,"1_Maximum"),"",INDEX(Maximum_RawData!H:H,MATCH("1_Maximum",Maximum_RawData!$A:$A,0)+ROWS($2:74)-1))</f>
        <v>399</v>
      </c>
      <c r="I74">
        <f>IF(ROWS($2:74)&gt;COUNTIF(Maximum_RawData!$A:$A,"1_Maximum"),"",INDEX(Maximum_RawData!I:I,MATCH("1_Maximum",Maximum_RawData!$A:$A,0)+ROWS($2:74)-1))</f>
        <v>399</v>
      </c>
      <c r="J74">
        <f>IF(ROWS($2:74)&gt;COUNTIF(Maximum_RawData!$A:$A,"1_Maximum"),"",INDEX(Maximum_RawData!J:J,MATCH("1_Maximum",Maximum_RawData!$A:$A,0)+ROWS($2:74)-1))</f>
        <v>399</v>
      </c>
      <c r="K74">
        <f>IF(ROWS($2:74)&gt;COUNTIF(Maximum_RawData!$A:$A,"1_Maximum"),"",INDEX(Maximum_RawData!K:K,MATCH("1_Maximum",Maximum_RawData!$A:$A,0)+ROWS($2:74)-1))</f>
        <v>399</v>
      </c>
      <c r="L74">
        <f>IF(ROWS($2:74)&gt;COUNTIF(Maximum_RawData!$A:$A,"1_Maximum"),"",INDEX(Maximum_RawData!L:L,MATCH("1_Maximum",Maximum_RawData!$A:$A,0)+ROWS($2:74)-1))</f>
        <v>399</v>
      </c>
      <c r="M74">
        <f>IF(ROWS($2:74)&gt;COUNTIF(Maximum_RawData!$A:$A,"1_Maximum"),"",INDEX(Maximum_RawData!M:M,MATCH("1_Maximum",Maximum_RawData!$A:$A,0)+ROWS($2:74)-1))</f>
        <v>399</v>
      </c>
      <c r="N74">
        <f>IF(ROWS($2:74)&gt;COUNTIF(Maximum_RawData!$A:$A,"1_Maximum"),"",INDEX(Maximum_RawData!N:N,MATCH("1_Maximum",Maximum_RawData!$A:$A,0)+ROWS($2:74)-1))</f>
        <v>0.09</v>
      </c>
      <c r="O74">
        <f>IF(ROWS($2:74)&gt;COUNTIF(Maximum_RawData!$A:$A,"1_Maximum"),"",INDEX(Maximum_RawData!O:O,MATCH("1_Maximum",Maximum_RawData!$A:$A,0)+ROWS($2:74)-1))</f>
        <v>0.11</v>
      </c>
      <c r="P74">
        <f>IF(ROWS($2:74)&gt;COUNTIF(Maximum_RawData!$A:$A,"1_Maximum"),"",INDEX(Maximum_RawData!P:P,MATCH("1_Maximum",Maximum_RawData!$A:$A,0)+ROWS($2:74)-1))</f>
        <v>0.08</v>
      </c>
      <c r="Q74">
        <f>IF(ROWS($2:74)&gt;COUNTIF(Maximum_RawData!$A:$A,"1_Maximum"),"",INDEX(Maximum_RawData!Q:Q,MATCH("1_Maximum",Maximum_RawData!$A:$A,0)+ROWS($2:74)-1))</f>
        <v>0.1</v>
      </c>
      <c r="R74" t="str">
        <f>IF(ROWS($2:74)&gt;COUNTIF(Maximum_RawData!$A:$A,"1_Maximum"),"",INDEX(Maximum_RawData!R:R,MATCH("1_Maximum",Maximum_RawData!$A:$A,0)+ROWS($2:74)-1))</f>
        <v>Pass</v>
      </c>
      <c r="S74">
        <f>IF(ROWS($2:74)&gt;COUNTIF(Maximum_RawData!$A:$A,"1_Maximum"),"",INDEX(Maximum_RawData!S:S,MATCH("1_Maximum",Maximum_RawData!$A:$A,0)+ROWS($2:74)-1))</f>
        <v>0</v>
      </c>
      <c r="T74">
        <f>IF(ROWS($2:74)&gt;COUNTIF(Maximum_RawData!$A:$A,"1_Maximum"),"",INDEX(Maximum_RawData!T:T,MATCH("1_Maximum",Maximum_RawData!$A:$A,0)+ROWS($2:74)-1))</f>
        <v>0</v>
      </c>
    </row>
    <row r="75" spans="1:20">
      <c r="A75" t="str">
        <f>IF(ROWS($2:75)&gt;COUNTIF(Maximum_RawData!$A:$A,"1_Maximum"),"",INDEX(Maximum_RawData!A:A,MATCH("1_Maximum",Maximum_RawData!$A:$A,0)+ROWS($2:75)-1))</f>
        <v>1_Maximum</v>
      </c>
      <c r="B75">
        <f>IF(ROWS($2:75)&gt;COUNTIF(Maximum_RawData!$A:$A,"1_Maximum"),"",INDEX(Maximum_RawData!B:B,MATCH("1_Maximum",Maximum_RawData!$A:$A,0)+ROWS($2:75)-1))</f>
        <v>150128.117</v>
      </c>
      <c r="C75">
        <f>IF(ROWS($2:75)&gt;COUNTIF(Maximum_RawData!$A:$A,"1_Maximum"),"",INDEX(Maximum_RawData!C:C,MATCH("1_Maximum",Maximum_RawData!$A:$A,0)+ROWS($2:75)-1))</f>
        <v>15.42</v>
      </c>
      <c r="D75">
        <f>IF(ROWS($2:75)&gt;COUNTIF(Maximum_RawData!$A:$A,"1_Maximum"),"",INDEX(Maximum_RawData!D:D,MATCH("1_Maximum",Maximum_RawData!$A:$A,0)+ROWS($2:75)-1))</f>
        <v>1309.6199999999999</v>
      </c>
      <c r="E75">
        <f>IF(ROWS($2:75)&gt;COUNTIF(Maximum_RawData!$A:$A,"1_Maximum"),"",INDEX(Maximum_RawData!E:E,MATCH("1_Maximum",Maximum_RawData!$A:$A,0)+ROWS($2:75)-1))</f>
        <v>7.53</v>
      </c>
      <c r="F75">
        <f>IF(ROWS($2:75)&gt;COUNTIF(Maximum_RawData!$A:$A,"1_Maximum"),"",INDEX(Maximum_RawData!F:F,MATCH("1_Maximum",Maximum_RawData!$A:$A,0)+ROWS($2:75)-1))</f>
        <v>399</v>
      </c>
      <c r="G75">
        <f>IF(ROWS($2:75)&gt;COUNTIF(Maximum_RawData!$A:$A,"1_Maximum"),"",INDEX(Maximum_RawData!G:G,MATCH("1_Maximum",Maximum_RawData!$A:$A,0)+ROWS($2:75)-1))</f>
        <v>399</v>
      </c>
      <c r="H75">
        <f>IF(ROWS($2:75)&gt;COUNTIF(Maximum_RawData!$A:$A,"1_Maximum"),"",INDEX(Maximum_RawData!H:H,MATCH("1_Maximum",Maximum_RawData!$A:$A,0)+ROWS($2:75)-1))</f>
        <v>399</v>
      </c>
      <c r="I75">
        <f>IF(ROWS($2:75)&gt;COUNTIF(Maximum_RawData!$A:$A,"1_Maximum"),"",INDEX(Maximum_RawData!I:I,MATCH("1_Maximum",Maximum_RawData!$A:$A,0)+ROWS($2:75)-1))</f>
        <v>399</v>
      </c>
      <c r="J75">
        <f>IF(ROWS($2:75)&gt;COUNTIF(Maximum_RawData!$A:$A,"1_Maximum"),"",INDEX(Maximum_RawData!J:J,MATCH("1_Maximum",Maximum_RawData!$A:$A,0)+ROWS($2:75)-1))</f>
        <v>399</v>
      </c>
      <c r="K75">
        <f>IF(ROWS($2:75)&gt;COUNTIF(Maximum_RawData!$A:$A,"1_Maximum"),"",INDEX(Maximum_RawData!K:K,MATCH("1_Maximum",Maximum_RawData!$A:$A,0)+ROWS($2:75)-1))</f>
        <v>399</v>
      </c>
      <c r="L75">
        <f>IF(ROWS($2:75)&gt;COUNTIF(Maximum_RawData!$A:$A,"1_Maximum"),"",INDEX(Maximum_RawData!L:L,MATCH("1_Maximum",Maximum_RawData!$A:$A,0)+ROWS($2:75)-1))</f>
        <v>399</v>
      </c>
      <c r="M75">
        <f>IF(ROWS($2:75)&gt;COUNTIF(Maximum_RawData!$A:$A,"1_Maximum"),"",INDEX(Maximum_RawData!M:M,MATCH("1_Maximum",Maximum_RawData!$A:$A,0)+ROWS($2:75)-1))</f>
        <v>399</v>
      </c>
      <c r="N75">
        <f>IF(ROWS($2:75)&gt;COUNTIF(Maximum_RawData!$A:$A,"1_Maximum"),"",INDEX(Maximum_RawData!N:N,MATCH("1_Maximum",Maximum_RawData!$A:$A,0)+ROWS($2:75)-1))</f>
        <v>0.1</v>
      </c>
      <c r="O75">
        <f>IF(ROWS($2:75)&gt;COUNTIF(Maximum_RawData!$A:$A,"1_Maximum"),"",INDEX(Maximum_RawData!O:O,MATCH("1_Maximum",Maximum_RawData!$A:$A,0)+ROWS($2:75)-1))</f>
        <v>0.11</v>
      </c>
      <c r="P75">
        <f>IF(ROWS($2:75)&gt;COUNTIF(Maximum_RawData!$A:$A,"1_Maximum"),"",INDEX(Maximum_RawData!P:P,MATCH("1_Maximum",Maximum_RawData!$A:$A,0)+ROWS($2:75)-1))</f>
        <v>0.08</v>
      </c>
      <c r="Q75">
        <f>IF(ROWS($2:75)&gt;COUNTIF(Maximum_RawData!$A:$A,"1_Maximum"),"",INDEX(Maximum_RawData!Q:Q,MATCH("1_Maximum",Maximum_RawData!$A:$A,0)+ROWS($2:75)-1))</f>
        <v>0.1</v>
      </c>
      <c r="R75" t="str">
        <f>IF(ROWS($2:75)&gt;COUNTIF(Maximum_RawData!$A:$A,"1_Maximum"),"",INDEX(Maximum_RawData!R:R,MATCH("1_Maximum",Maximum_RawData!$A:$A,0)+ROWS($2:75)-1))</f>
        <v>Pass</v>
      </c>
      <c r="S75">
        <f>IF(ROWS($2:75)&gt;COUNTIF(Maximum_RawData!$A:$A,"1_Maximum"),"",INDEX(Maximum_RawData!S:S,MATCH("1_Maximum",Maximum_RawData!$A:$A,0)+ROWS($2:75)-1))</f>
        <v>0</v>
      </c>
      <c r="T75">
        <f>IF(ROWS($2:75)&gt;COUNTIF(Maximum_RawData!$A:$A,"1_Maximum"),"",INDEX(Maximum_RawData!T:T,MATCH("1_Maximum",Maximum_RawData!$A:$A,0)+ROWS($2:75)-1))</f>
        <v>0</v>
      </c>
    </row>
    <row r="76" spans="1:20">
      <c r="A76" t="str">
        <f>IF(ROWS($2:76)&gt;COUNTIF(Maximum_RawData!$A:$A,"1_Maximum"),"",INDEX(Maximum_RawData!A:A,MATCH("1_Maximum",Maximum_RawData!$A:$A,0)+ROWS($2:76)-1))</f>
        <v>1_Maximum</v>
      </c>
      <c r="B76">
        <f>IF(ROWS($2:76)&gt;COUNTIF(Maximum_RawData!$A:$A,"1_Maximum"),"",INDEX(Maximum_RawData!B:B,MATCH("1_Maximum",Maximum_RawData!$A:$A,0)+ROWS($2:76)-1))</f>
        <v>150133.12100000001</v>
      </c>
      <c r="C76">
        <f>IF(ROWS($2:76)&gt;COUNTIF(Maximum_RawData!$A:$A,"1_Maximum"),"",INDEX(Maximum_RawData!C:C,MATCH("1_Maximum",Maximum_RawData!$A:$A,0)+ROWS($2:76)-1))</f>
        <v>14.67</v>
      </c>
      <c r="D76">
        <f>IF(ROWS($2:76)&gt;COUNTIF(Maximum_RawData!$A:$A,"1_Maximum"),"",INDEX(Maximum_RawData!D:D,MATCH("1_Maximum",Maximum_RawData!$A:$A,0)+ROWS($2:76)-1))</f>
        <v>1309.5550000000001</v>
      </c>
      <c r="E76">
        <f>IF(ROWS($2:76)&gt;COUNTIF(Maximum_RawData!$A:$A,"1_Maximum"),"",INDEX(Maximum_RawData!E:E,MATCH("1_Maximum",Maximum_RawData!$A:$A,0)+ROWS($2:76)-1))</f>
        <v>7.56</v>
      </c>
      <c r="F76">
        <f>IF(ROWS($2:76)&gt;COUNTIF(Maximum_RawData!$A:$A,"1_Maximum"),"",INDEX(Maximum_RawData!F:F,MATCH("1_Maximum",Maximum_RawData!$A:$A,0)+ROWS($2:76)-1))</f>
        <v>399</v>
      </c>
      <c r="G76">
        <f>IF(ROWS($2:76)&gt;COUNTIF(Maximum_RawData!$A:$A,"1_Maximum"),"",INDEX(Maximum_RawData!G:G,MATCH("1_Maximum",Maximum_RawData!$A:$A,0)+ROWS($2:76)-1))</f>
        <v>399</v>
      </c>
      <c r="H76">
        <f>IF(ROWS($2:76)&gt;COUNTIF(Maximum_RawData!$A:$A,"1_Maximum"),"",INDEX(Maximum_RawData!H:H,MATCH("1_Maximum",Maximum_RawData!$A:$A,0)+ROWS($2:76)-1))</f>
        <v>399</v>
      </c>
      <c r="I76">
        <f>IF(ROWS($2:76)&gt;COUNTIF(Maximum_RawData!$A:$A,"1_Maximum"),"",INDEX(Maximum_RawData!I:I,MATCH("1_Maximum",Maximum_RawData!$A:$A,0)+ROWS($2:76)-1))</f>
        <v>399</v>
      </c>
      <c r="J76">
        <f>IF(ROWS($2:76)&gt;COUNTIF(Maximum_RawData!$A:$A,"1_Maximum"),"",INDEX(Maximum_RawData!J:J,MATCH("1_Maximum",Maximum_RawData!$A:$A,0)+ROWS($2:76)-1))</f>
        <v>399</v>
      </c>
      <c r="K76">
        <f>IF(ROWS($2:76)&gt;COUNTIF(Maximum_RawData!$A:$A,"1_Maximum"),"",INDEX(Maximum_RawData!K:K,MATCH("1_Maximum",Maximum_RawData!$A:$A,0)+ROWS($2:76)-1))</f>
        <v>399</v>
      </c>
      <c r="L76">
        <f>IF(ROWS($2:76)&gt;COUNTIF(Maximum_RawData!$A:$A,"1_Maximum"),"",INDEX(Maximum_RawData!L:L,MATCH("1_Maximum",Maximum_RawData!$A:$A,0)+ROWS($2:76)-1))</f>
        <v>399</v>
      </c>
      <c r="M76">
        <f>IF(ROWS($2:76)&gt;COUNTIF(Maximum_RawData!$A:$A,"1_Maximum"),"",INDEX(Maximum_RawData!M:M,MATCH("1_Maximum",Maximum_RawData!$A:$A,0)+ROWS($2:76)-1))</f>
        <v>399</v>
      </c>
      <c r="N76">
        <f>IF(ROWS($2:76)&gt;COUNTIF(Maximum_RawData!$A:$A,"1_Maximum"),"",INDEX(Maximum_RawData!N:N,MATCH("1_Maximum",Maximum_RawData!$A:$A,0)+ROWS($2:76)-1))</f>
        <v>0.09</v>
      </c>
      <c r="O76">
        <f>IF(ROWS($2:76)&gt;COUNTIF(Maximum_RawData!$A:$A,"1_Maximum"),"",INDEX(Maximum_RawData!O:O,MATCH("1_Maximum",Maximum_RawData!$A:$A,0)+ROWS($2:76)-1))</f>
        <v>0.11</v>
      </c>
      <c r="P76">
        <f>IF(ROWS($2:76)&gt;COUNTIF(Maximum_RawData!$A:$A,"1_Maximum"),"",INDEX(Maximum_RawData!P:P,MATCH("1_Maximum",Maximum_RawData!$A:$A,0)+ROWS($2:76)-1))</f>
        <v>0.08</v>
      </c>
      <c r="Q76">
        <f>IF(ROWS($2:76)&gt;COUNTIF(Maximum_RawData!$A:$A,"1_Maximum"),"",INDEX(Maximum_RawData!Q:Q,MATCH("1_Maximum",Maximum_RawData!$A:$A,0)+ROWS($2:76)-1))</f>
        <v>0.1</v>
      </c>
      <c r="R76" t="str">
        <f>IF(ROWS($2:76)&gt;COUNTIF(Maximum_RawData!$A:$A,"1_Maximum"),"",INDEX(Maximum_RawData!R:R,MATCH("1_Maximum",Maximum_RawData!$A:$A,0)+ROWS($2:76)-1))</f>
        <v>Pass</v>
      </c>
      <c r="S76">
        <f>IF(ROWS($2:76)&gt;COUNTIF(Maximum_RawData!$A:$A,"1_Maximum"),"",INDEX(Maximum_RawData!S:S,MATCH("1_Maximum",Maximum_RawData!$A:$A,0)+ROWS($2:76)-1))</f>
        <v>0</v>
      </c>
      <c r="T76">
        <f>IF(ROWS($2:76)&gt;COUNTIF(Maximum_RawData!$A:$A,"1_Maximum"),"",INDEX(Maximum_RawData!T:T,MATCH("1_Maximum",Maximum_RawData!$A:$A,0)+ROWS($2:76)-1))</f>
        <v>0</v>
      </c>
    </row>
    <row r="77" spans="1:20">
      <c r="A77" t="str">
        <f>IF(ROWS($2:77)&gt;COUNTIF(Maximum_RawData!$A:$A,"1_Maximum"),"",INDEX(Maximum_RawData!A:A,MATCH("1_Maximum",Maximum_RawData!$A:$A,0)+ROWS($2:77)-1))</f>
        <v>1_Maximum</v>
      </c>
      <c r="B77">
        <f>IF(ROWS($2:77)&gt;COUNTIF(Maximum_RawData!$A:$A,"1_Maximum"),"",INDEX(Maximum_RawData!B:B,MATCH("1_Maximum",Maximum_RawData!$A:$A,0)+ROWS($2:77)-1))</f>
        <v>150138.11799999999</v>
      </c>
      <c r="C77">
        <f>IF(ROWS($2:77)&gt;COUNTIF(Maximum_RawData!$A:$A,"1_Maximum"),"",INDEX(Maximum_RawData!C:C,MATCH("1_Maximum",Maximum_RawData!$A:$A,0)+ROWS($2:77)-1))</f>
        <v>13.9</v>
      </c>
      <c r="D77">
        <f>IF(ROWS($2:77)&gt;COUNTIF(Maximum_RawData!$A:$A,"1_Maximum"),"",INDEX(Maximum_RawData!D:D,MATCH("1_Maximum",Maximum_RawData!$A:$A,0)+ROWS($2:77)-1))</f>
        <v>1309.4839999999999</v>
      </c>
      <c r="E77">
        <f>IF(ROWS($2:77)&gt;COUNTIF(Maximum_RawData!$A:$A,"1_Maximum"),"",INDEX(Maximum_RawData!E:E,MATCH("1_Maximum",Maximum_RawData!$A:$A,0)+ROWS($2:77)-1))</f>
        <v>7.58</v>
      </c>
      <c r="F77">
        <f>IF(ROWS($2:77)&gt;COUNTIF(Maximum_RawData!$A:$A,"1_Maximum"),"",INDEX(Maximum_RawData!F:F,MATCH("1_Maximum",Maximum_RawData!$A:$A,0)+ROWS($2:77)-1))</f>
        <v>399</v>
      </c>
      <c r="G77">
        <f>IF(ROWS($2:77)&gt;COUNTIF(Maximum_RawData!$A:$A,"1_Maximum"),"",INDEX(Maximum_RawData!G:G,MATCH("1_Maximum",Maximum_RawData!$A:$A,0)+ROWS($2:77)-1))</f>
        <v>399</v>
      </c>
      <c r="H77">
        <f>IF(ROWS($2:77)&gt;COUNTIF(Maximum_RawData!$A:$A,"1_Maximum"),"",INDEX(Maximum_RawData!H:H,MATCH("1_Maximum",Maximum_RawData!$A:$A,0)+ROWS($2:77)-1))</f>
        <v>399</v>
      </c>
      <c r="I77">
        <f>IF(ROWS($2:77)&gt;COUNTIF(Maximum_RawData!$A:$A,"1_Maximum"),"",INDEX(Maximum_RawData!I:I,MATCH("1_Maximum",Maximum_RawData!$A:$A,0)+ROWS($2:77)-1))</f>
        <v>399</v>
      </c>
      <c r="J77">
        <f>IF(ROWS($2:77)&gt;COUNTIF(Maximum_RawData!$A:$A,"1_Maximum"),"",INDEX(Maximum_RawData!J:J,MATCH("1_Maximum",Maximum_RawData!$A:$A,0)+ROWS($2:77)-1))</f>
        <v>399</v>
      </c>
      <c r="K77">
        <f>IF(ROWS($2:77)&gt;COUNTIF(Maximum_RawData!$A:$A,"1_Maximum"),"",INDEX(Maximum_RawData!K:K,MATCH("1_Maximum",Maximum_RawData!$A:$A,0)+ROWS($2:77)-1))</f>
        <v>399</v>
      </c>
      <c r="L77">
        <f>IF(ROWS($2:77)&gt;COUNTIF(Maximum_RawData!$A:$A,"1_Maximum"),"",INDEX(Maximum_RawData!L:L,MATCH("1_Maximum",Maximum_RawData!$A:$A,0)+ROWS($2:77)-1))</f>
        <v>399</v>
      </c>
      <c r="M77">
        <f>IF(ROWS($2:77)&gt;COUNTIF(Maximum_RawData!$A:$A,"1_Maximum"),"",INDEX(Maximum_RawData!M:M,MATCH("1_Maximum",Maximum_RawData!$A:$A,0)+ROWS($2:77)-1))</f>
        <v>399</v>
      </c>
      <c r="N77">
        <f>IF(ROWS($2:77)&gt;COUNTIF(Maximum_RawData!$A:$A,"1_Maximum"),"",INDEX(Maximum_RawData!N:N,MATCH("1_Maximum",Maximum_RawData!$A:$A,0)+ROWS($2:77)-1))</f>
        <v>0.09</v>
      </c>
      <c r="O77">
        <f>IF(ROWS($2:77)&gt;COUNTIF(Maximum_RawData!$A:$A,"1_Maximum"),"",INDEX(Maximum_RawData!O:O,MATCH("1_Maximum",Maximum_RawData!$A:$A,0)+ROWS($2:77)-1))</f>
        <v>0.11</v>
      </c>
      <c r="P77">
        <f>IF(ROWS($2:77)&gt;COUNTIF(Maximum_RawData!$A:$A,"1_Maximum"),"",INDEX(Maximum_RawData!P:P,MATCH("1_Maximum",Maximum_RawData!$A:$A,0)+ROWS($2:77)-1))</f>
        <v>0.08</v>
      </c>
      <c r="Q77">
        <f>IF(ROWS($2:77)&gt;COUNTIF(Maximum_RawData!$A:$A,"1_Maximum"),"",INDEX(Maximum_RawData!Q:Q,MATCH("1_Maximum",Maximum_RawData!$A:$A,0)+ROWS($2:77)-1))</f>
        <v>0.1</v>
      </c>
      <c r="R77" t="str">
        <f>IF(ROWS($2:77)&gt;COUNTIF(Maximum_RawData!$A:$A,"1_Maximum"),"",INDEX(Maximum_RawData!R:R,MATCH("1_Maximum",Maximum_RawData!$A:$A,0)+ROWS($2:77)-1))</f>
        <v>Pass</v>
      </c>
      <c r="S77">
        <f>IF(ROWS($2:77)&gt;COUNTIF(Maximum_RawData!$A:$A,"1_Maximum"),"",INDEX(Maximum_RawData!S:S,MATCH("1_Maximum",Maximum_RawData!$A:$A,0)+ROWS($2:77)-1))</f>
        <v>0</v>
      </c>
      <c r="T77">
        <f>IF(ROWS($2:77)&gt;COUNTIF(Maximum_RawData!$A:$A,"1_Maximum"),"",INDEX(Maximum_RawData!T:T,MATCH("1_Maximum",Maximum_RawData!$A:$A,0)+ROWS($2:77)-1))</f>
        <v>0</v>
      </c>
    </row>
    <row r="78" spans="1:20">
      <c r="A78" t="str">
        <f>IF(ROWS($2:78)&gt;COUNTIF(Maximum_RawData!$A:$A,"1_Maximum"),"",INDEX(Maximum_RawData!A:A,MATCH("1_Maximum",Maximum_RawData!$A:$A,0)+ROWS($2:78)-1))</f>
        <v>1_Maximum</v>
      </c>
      <c r="B78">
        <f>IF(ROWS($2:78)&gt;COUNTIF(Maximum_RawData!$A:$A,"1_Maximum"),"",INDEX(Maximum_RawData!B:B,MATCH("1_Maximum",Maximum_RawData!$A:$A,0)+ROWS($2:78)-1))</f>
        <v>150143.12</v>
      </c>
      <c r="C78">
        <f>IF(ROWS($2:78)&gt;COUNTIF(Maximum_RawData!$A:$A,"1_Maximum"),"",INDEX(Maximum_RawData!C:C,MATCH("1_Maximum",Maximum_RawData!$A:$A,0)+ROWS($2:78)-1))</f>
        <v>13.17</v>
      </c>
      <c r="D78">
        <f>IF(ROWS($2:78)&gt;COUNTIF(Maximum_RawData!$A:$A,"1_Maximum"),"",INDEX(Maximum_RawData!D:D,MATCH("1_Maximum",Maximum_RawData!$A:$A,0)+ROWS($2:78)-1))</f>
        <v>1309.414</v>
      </c>
      <c r="E78">
        <f>IF(ROWS($2:78)&gt;COUNTIF(Maximum_RawData!$A:$A,"1_Maximum"),"",INDEX(Maximum_RawData!E:E,MATCH("1_Maximum",Maximum_RawData!$A:$A,0)+ROWS($2:78)-1))</f>
        <v>7.55</v>
      </c>
      <c r="F78">
        <f>IF(ROWS($2:78)&gt;COUNTIF(Maximum_RawData!$A:$A,"1_Maximum"),"",INDEX(Maximum_RawData!F:F,MATCH("1_Maximum",Maximum_RawData!$A:$A,0)+ROWS($2:78)-1))</f>
        <v>399</v>
      </c>
      <c r="G78">
        <f>IF(ROWS($2:78)&gt;COUNTIF(Maximum_RawData!$A:$A,"1_Maximum"),"",INDEX(Maximum_RawData!G:G,MATCH("1_Maximum",Maximum_RawData!$A:$A,0)+ROWS($2:78)-1))</f>
        <v>399</v>
      </c>
      <c r="H78">
        <f>IF(ROWS($2:78)&gt;COUNTIF(Maximum_RawData!$A:$A,"1_Maximum"),"",INDEX(Maximum_RawData!H:H,MATCH("1_Maximum",Maximum_RawData!$A:$A,0)+ROWS($2:78)-1))</f>
        <v>399</v>
      </c>
      <c r="I78">
        <f>IF(ROWS($2:78)&gt;COUNTIF(Maximum_RawData!$A:$A,"1_Maximum"),"",INDEX(Maximum_RawData!I:I,MATCH("1_Maximum",Maximum_RawData!$A:$A,0)+ROWS($2:78)-1))</f>
        <v>399</v>
      </c>
      <c r="J78">
        <f>IF(ROWS($2:78)&gt;COUNTIF(Maximum_RawData!$A:$A,"1_Maximum"),"",INDEX(Maximum_RawData!J:J,MATCH("1_Maximum",Maximum_RawData!$A:$A,0)+ROWS($2:78)-1))</f>
        <v>399</v>
      </c>
      <c r="K78">
        <f>IF(ROWS($2:78)&gt;COUNTIF(Maximum_RawData!$A:$A,"1_Maximum"),"",INDEX(Maximum_RawData!K:K,MATCH("1_Maximum",Maximum_RawData!$A:$A,0)+ROWS($2:78)-1))</f>
        <v>399</v>
      </c>
      <c r="L78">
        <f>IF(ROWS($2:78)&gt;COUNTIF(Maximum_RawData!$A:$A,"1_Maximum"),"",INDEX(Maximum_RawData!L:L,MATCH("1_Maximum",Maximum_RawData!$A:$A,0)+ROWS($2:78)-1))</f>
        <v>399</v>
      </c>
      <c r="M78">
        <f>IF(ROWS($2:78)&gt;COUNTIF(Maximum_RawData!$A:$A,"1_Maximum"),"",INDEX(Maximum_RawData!M:M,MATCH("1_Maximum",Maximum_RawData!$A:$A,0)+ROWS($2:78)-1))</f>
        <v>399</v>
      </c>
      <c r="N78">
        <f>IF(ROWS($2:78)&gt;COUNTIF(Maximum_RawData!$A:$A,"1_Maximum"),"",INDEX(Maximum_RawData!N:N,MATCH("1_Maximum",Maximum_RawData!$A:$A,0)+ROWS($2:78)-1))</f>
        <v>0.1</v>
      </c>
      <c r="O78">
        <f>IF(ROWS($2:78)&gt;COUNTIF(Maximum_RawData!$A:$A,"1_Maximum"),"",INDEX(Maximum_RawData!O:O,MATCH("1_Maximum",Maximum_RawData!$A:$A,0)+ROWS($2:78)-1))</f>
        <v>0.11</v>
      </c>
      <c r="P78">
        <f>IF(ROWS($2:78)&gt;COUNTIF(Maximum_RawData!$A:$A,"1_Maximum"),"",INDEX(Maximum_RawData!P:P,MATCH("1_Maximum",Maximum_RawData!$A:$A,0)+ROWS($2:78)-1))</f>
        <v>0.08</v>
      </c>
      <c r="Q78">
        <f>IF(ROWS($2:78)&gt;COUNTIF(Maximum_RawData!$A:$A,"1_Maximum"),"",INDEX(Maximum_RawData!Q:Q,MATCH("1_Maximum",Maximum_RawData!$A:$A,0)+ROWS($2:78)-1))</f>
        <v>0.1</v>
      </c>
      <c r="R78" t="str">
        <f>IF(ROWS($2:78)&gt;COUNTIF(Maximum_RawData!$A:$A,"1_Maximum"),"",INDEX(Maximum_RawData!R:R,MATCH("1_Maximum",Maximum_RawData!$A:$A,0)+ROWS($2:78)-1))</f>
        <v>Pass</v>
      </c>
      <c r="S78">
        <f>IF(ROWS($2:78)&gt;COUNTIF(Maximum_RawData!$A:$A,"1_Maximum"),"",INDEX(Maximum_RawData!S:S,MATCH("1_Maximum",Maximum_RawData!$A:$A,0)+ROWS($2:78)-1))</f>
        <v>0</v>
      </c>
      <c r="T78">
        <f>IF(ROWS($2:78)&gt;COUNTIF(Maximum_RawData!$A:$A,"1_Maximum"),"",INDEX(Maximum_RawData!T:T,MATCH("1_Maximum",Maximum_RawData!$A:$A,0)+ROWS($2:78)-1))</f>
        <v>0</v>
      </c>
    </row>
    <row r="79" spans="1:20">
      <c r="A79" t="str">
        <f>IF(ROWS($2:79)&gt;COUNTIF(Maximum_RawData!$A:$A,"1_Maximum"),"",INDEX(Maximum_RawData!A:A,MATCH("1_Maximum",Maximum_RawData!$A:$A,0)+ROWS($2:79)-1))</f>
        <v>1_Maximum</v>
      </c>
      <c r="B79">
        <f>IF(ROWS($2:79)&gt;COUNTIF(Maximum_RawData!$A:$A,"1_Maximum"),"",INDEX(Maximum_RawData!B:B,MATCH("1_Maximum",Maximum_RawData!$A:$A,0)+ROWS($2:79)-1))</f>
        <v>150148.125</v>
      </c>
      <c r="C79">
        <f>IF(ROWS($2:79)&gt;COUNTIF(Maximum_RawData!$A:$A,"1_Maximum"),"",INDEX(Maximum_RawData!C:C,MATCH("1_Maximum",Maximum_RawData!$A:$A,0)+ROWS($2:79)-1))</f>
        <v>12.41</v>
      </c>
      <c r="D79">
        <f>IF(ROWS($2:79)&gt;COUNTIF(Maximum_RawData!$A:$A,"1_Maximum"),"",INDEX(Maximum_RawData!D:D,MATCH("1_Maximum",Maximum_RawData!$A:$A,0)+ROWS($2:79)-1))</f>
        <v>1309.337</v>
      </c>
      <c r="E79">
        <f>IF(ROWS($2:79)&gt;COUNTIF(Maximum_RawData!$A:$A,"1_Maximum"),"",INDEX(Maximum_RawData!E:E,MATCH("1_Maximum",Maximum_RawData!$A:$A,0)+ROWS($2:79)-1))</f>
        <v>7.55</v>
      </c>
      <c r="F79">
        <f>IF(ROWS($2:79)&gt;COUNTIF(Maximum_RawData!$A:$A,"1_Maximum"),"",INDEX(Maximum_RawData!F:F,MATCH("1_Maximum",Maximum_RawData!$A:$A,0)+ROWS($2:79)-1))</f>
        <v>399</v>
      </c>
      <c r="G79">
        <f>IF(ROWS($2:79)&gt;COUNTIF(Maximum_RawData!$A:$A,"1_Maximum"),"",INDEX(Maximum_RawData!G:G,MATCH("1_Maximum",Maximum_RawData!$A:$A,0)+ROWS($2:79)-1))</f>
        <v>399</v>
      </c>
      <c r="H79">
        <f>IF(ROWS($2:79)&gt;COUNTIF(Maximum_RawData!$A:$A,"1_Maximum"),"",INDEX(Maximum_RawData!H:H,MATCH("1_Maximum",Maximum_RawData!$A:$A,0)+ROWS($2:79)-1))</f>
        <v>399</v>
      </c>
      <c r="I79">
        <f>IF(ROWS($2:79)&gt;COUNTIF(Maximum_RawData!$A:$A,"1_Maximum"),"",INDEX(Maximum_RawData!I:I,MATCH("1_Maximum",Maximum_RawData!$A:$A,0)+ROWS($2:79)-1))</f>
        <v>399</v>
      </c>
      <c r="J79">
        <f>IF(ROWS($2:79)&gt;COUNTIF(Maximum_RawData!$A:$A,"1_Maximum"),"",INDEX(Maximum_RawData!J:J,MATCH("1_Maximum",Maximum_RawData!$A:$A,0)+ROWS($2:79)-1))</f>
        <v>399</v>
      </c>
      <c r="K79">
        <f>IF(ROWS($2:79)&gt;COUNTIF(Maximum_RawData!$A:$A,"1_Maximum"),"",INDEX(Maximum_RawData!K:K,MATCH("1_Maximum",Maximum_RawData!$A:$A,0)+ROWS($2:79)-1))</f>
        <v>399</v>
      </c>
      <c r="L79">
        <f>IF(ROWS($2:79)&gt;COUNTIF(Maximum_RawData!$A:$A,"1_Maximum"),"",INDEX(Maximum_RawData!L:L,MATCH("1_Maximum",Maximum_RawData!$A:$A,0)+ROWS($2:79)-1))</f>
        <v>399</v>
      </c>
      <c r="M79">
        <f>IF(ROWS($2:79)&gt;COUNTIF(Maximum_RawData!$A:$A,"1_Maximum"),"",INDEX(Maximum_RawData!M:M,MATCH("1_Maximum",Maximum_RawData!$A:$A,0)+ROWS($2:79)-1))</f>
        <v>399</v>
      </c>
      <c r="N79">
        <f>IF(ROWS($2:79)&gt;COUNTIF(Maximum_RawData!$A:$A,"1_Maximum"),"",INDEX(Maximum_RawData!N:N,MATCH("1_Maximum",Maximum_RawData!$A:$A,0)+ROWS($2:79)-1))</f>
        <v>0.1</v>
      </c>
      <c r="O79">
        <f>IF(ROWS($2:79)&gt;COUNTIF(Maximum_RawData!$A:$A,"1_Maximum"),"",INDEX(Maximum_RawData!O:O,MATCH("1_Maximum",Maximum_RawData!$A:$A,0)+ROWS($2:79)-1))</f>
        <v>0.11</v>
      </c>
      <c r="P79">
        <f>IF(ROWS($2:79)&gt;COUNTIF(Maximum_RawData!$A:$A,"1_Maximum"),"",INDEX(Maximum_RawData!P:P,MATCH("1_Maximum",Maximum_RawData!$A:$A,0)+ROWS($2:79)-1))</f>
        <v>0.08</v>
      </c>
      <c r="Q79">
        <f>IF(ROWS($2:79)&gt;COUNTIF(Maximum_RawData!$A:$A,"1_Maximum"),"",INDEX(Maximum_RawData!Q:Q,MATCH("1_Maximum",Maximum_RawData!$A:$A,0)+ROWS($2:79)-1))</f>
        <v>0.1</v>
      </c>
      <c r="R79" t="str">
        <f>IF(ROWS($2:79)&gt;COUNTIF(Maximum_RawData!$A:$A,"1_Maximum"),"",INDEX(Maximum_RawData!R:R,MATCH("1_Maximum",Maximum_RawData!$A:$A,0)+ROWS($2:79)-1))</f>
        <v>Pass</v>
      </c>
      <c r="S79">
        <f>IF(ROWS($2:79)&gt;COUNTIF(Maximum_RawData!$A:$A,"1_Maximum"),"",INDEX(Maximum_RawData!S:S,MATCH("1_Maximum",Maximum_RawData!$A:$A,0)+ROWS($2:79)-1))</f>
        <v>0</v>
      </c>
      <c r="T79">
        <f>IF(ROWS($2:79)&gt;COUNTIF(Maximum_RawData!$A:$A,"1_Maximum"),"",INDEX(Maximum_RawData!T:T,MATCH("1_Maximum",Maximum_RawData!$A:$A,0)+ROWS($2:79)-1))</f>
        <v>0</v>
      </c>
    </row>
    <row r="80" spans="1:20">
      <c r="A80" t="str">
        <f>IF(ROWS($2:80)&gt;COUNTIF(Maximum_RawData!$A:$A,"1_Maximum"),"",INDEX(Maximum_RawData!A:A,MATCH("1_Maximum",Maximum_RawData!$A:$A,0)+ROWS($2:80)-1))</f>
        <v>1_Maximum</v>
      </c>
      <c r="B80">
        <f>IF(ROWS($2:80)&gt;COUNTIF(Maximum_RawData!$A:$A,"1_Maximum"),"",INDEX(Maximum_RawData!B:B,MATCH("1_Maximum",Maximum_RawData!$A:$A,0)+ROWS($2:80)-1))</f>
        <v>150153.122</v>
      </c>
      <c r="C80">
        <f>IF(ROWS($2:80)&gt;COUNTIF(Maximum_RawData!$A:$A,"1_Maximum"),"",INDEX(Maximum_RawData!C:C,MATCH("1_Maximum",Maximum_RawData!$A:$A,0)+ROWS($2:80)-1))</f>
        <v>11.69</v>
      </c>
      <c r="D80">
        <f>IF(ROWS($2:80)&gt;COUNTIF(Maximum_RawData!$A:$A,"1_Maximum"),"",INDEX(Maximum_RawData!D:D,MATCH("1_Maximum",Maximum_RawData!$A:$A,0)+ROWS($2:80)-1))</f>
        <v>1309.2670000000001</v>
      </c>
      <c r="E80">
        <f>IF(ROWS($2:80)&gt;COUNTIF(Maximum_RawData!$A:$A,"1_Maximum"),"",INDEX(Maximum_RawData!E:E,MATCH("1_Maximum",Maximum_RawData!$A:$A,0)+ROWS($2:80)-1))</f>
        <v>7.57</v>
      </c>
      <c r="F80">
        <f>IF(ROWS($2:80)&gt;COUNTIF(Maximum_RawData!$A:$A,"1_Maximum"),"",INDEX(Maximum_RawData!F:F,MATCH("1_Maximum",Maximum_RawData!$A:$A,0)+ROWS($2:80)-1))</f>
        <v>399</v>
      </c>
      <c r="G80">
        <f>IF(ROWS($2:80)&gt;COUNTIF(Maximum_RawData!$A:$A,"1_Maximum"),"",INDEX(Maximum_RawData!G:G,MATCH("1_Maximum",Maximum_RawData!$A:$A,0)+ROWS($2:80)-1))</f>
        <v>399</v>
      </c>
      <c r="H80">
        <f>IF(ROWS($2:80)&gt;COUNTIF(Maximum_RawData!$A:$A,"1_Maximum"),"",INDEX(Maximum_RawData!H:H,MATCH("1_Maximum",Maximum_RawData!$A:$A,0)+ROWS($2:80)-1))</f>
        <v>399</v>
      </c>
      <c r="I80">
        <f>IF(ROWS($2:80)&gt;COUNTIF(Maximum_RawData!$A:$A,"1_Maximum"),"",INDEX(Maximum_RawData!I:I,MATCH("1_Maximum",Maximum_RawData!$A:$A,0)+ROWS($2:80)-1))</f>
        <v>399</v>
      </c>
      <c r="J80">
        <f>IF(ROWS($2:80)&gt;COUNTIF(Maximum_RawData!$A:$A,"1_Maximum"),"",INDEX(Maximum_RawData!J:J,MATCH("1_Maximum",Maximum_RawData!$A:$A,0)+ROWS($2:80)-1))</f>
        <v>399</v>
      </c>
      <c r="K80">
        <f>IF(ROWS($2:80)&gt;COUNTIF(Maximum_RawData!$A:$A,"1_Maximum"),"",INDEX(Maximum_RawData!K:K,MATCH("1_Maximum",Maximum_RawData!$A:$A,0)+ROWS($2:80)-1))</f>
        <v>399</v>
      </c>
      <c r="L80">
        <f>IF(ROWS($2:80)&gt;COUNTIF(Maximum_RawData!$A:$A,"1_Maximum"),"",INDEX(Maximum_RawData!L:L,MATCH("1_Maximum",Maximum_RawData!$A:$A,0)+ROWS($2:80)-1))</f>
        <v>399</v>
      </c>
      <c r="M80">
        <f>IF(ROWS($2:80)&gt;COUNTIF(Maximum_RawData!$A:$A,"1_Maximum"),"",INDEX(Maximum_RawData!M:M,MATCH("1_Maximum",Maximum_RawData!$A:$A,0)+ROWS($2:80)-1))</f>
        <v>399</v>
      </c>
      <c r="N80">
        <f>IF(ROWS($2:80)&gt;COUNTIF(Maximum_RawData!$A:$A,"1_Maximum"),"",INDEX(Maximum_RawData!N:N,MATCH("1_Maximum",Maximum_RawData!$A:$A,0)+ROWS($2:80)-1))</f>
        <v>0.1</v>
      </c>
      <c r="O80">
        <f>IF(ROWS($2:80)&gt;COUNTIF(Maximum_RawData!$A:$A,"1_Maximum"),"",INDEX(Maximum_RawData!O:O,MATCH("1_Maximum",Maximum_RawData!$A:$A,0)+ROWS($2:80)-1))</f>
        <v>0.11</v>
      </c>
      <c r="P80">
        <f>IF(ROWS($2:80)&gt;COUNTIF(Maximum_RawData!$A:$A,"1_Maximum"),"",INDEX(Maximum_RawData!P:P,MATCH("1_Maximum",Maximum_RawData!$A:$A,0)+ROWS($2:80)-1))</f>
        <v>0.08</v>
      </c>
      <c r="Q80">
        <f>IF(ROWS($2:80)&gt;COUNTIF(Maximum_RawData!$A:$A,"1_Maximum"),"",INDEX(Maximum_RawData!Q:Q,MATCH("1_Maximum",Maximum_RawData!$A:$A,0)+ROWS($2:80)-1))</f>
        <v>0.1</v>
      </c>
      <c r="R80" t="str">
        <f>IF(ROWS($2:80)&gt;COUNTIF(Maximum_RawData!$A:$A,"1_Maximum"),"",INDEX(Maximum_RawData!R:R,MATCH("1_Maximum",Maximum_RawData!$A:$A,0)+ROWS($2:80)-1))</f>
        <v>Pass</v>
      </c>
      <c r="S80">
        <f>IF(ROWS($2:80)&gt;COUNTIF(Maximum_RawData!$A:$A,"1_Maximum"),"",INDEX(Maximum_RawData!S:S,MATCH("1_Maximum",Maximum_RawData!$A:$A,0)+ROWS($2:80)-1))</f>
        <v>0</v>
      </c>
      <c r="T80">
        <f>IF(ROWS($2:80)&gt;COUNTIF(Maximum_RawData!$A:$A,"1_Maximum"),"",INDEX(Maximum_RawData!T:T,MATCH("1_Maximum",Maximum_RawData!$A:$A,0)+ROWS($2:80)-1))</f>
        <v>0</v>
      </c>
    </row>
    <row r="81" spans="1:20">
      <c r="A81" t="str">
        <f>IF(ROWS($2:81)&gt;COUNTIF(Maximum_RawData!$A:$A,"1_Maximum"),"",INDEX(Maximum_RawData!A:A,MATCH("1_Maximum",Maximum_RawData!$A:$A,0)+ROWS($2:81)-1))</f>
        <v>1_Maximum</v>
      </c>
      <c r="B81">
        <f>IF(ROWS($2:81)&gt;COUNTIF(Maximum_RawData!$A:$A,"1_Maximum"),"",INDEX(Maximum_RawData!B:B,MATCH("1_Maximum",Maximum_RawData!$A:$A,0)+ROWS($2:81)-1))</f>
        <v>150158.12</v>
      </c>
      <c r="C81">
        <f>IF(ROWS($2:81)&gt;COUNTIF(Maximum_RawData!$A:$A,"1_Maximum"),"",INDEX(Maximum_RawData!C:C,MATCH("1_Maximum",Maximum_RawData!$A:$A,0)+ROWS($2:81)-1))</f>
        <v>10.94</v>
      </c>
      <c r="D81">
        <f>IF(ROWS($2:81)&gt;COUNTIF(Maximum_RawData!$A:$A,"1_Maximum"),"",INDEX(Maximum_RawData!D:D,MATCH("1_Maximum",Maximum_RawData!$A:$A,0)+ROWS($2:81)-1))</f>
        <v>1309.1969999999999</v>
      </c>
      <c r="E81">
        <f>IF(ROWS($2:81)&gt;COUNTIF(Maximum_RawData!$A:$A,"1_Maximum"),"",INDEX(Maximum_RawData!E:E,MATCH("1_Maximum",Maximum_RawData!$A:$A,0)+ROWS($2:81)-1))</f>
        <v>7.59</v>
      </c>
      <c r="F81">
        <f>IF(ROWS($2:81)&gt;COUNTIF(Maximum_RawData!$A:$A,"1_Maximum"),"",INDEX(Maximum_RawData!F:F,MATCH("1_Maximum",Maximum_RawData!$A:$A,0)+ROWS($2:81)-1))</f>
        <v>399</v>
      </c>
      <c r="G81">
        <f>IF(ROWS($2:81)&gt;COUNTIF(Maximum_RawData!$A:$A,"1_Maximum"),"",INDEX(Maximum_RawData!G:G,MATCH("1_Maximum",Maximum_RawData!$A:$A,0)+ROWS($2:81)-1))</f>
        <v>399</v>
      </c>
      <c r="H81">
        <f>IF(ROWS($2:81)&gt;COUNTIF(Maximum_RawData!$A:$A,"1_Maximum"),"",INDEX(Maximum_RawData!H:H,MATCH("1_Maximum",Maximum_RawData!$A:$A,0)+ROWS($2:81)-1))</f>
        <v>399</v>
      </c>
      <c r="I81">
        <f>IF(ROWS($2:81)&gt;COUNTIF(Maximum_RawData!$A:$A,"1_Maximum"),"",INDEX(Maximum_RawData!I:I,MATCH("1_Maximum",Maximum_RawData!$A:$A,0)+ROWS($2:81)-1))</f>
        <v>399</v>
      </c>
      <c r="J81">
        <f>IF(ROWS($2:81)&gt;COUNTIF(Maximum_RawData!$A:$A,"1_Maximum"),"",INDEX(Maximum_RawData!J:J,MATCH("1_Maximum",Maximum_RawData!$A:$A,0)+ROWS($2:81)-1))</f>
        <v>399</v>
      </c>
      <c r="K81">
        <f>IF(ROWS($2:81)&gt;COUNTIF(Maximum_RawData!$A:$A,"1_Maximum"),"",INDEX(Maximum_RawData!K:K,MATCH("1_Maximum",Maximum_RawData!$A:$A,0)+ROWS($2:81)-1))</f>
        <v>399</v>
      </c>
      <c r="L81">
        <f>IF(ROWS($2:81)&gt;COUNTIF(Maximum_RawData!$A:$A,"1_Maximum"),"",INDEX(Maximum_RawData!L:L,MATCH("1_Maximum",Maximum_RawData!$A:$A,0)+ROWS($2:81)-1))</f>
        <v>399</v>
      </c>
      <c r="M81">
        <f>IF(ROWS($2:81)&gt;COUNTIF(Maximum_RawData!$A:$A,"1_Maximum"),"",INDEX(Maximum_RawData!M:M,MATCH("1_Maximum",Maximum_RawData!$A:$A,0)+ROWS($2:81)-1))</f>
        <v>399</v>
      </c>
      <c r="N81">
        <f>IF(ROWS($2:81)&gt;COUNTIF(Maximum_RawData!$A:$A,"1_Maximum"),"",INDEX(Maximum_RawData!N:N,MATCH("1_Maximum",Maximum_RawData!$A:$A,0)+ROWS($2:81)-1))</f>
        <v>0.09</v>
      </c>
      <c r="O81">
        <f>IF(ROWS($2:81)&gt;COUNTIF(Maximum_RawData!$A:$A,"1_Maximum"),"",INDEX(Maximum_RawData!O:O,MATCH("1_Maximum",Maximum_RawData!$A:$A,0)+ROWS($2:81)-1))</f>
        <v>0.11</v>
      </c>
      <c r="P81">
        <f>IF(ROWS($2:81)&gt;COUNTIF(Maximum_RawData!$A:$A,"1_Maximum"),"",INDEX(Maximum_RawData!P:P,MATCH("1_Maximum",Maximum_RawData!$A:$A,0)+ROWS($2:81)-1))</f>
        <v>0.08</v>
      </c>
      <c r="Q81">
        <f>IF(ROWS($2:81)&gt;COUNTIF(Maximum_RawData!$A:$A,"1_Maximum"),"",INDEX(Maximum_RawData!Q:Q,MATCH("1_Maximum",Maximum_RawData!$A:$A,0)+ROWS($2:81)-1))</f>
        <v>0.1</v>
      </c>
      <c r="R81" t="str">
        <f>IF(ROWS($2:81)&gt;COUNTIF(Maximum_RawData!$A:$A,"1_Maximum"),"",INDEX(Maximum_RawData!R:R,MATCH("1_Maximum",Maximum_RawData!$A:$A,0)+ROWS($2:81)-1))</f>
        <v>Pass</v>
      </c>
      <c r="S81">
        <f>IF(ROWS($2:81)&gt;COUNTIF(Maximum_RawData!$A:$A,"1_Maximum"),"",INDEX(Maximum_RawData!S:S,MATCH("1_Maximum",Maximum_RawData!$A:$A,0)+ROWS($2:81)-1))</f>
        <v>0</v>
      </c>
      <c r="T81">
        <f>IF(ROWS($2:81)&gt;COUNTIF(Maximum_RawData!$A:$A,"1_Maximum"),"",INDEX(Maximum_RawData!T:T,MATCH("1_Maximum",Maximum_RawData!$A:$A,0)+ROWS($2:81)-1))</f>
        <v>0</v>
      </c>
    </row>
    <row r="82" spans="1:20">
      <c r="A82" t="str">
        <f>IF(ROWS($2:82)&gt;COUNTIF(Maximum_RawData!$A:$A,"1_Maximum"),"",INDEX(Maximum_RawData!A:A,MATCH("1_Maximum",Maximum_RawData!$A:$A,0)+ROWS($2:82)-1))</f>
        <v>1_Maximum</v>
      </c>
      <c r="B82">
        <f>IF(ROWS($2:82)&gt;COUNTIF(Maximum_RawData!$A:$A,"1_Maximum"),"",INDEX(Maximum_RawData!B:B,MATCH("1_Maximum",Maximum_RawData!$A:$A,0)+ROWS($2:82)-1))</f>
        <v>150203.122</v>
      </c>
      <c r="C82">
        <f>IF(ROWS($2:82)&gt;COUNTIF(Maximum_RawData!$A:$A,"1_Maximum"),"",INDEX(Maximum_RawData!C:C,MATCH("1_Maximum",Maximum_RawData!$A:$A,0)+ROWS($2:82)-1))</f>
        <v>10.210000000000001</v>
      </c>
      <c r="D82">
        <f>IF(ROWS($2:82)&gt;COUNTIF(Maximum_RawData!$A:$A,"1_Maximum"),"",INDEX(Maximum_RawData!D:D,MATCH("1_Maximum",Maximum_RawData!$A:$A,0)+ROWS($2:82)-1))</f>
        <v>1309.126</v>
      </c>
      <c r="E82">
        <f>IF(ROWS($2:82)&gt;COUNTIF(Maximum_RawData!$A:$A,"1_Maximum"),"",INDEX(Maximum_RawData!E:E,MATCH("1_Maximum",Maximum_RawData!$A:$A,0)+ROWS($2:82)-1))</f>
        <v>7.58</v>
      </c>
      <c r="F82">
        <f>IF(ROWS($2:82)&gt;COUNTIF(Maximum_RawData!$A:$A,"1_Maximum"),"",INDEX(Maximum_RawData!F:F,MATCH("1_Maximum",Maximum_RawData!$A:$A,0)+ROWS($2:82)-1))</f>
        <v>399</v>
      </c>
      <c r="G82">
        <f>IF(ROWS($2:82)&gt;COUNTIF(Maximum_RawData!$A:$A,"1_Maximum"),"",INDEX(Maximum_RawData!G:G,MATCH("1_Maximum",Maximum_RawData!$A:$A,0)+ROWS($2:82)-1))</f>
        <v>399</v>
      </c>
      <c r="H82">
        <f>IF(ROWS($2:82)&gt;COUNTIF(Maximum_RawData!$A:$A,"1_Maximum"),"",INDEX(Maximum_RawData!H:H,MATCH("1_Maximum",Maximum_RawData!$A:$A,0)+ROWS($2:82)-1))</f>
        <v>399</v>
      </c>
      <c r="I82">
        <f>IF(ROWS($2:82)&gt;COUNTIF(Maximum_RawData!$A:$A,"1_Maximum"),"",INDEX(Maximum_RawData!I:I,MATCH("1_Maximum",Maximum_RawData!$A:$A,0)+ROWS($2:82)-1))</f>
        <v>399</v>
      </c>
      <c r="J82">
        <f>IF(ROWS($2:82)&gt;COUNTIF(Maximum_RawData!$A:$A,"1_Maximum"),"",INDEX(Maximum_RawData!J:J,MATCH("1_Maximum",Maximum_RawData!$A:$A,0)+ROWS($2:82)-1))</f>
        <v>399</v>
      </c>
      <c r="K82">
        <f>IF(ROWS($2:82)&gt;COUNTIF(Maximum_RawData!$A:$A,"1_Maximum"),"",INDEX(Maximum_RawData!K:K,MATCH("1_Maximum",Maximum_RawData!$A:$A,0)+ROWS($2:82)-1))</f>
        <v>399</v>
      </c>
      <c r="L82">
        <f>IF(ROWS($2:82)&gt;COUNTIF(Maximum_RawData!$A:$A,"1_Maximum"),"",INDEX(Maximum_RawData!L:L,MATCH("1_Maximum",Maximum_RawData!$A:$A,0)+ROWS($2:82)-1))</f>
        <v>399</v>
      </c>
      <c r="M82">
        <f>IF(ROWS($2:82)&gt;COUNTIF(Maximum_RawData!$A:$A,"1_Maximum"),"",INDEX(Maximum_RawData!M:M,MATCH("1_Maximum",Maximum_RawData!$A:$A,0)+ROWS($2:82)-1))</f>
        <v>399</v>
      </c>
      <c r="N82">
        <f>IF(ROWS($2:82)&gt;COUNTIF(Maximum_RawData!$A:$A,"1_Maximum"),"",INDEX(Maximum_RawData!N:N,MATCH("1_Maximum",Maximum_RawData!$A:$A,0)+ROWS($2:82)-1))</f>
        <v>0.1</v>
      </c>
      <c r="O82">
        <f>IF(ROWS($2:82)&gt;COUNTIF(Maximum_RawData!$A:$A,"1_Maximum"),"",INDEX(Maximum_RawData!O:O,MATCH("1_Maximum",Maximum_RawData!$A:$A,0)+ROWS($2:82)-1))</f>
        <v>0.11</v>
      </c>
      <c r="P82">
        <f>IF(ROWS($2:82)&gt;COUNTIF(Maximum_RawData!$A:$A,"1_Maximum"),"",INDEX(Maximum_RawData!P:P,MATCH("1_Maximum",Maximum_RawData!$A:$A,0)+ROWS($2:82)-1))</f>
        <v>0.08</v>
      </c>
      <c r="Q82">
        <f>IF(ROWS($2:82)&gt;COUNTIF(Maximum_RawData!$A:$A,"1_Maximum"),"",INDEX(Maximum_RawData!Q:Q,MATCH("1_Maximum",Maximum_RawData!$A:$A,0)+ROWS($2:82)-1))</f>
        <v>0.1</v>
      </c>
      <c r="R82" t="str">
        <f>IF(ROWS($2:82)&gt;COUNTIF(Maximum_RawData!$A:$A,"1_Maximum"),"",INDEX(Maximum_RawData!R:R,MATCH("1_Maximum",Maximum_RawData!$A:$A,0)+ROWS($2:82)-1))</f>
        <v>Pass</v>
      </c>
      <c r="S82">
        <f>IF(ROWS($2:82)&gt;COUNTIF(Maximum_RawData!$A:$A,"1_Maximum"),"",INDEX(Maximum_RawData!S:S,MATCH("1_Maximum",Maximum_RawData!$A:$A,0)+ROWS($2:82)-1))</f>
        <v>0</v>
      </c>
      <c r="T82">
        <f>IF(ROWS($2:82)&gt;COUNTIF(Maximum_RawData!$A:$A,"1_Maximum"),"",INDEX(Maximum_RawData!T:T,MATCH("1_Maximum",Maximum_RawData!$A:$A,0)+ROWS($2:82)-1))</f>
        <v>0</v>
      </c>
    </row>
    <row r="83" spans="1:20">
      <c r="A83" t="str">
        <f>IF(ROWS($2:83)&gt;COUNTIF(Maximum_RawData!$A:$A,"1_Maximum"),"",INDEX(Maximum_RawData!A:A,MATCH("1_Maximum",Maximum_RawData!$A:$A,0)+ROWS($2:83)-1))</f>
        <v>1_Maximum</v>
      </c>
      <c r="B83">
        <f>IF(ROWS($2:83)&gt;COUNTIF(Maximum_RawData!$A:$A,"1_Maximum"),"",INDEX(Maximum_RawData!B:B,MATCH("1_Maximum",Maximum_RawData!$A:$A,0)+ROWS($2:83)-1))</f>
        <v>150208.12400000001</v>
      </c>
      <c r="C83">
        <f>IF(ROWS($2:83)&gt;COUNTIF(Maximum_RawData!$A:$A,"1_Maximum"),"",INDEX(Maximum_RawData!C:C,MATCH("1_Maximum",Maximum_RawData!$A:$A,0)+ROWS($2:83)-1))</f>
        <v>9.4499999999999993</v>
      </c>
      <c r="D83">
        <f>IF(ROWS($2:83)&gt;COUNTIF(Maximum_RawData!$A:$A,"1_Maximum"),"",INDEX(Maximum_RawData!D:D,MATCH("1_Maximum",Maximum_RawData!$A:$A,0)+ROWS($2:83)-1))</f>
        <v>1309.056</v>
      </c>
      <c r="E83">
        <f>IF(ROWS($2:83)&gt;COUNTIF(Maximum_RawData!$A:$A,"1_Maximum"),"",INDEX(Maximum_RawData!E:E,MATCH("1_Maximum",Maximum_RawData!$A:$A,0)+ROWS($2:83)-1))</f>
        <v>7.71</v>
      </c>
      <c r="F83">
        <f>IF(ROWS($2:83)&gt;COUNTIF(Maximum_RawData!$A:$A,"1_Maximum"),"",INDEX(Maximum_RawData!F:F,MATCH("1_Maximum",Maximum_RawData!$A:$A,0)+ROWS($2:83)-1))</f>
        <v>399</v>
      </c>
      <c r="G83">
        <f>IF(ROWS($2:83)&gt;COUNTIF(Maximum_RawData!$A:$A,"1_Maximum"),"",INDEX(Maximum_RawData!G:G,MATCH("1_Maximum",Maximum_RawData!$A:$A,0)+ROWS($2:83)-1))</f>
        <v>399</v>
      </c>
      <c r="H83">
        <f>IF(ROWS($2:83)&gt;COUNTIF(Maximum_RawData!$A:$A,"1_Maximum"),"",INDEX(Maximum_RawData!H:H,MATCH("1_Maximum",Maximum_RawData!$A:$A,0)+ROWS($2:83)-1))</f>
        <v>399</v>
      </c>
      <c r="I83">
        <f>IF(ROWS($2:83)&gt;COUNTIF(Maximum_RawData!$A:$A,"1_Maximum"),"",INDEX(Maximum_RawData!I:I,MATCH("1_Maximum",Maximum_RawData!$A:$A,0)+ROWS($2:83)-1))</f>
        <v>399</v>
      </c>
      <c r="J83">
        <f>IF(ROWS($2:83)&gt;COUNTIF(Maximum_RawData!$A:$A,"1_Maximum"),"",INDEX(Maximum_RawData!J:J,MATCH("1_Maximum",Maximum_RawData!$A:$A,0)+ROWS($2:83)-1))</f>
        <v>399</v>
      </c>
      <c r="K83">
        <f>IF(ROWS($2:83)&gt;COUNTIF(Maximum_RawData!$A:$A,"1_Maximum"),"",INDEX(Maximum_RawData!K:K,MATCH("1_Maximum",Maximum_RawData!$A:$A,0)+ROWS($2:83)-1))</f>
        <v>399</v>
      </c>
      <c r="L83">
        <f>IF(ROWS($2:83)&gt;COUNTIF(Maximum_RawData!$A:$A,"1_Maximum"),"",INDEX(Maximum_RawData!L:L,MATCH("1_Maximum",Maximum_RawData!$A:$A,0)+ROWS($2:83)-1))</f>
        <v>399</v>
      </c>
      <c r="M83">
        <f>IF(ROWS($2:83)&gt;COUNTIF(Maximum_RawData!$A:$A,"1_Maximum"),"",INDEX(Maximum_RawData!M:M,MATCH("1_Maximum",Maximum_RawData!$A:$A,0)+ROWS($2:83)-1))</f>
        <v>399</v>
      </c>
      <c r="N83">
        <f>IF(ROWS($2:83)&gt;COUNTIF(Maximum_RawData!$A:$A,"1_Maximum"),"",INDEX(Maximum_RawData!N:N,MATCH("1_Maximum",Maximum_RawData!$A:$A,0)+ROWS($2:83)-1))</f>
        <v>0.09</v>
      </c>
      <c r="O83">
        <f>IF(ROWS($2:83)&gt;COUNTIF(Maximum_RawData!$A:$A,"1_Maximum"),"",INDEX(Maximum_RawData!O:O,MATCH("1_Maximum",Maximum_RawData!$A:$A,0)+ROWS($2:83)-1))</f>
        <v>0.11</v>
      </c>
      <c r="P83">
        <f>IF(ROWS($2:83)&gt;COUNTIF(Maximum_RawData!$A:$A,"1_Maximum"),"",INDEX(Maximum_RawData!P:P,MATCH("1_Maximum",Maximum_RawData!$A:$A,0)+ROWS($2:83)-1))</f>
        <v>0.08</v>
      </c>
      <c r="Q83">
        <f>IF(ROWS($2:83)&gt;COUNTIF(Maximum_RawData!$A:$A,"1_Maximum"),"",INDEX(Maximum_RawData!Q:Q,MATCH("1_Maximum",Maximum_RawData!$A:$A,0)+ROWS($2:83)-1))</f>
        <v>0.1</v>
      </c>
      <c r="R83" t="str">
        <f>IF(ROWS($2:83)&gt;COUNTIF(Maximum_RawData!$A:$A,"1_Maximum"),"",INDEX(Maximum_RawData!R:R,MATCH("1_Maximum",Maximum_RawData!$A:$A,0)+ROWS($2:83)-1))</f>
        <v>Pass</v>
      </c>
      <c r="S83">
        <f>IF(ROWS($2:83)&gt;COUNTIF(Maximum_RawData!$A:$A,"1_Maximum"),"",INDEX(Maximum_RawData!S:S,MATCH("1_Maximum",Maximum_RawData!$A:$A,0)+ROWS($2:83)-1))</f>
        <v>0</v>
      </c>
      <c r="T83">
        <f>IF(ROWS($2:83)&gt;COUNTIF(Maximum_RawData!$A:$A,"1_Maximum"),"",INDEX(Maximum_RawData!T:T,MATCH("1_Maximum",Maximum_RawData!$A:$A,0)+ROWS($2:83)-1))</f>
        <v>0</v>
      </c>
    </row>
    <row r="84" spans="1:20">
      <c r="A84" t="str">
        <f>IF(ROWS($2:84)&gt;COUNTIF(Maximum_RawData!$A:$A,"1_Maximum"),"",INDEX(Maximum_RawData!A:A,MATCH("1_Maximum",Maximum_RawData!$A:$A,0)+ROWS($2:84)-1))</f>
        <v>1_Maximum</v>
      </c>
      <c r="B84">
        <f>IF(ROWS($2:84)&gt;COUNTIF(Maximum_RawData!$A:$A,"1_Maximum"),"",INDEX(Maximum_RawData!B:B,MATCH("1_Maximum",Maximum_RawData!$A:$A,0)+ROWS($2:84)-1))</f>
        <v>150213.14199999999</v>
      </c>
      <c r="C84">
        <f>IF(ROWS($2:84)&gt;COUNTIF(Maximum_RawData!$A:$A,"1_Maximum"),"",INDEX(Maximum_RawData!C:C,MATCH("1_Maximum",Maximum_RawData!$A:$A,0)+ROWS($2:84)-1))</f>
        <v>8.7200000000000006</v>
      </c>
      <c r="D84">
        <f>IF(ROWS($2:84)&gt;COUNTIF(Maximum_RawData!$A:$A,"1_Maximum"),"",INDEX(Maximum_RawData!D:D,MATCH("1_Maximum",Maximum_RawData!$A:$A,0)+ROWS($2:84)-1))</f>
        <v>1308.9849999999999</v>
      </c>
      <c r="E84">
        <f>IF(ROWS($2:84)&gt;COUNTIF(Maximum_RawData!$A:$A,"1_Maximum"),"",INDEX(Maximum_RawData!E:E,MATCH("1_Maximum",Maximum_RawData!$A:$A,0)+ROWS($2:84)-1))</f>
        <v>7.58</v>
      </c>
      <c r="F84">
        <f>IF(ROWS($2:84)&gt;COUNTIF(Maximum_RawData!$A:$A,"1_Maximum"),"",INDEX(Maximum_RawData!F:F,MATCH("1_Maximum",Maximum_RawData!$A:$A,0)+ROWS($2:84)-1))</f>
        <v>399</v>
      </c>
      <c r="G84">
        <f>IF(ROWS($2:84)&gt;COUNTIF(Maximum_RawData!$A:$A,"1_Maximum"),"",INDEX(Maximum_RawData!G:G,MATCH("1_Maximum",Maximum_RawData!$A:$A,0)+ROWS($2:84)-1))</f>
        <v>399</v>
      </c>
      <c r="H84">
        <f>IF(ROWS($2:84)&gt;COUNTIF(Maximum_RawData!$A:$A,"1_Maximum"),"",INDEX(Maximum_RawData!H:H,MATCH("1_Maximum",Maximum_RawData!$A:$A,0)+ROWS($2:84)-1))</f>
        <v>399</v>
      </c>
      <c r="I84">
        <f>IF(ROWS($2:84)&gt;COUNTIF(Maximum_RawData!$A:$A,"1_Maximum"),"",INDEX(Maximum_RawData!I:I,MATCH("1_Maximum",Maximum_RawData!$A:$A,0)+ROWS($2:84)-1))</f>
        <v>399</v>
      </c>
      <c r="J84">
        <f>IF(ROWS($2:84)&gt;COUNTIF(Maximum_RawData!$A:$A,"1_Maximum"),"",INDEX(Maximum_RawData!J:J,MATCH("1_Maximum",Maximum_RawData!$A:$A,0)+ROWS($2:84)-1))</f>
        <v>399</v>
      </c>
      <c r="K84">
        <f>IF(ROWS($2:84)&gt;COUNTIF(Maximum_RawData!$A:$A,"1_Maximum"),"",INDEX(Maximum_RawData!K:K,MATCH("1_Maximum",Maximum_RawData!$A:$A,0)+ROWS($2:84)-1))</f>
        <v>399</v>
      </c>
      <c r="L84">
        <f>IF(ROWS($2:84)&gt;COUNTIF(Maximum_RawData!$A:$A,"1_Maximum"),"",INDEX(Maximum_RawData!L:L,MATCH("1_Maximum",Maximum_RawData!$A:$A,0)+ROWS($2:84)-1))</f>
        <v>399</v>
      </c>
      <c r="M84">
        <f>IF(ROWS($2:84)&gt;COUNTIF(Maximum_RawData!$A:$A,"1_Maximum"),"",INDEX(Maximum_RawData!M:M,MATCH("1_Maximum",Maximum_RawData!$A:$A,0)+ROWS($2:84)-1))</f>
        <v>399</v>
      </c>
      <c r="N84">
        <f>IF(ROWS($2:84)&gt;COUNTIF(Maximum_RawData!$A:$A,"1_Maximum"),"",INDEX(Maximum_RawData!N:N,MATCH("1_Maximum",Maximum_RawData!$A:$A,0)+ROWS($2:84)-1))</f>
        <v>0.1</v>
      </c>
      <c r="O84">
        <f>IF(ROWS($2:84)&gt;COUNTIF(Maximum_RawData!$A:$A,"1_Maximum"),"",INDEX(Maximum_RawData!O:O,MATCH("1_Maximum",Maximum_RawData!$A:$A,0)+ROWS($2:84)-1))</f>
        <v>0.11</v>
      </c>
      <c r="P84">
        <f>IF(ROWS($2:84)&gt;COUNTIF(Maximum_RawData!$A:$A,"1_Maximum"),"",INDEX(Maximum_RawData!P:P,MATCH("1_Maximum",Maximum_RawData!$A:$A,0)+ROWS($2:84)-1))</f>
        <v>0.08</v>
      </c>
      <c r="Q84">
        <f>IF(ROWS($2:84)&gt;COUNTIF(Maximum_RawData!$A:$A,"1_Maximum"),"",INDEX(Maximum_RawData!Q:Q,MATCH("1_Maximum",Maximum_RawData!$A:$A,0)+ROWS($2:84)-1))</f>
        <v>0.1</v>
      </c>
      <c r="R84" t="str">
        <f>IF(ROWS($2:84)&gt;COUNTIF(Maximum_RawData!$A:$A,"1_Maximum"),"",INDEX(Maximum_RawData!R:R,MATCH("1_Maximum",Maximum_RawData!$A:$A,0)+ROWS($2:84)-1))</f>
        <v>Pass</v>
      </c>
      <c r="S84">
        <f>IF(ROWS($2:84)&gt;COUNTIF(Maximum_RawData!$A:$A,"1_Maximum"),"",INDEX(Maximum_RawData!S:S,MATCH("1_Maximum",Maximum_RawData!$A:$A,0)+ROWS($2:84)-1))</f>
        <v>0</v>
      </c>
      <c r="T84">
        <f>IF(ROWS($2:84)&gt;COUNTIF(Maximum_RawData!$A:$A,"1_Maximum"),"",INDEX(Maximum_RawData!T:T,MATCH("1_Maximum",Maximum_RawData!$A:$A,0)+ROWS($2:84)-1))</f>
        <v>0</v>
      </c>
    </row>
    <row r="85" spans="1:20">
      <c r="A85" t="str">
        <f>IF(ROWS($2:85)&gt;COUNTIF(Maximum_RawData!$A:$A,"1_Maximum"),"",INDEX(Maximum_RawData!A:A,MATCH("1_Maximum",Maximum_RawData!$A:$A,0)+ROWS($2:85)-1))</f>
        <v>1_Maximum</v>
      </c>
      <c r="B85">
        <f>IF(ROWS($2:85)&gt;COUNTIF(Maximum_RawData!$A:$A,"1_Maximum"),"",INDEX(Maximum_RawData!B:B,MATCH("1_Maximum",Maximum_RawData!$A:$A,0)+ROWS($2:85)-1))</f>
        <v>150218.12599999999</v>
      </c>
      <c r="C85">
        <f>IF(ROWS($2:85)&gt;COUNTIF(Maximum_RawData!$A:$A,"1_Maximum"),"",INDEX(Maximum_RawData!C:C,MATCH("1_Maximum",Maximum_RawData!$A:$A,0)+ROWS($2:85)-1))</f>
        <v>7.97</v>
      </c>
      <c r="D85">
        <f>IF(ROWS($2:85)&gt;COUNTIF(Maximum_RawData!$A:$A,"1_Maximum"),"",INDEX(Maximum_RawData!D:D,MATCH("1_Maximum",Maximum_RawData!$A:$A,0)+ROWS($2:85)-1))</f>
        <v>1308.914</v>
      </c>
      <c r="E85">
        <f>IF(ROWS($2:85)&gt;COUNTIF(Maximum_RawData!$A:$A,"1_Maximum"),"",INDEX(Maximum_RawData!E:E,MATCH("1_Maximum",Maximum_RawData!$A:$A,0)+ROWS($2:85)-1))</f>
        <v>7.59</v>
      </c>
      <c r="F85">
        <f>IF(ROWS($2:85)&gt;COUNTIF(Maximum_RawData!$A:$A,"1_Maximum"),"",INDEX(Maximum_RawData!F:F,MATCH("1_Maximum",Maximum_RawData!$A:$A,0)+ROWS($2:85)-1))</f>
        <v>399</v>
      </c>
      <c r="G85">
        <f>IF(ROWS($2:85)&gt;COUNTIF(Maximum_RawData!$A:$A,"1_Maximum"),"",INDEX(Maximum_RawData!G:G,MATCH("1_Maximum",Maximum_RawData!$A:$A,0)+ROWS($2:85)-1))</f>
        <v>399</v>
      </c>
      <c r="H85">
        <f>IF(ROWS($2:85)&gt;COUNTIF(Maximum_RawData!$A:$A,"1_Maximum"),"",INDEX(Maximum_RawData!H:H,MATCH("1_Maximum",Maximum_RawData!$A:$A,0)+ROWS($2:85)-1))</f>
        <v>399</v>
      </c>
      <c r="I85">
        <f>IF(ROWS($2:85)&gt;COUNTIF(Maximum_RawData!$A:$A,"1_Maximum"),"",INDEX(Maximum_RawData!I:I,MATCH("1_Maximum",Maximum_RawData!$A:$A,0)+ROWS($2:85)-1))</f>
        <v>399</v>
      </c>
      <c r="J85">
        <f>IF(ROWS($2:85)&gt;COUNTIF(Maximum_RawData!$A:$A,"1_Maximum"),"",INDEX(Maximum_RawData!J:J,MATCH("1_Maximum",Maximum_RawData!$A:$A,0)+ROWS($2:85)-1))</f>
        <v>399</v>
      </c>
      <c r="K85">
        <f>IF(ROWS($2:85)&gt;COUNTIF(Maximum_RawData!$A:$A,"1_Maximum"),"",INDEX(Maximum_RawData!K:K,MATCH("1_Maximum",Maximum_RawData!$A:$A,0)+ROWS($2:85)-1))</f>
        <v>399</v>
      </c>
      <c r="L85">
        <f>IF(ROWS($2:85)&gt;COUNTIF(Maximum_RawData!$A:$A,"1_Maximum"),"",INDEX(Maximum_RawData!L:L,MATCH("1_Maximum",Maximum_RawData!$A:$A,0)+ROWS($2:85)-1))</f>
        <v>399</v>
      </c>
      <c r="M85">
        <f>IF(ROWS($2:85)&gt;COUNTIF(Maximum_RawData!$A:$A,"1_Maximum"),"",INDEX(Maximum_RawData!M:M,MATCH("1_Maximum",Maximum_RawData!$A:$A,0)+ROWS($2:85)-1))</f>
        <v>399</v>
      </c>
      <c r="N85">
        <f>IF(ROWS($2:85)&gt;COUNTIF(Maximum_RawData!$A:$A,"1_Maximum"),"",INDEX(Maximum_RawData!N:N,MATCH("1_Maximum",Maximum_RawData!$A:$A,0)+ROWS($2:85)-1))</f>
        <v>0.09</v>
      </c>
      <c r="O85">
        <f>IF(ROWS($2:85)&gt;COUNTIF(Maximum_RawData!$A:$A,"1_Maximum"),"",INDEX(Maximum_RawData!O:O,MATCH("1_Maximum",Maximum_RawData!$A:$A,0)+ROWS($2:85)-1))</f>
        <v>0.11</v>
      </c>
      <c r="P85">
        <f>IF(ROWS($2:85)&gt;COUNTIF(Maximum_RawData!$A:$A,"1_Maximum"),"",INDEX(Maximum_RawData!P:P,MATCH("1_Maximum",Maximum_RawData!$A:$A,0)+ROWS($2:85)-1))</f>
        <v>0.08</v>
      </c>
      <c r="Q85">
        <f>IF(ROWS($2:85)&gt;COUNTIF(Maximum_RawData!$A:$A,"1_Maximum"),"",INDEX(Maximum_RawData!Q:Q,MATCH("1_Maximum",Maximum_RawData!$A:$A,0)+ROWS($2:85)-1))</f>
        <v>0.1</v>
      </c>
      <c r="R85" t="str">
        <f>IF(ROWS($2:85)&gt;COUNTIF(Maximum_RawData!$A:$A,"1_Maximum"),"",INDEX(Maximum_RawData!R:R,MATCH("1_Maximum",Maximum_RawData!$A:$A,0)+ROWS($2:85)-1))</f>
        <v>Pass</v>
      </c>
      <c r="S85">
        <f>IF(ROWS($2:85)&gt;COUNTIF(Maximum_RawData!$A:$A,"1_Maximum"),"",INDEX(Maximum_RawData!S:S,MATCH("1_Maximum",Maximum_RawData!$A:$A,0)+ROWS($2:85)-1))</f>
        <v>0</v>
      </c>
      <c r="T85">
        <f>IF(ROWS($2:85)&gt;COUNTIF(Maximum_RawData!$A:$A,"1_Maximum"),"",INDEX(Maximum_RawData!T:T,MATCH("1_Maximum",Maximum_RawData!$A:$A,0)+ROWS($2:85)-1))</f>
        <v>0</v>
      </c>
    </row>
    <row r="86" spans="1:20">
      <c r="A86" t="str">
        <f>IF(ROWS($2:86)&gt;COUNTIF(Maximum_RawData!$A:$A,"1_Maximum"),"",INDEX(Maximum_RawData!A:A,MATCH("1_Maximum",Maximum_RawData!$A:$A,0)+ROWS($2:86)-1))</f>
        <v>1_Maximum</v>
      </c>
      <c r="B86">
        <f>IF(ROWS($2:86)&gt;COUNTIF(Maximum_RawData!$A:$A,"1_Maximum"),"",INDEX(Maximum_RawData!B:B,MATCH("1_Maximum",Maximum_RawData!$A:$A,0)+ROWS($2:86)-1))</f>
        <v>150223.149</v>
      </c>
      <c r="C86">
        <f>IF(ROWS($2:86)&gt;COUNTIF(Maximum_RawData!$A:$A,"1_Maximum"),"",INDEX(Maximum_RawData!C:C,MATCH("1_Maximum",Maximum_RawData!$A:$A,0)+ROWS($2:86)-1))</f>
        <v>7.21</v>
      </c>
      <c r="D86">
        <f>IF(ROWS($2:86)&gt;COUNTIF(Maximum_RawData!$A:$A,"1_Maximum"),"",INDEX(Maximum_RawData!D:D,MATCH("1_Maximum",Maximum_RawData!$A:$A,0)+ROWS($2:86)-1))</f>
        <v>1308.8440000000001</v>
      </c>
      <c r="E86">
        <f>IF(ROWS($2:86)&gt;COUNTIF(Maximum_RawData!$A:$A,"1_Maximum"),"",INDEX(Maximum_RawData!E:E,MATCH("1_Maximum",Maximum_RawData!$A:$A,0)+ROWS($2:86)-1))</f>
        <v>7.59</v>
      </c>
      <c r="F86">
        <f>IF(ROWS($2:86)&gt;COUNTIF(Maximum_RawData!$A:$A,"1_Maximum"),"",INDEX(Maximum_RawData!F:F,MATCH("1_Maximum",Maximum_RawData!$A:$A,0)+ROWS($2:86)-1))</f>
        <v>399</v>
      </c>
      <c r="G86">
        <f>IF(ROWS($2:86)&gt;COUNTIF(Maximum_RawData!$A:$A,"1_Maximum"),"",INDEX(Maximum_RawData!G:G,MATCH("1_Maximum",Maximum_RawData!$A:$A,0)+ROWS($2:86)-1))</f>
        <v>399</v>
      </c>
      <c r="H86">
        <f>IF(ROWS($2:86)&gt;COUNTIF(Maximum_RawData!$A:$A,"1_Maximum"),"",INDEX(Maximum_RawData!H:H,MATCH("1_Maximum",Maximum_RawData!$A:$A,0)+ROWS($2:86)-1))</f>
        <v>399</v>
      </c>
      <c r="I86">
        <f>IF(ROWS($2:86)&gt;COUNTIF(Maximum_RawData!$A:$A,"1_Maximum"),"",INDEX(Maximum_RawData!I:I,MATCH("1_Maximum",Maximum_RawData!$A:$A,0)+ROWS($2:86)-1))</f>
        <v>399</v>
      </c>
      <c r="J86">
        <f>IF(ROWS($2:86)&gt;COUNTIF(Maximum_RawData!$A:$A,"1_Maximum"),"",INDEX(Maximum_RawData!J:J,MATCH("1_Maximum",Maximum_RawData!$A:$A,0)+ROWS($2:86)-1))</f>
        <v>399</v>
      </c>
      <c r="K86">
        <f>IF(ROWS($2:86)&gt;COUNTIF(Maximum_RawData!$A:$A,"1_Maximum"),"",INDEX(Maximum_RawData!K:K,MATCH("1_Maximum",Maximum_RawData!$A:$A,0)+ROWS($2:86)-1))</f>
        <v>399</v>
      </c>
      <c r="L86">
        <f>IF(ROWS($2:86)&gt;COUNTIF(Maximum_RawData!$A:$A,"1_Maximum"),"",INDEX(Maximum_RawData!L:L,MATCH("1_Maximum",Maximum_RawData!$A:$A,0)+ROWS($2:86)-1))</f>
        <v>399</v>
      </c>
      <c r="M86">
        <f>IF(ROWS($2:86)&gt;COUNTIF(Maximum_RawData!$A:$A,"1_Maximum"),"",INDEX(Maximum_RawData!M:M,MATCH("1_Maximum",Maximum_RawData!$A:$A,0)+ROWS($2:86)-1))</f>
        <v>399</v>
      </c>
      <c r="N86">
        <f>IF(ROWS($2:86)&gt;COUNTIF(Maximum_RawData!$A:$A,"1_Maximum"),"",INDEX(Maximum_RawData!N:N,MATCH("1_Maximum",Maximum_RawData!$A:$A,0)+ROWS($2:86)-1))</f>
        <v>0.09</v>
      </c>
      <c r="O86">
        <f>IF(ROWS($2:86)&gt;COUNTIF(Maximum_RawData!$A:$A,"1_Maximum"),"",INDEX(Maximum_RawData!O:O,MATCH("1_Maximum",Maximum_RawData!$A:$A,0)+ROWS($2:86)-1))</f>
        <v>0.11</v>
      </c>
      <c r="P86">
        <f>IF(ROWS($2:86)&gt;COUNTIF(Maximum_RawData!$A:$A,"1_Maximum"),"",INDEX(Maximum_RawData!P:P,MATCH("1_Maximum",Maximum_RawData!$A:$A,0)+ROWS($2:86)-1))</f>
        <v>0.08</v>
      </c>
      <c r="Q86">
        <f>IF(ROWS($2:86)&gt;COUNTIF(Maximum_RawData!$A:$A,"1_Maximum"),"",INDEX(Maximum_RawData!Q:Q,MATCH("1_Maximum",Maximum_RawData!$A:$A,0)+ROWS($2:86)-1))</f>
        <v>0.1</v>
      </c>
      <c r="R86" t="str">
        <f>IF(ROWS($2:86)&gt;COUNTIF(Maximum_RawData!$A:$A,"1_Maximum"),"",INDEX(Maximum_RawData!R:R,MATCH("1_Maximum",Maximum_RawData!$A:$A,0)+ROWS($2:86)-1))</f>
        <v>Pass</v>
      </c>
      <c r="S86">
        <f>IF(ROWS($2:86)&gt;COUNTIF(Maximum_RawData!$A:$A,"1_Maximum"),"",INDEX(Maximum_RawData!S:S,MATCH("1_Maximum",Maximum_RawData!$A:$A,0)+ROWS($2:86)-1))</f>
        <v>0</v>
      </c>
      <c r="T86">
        <f>IF(ROWS($2:86)&gt;COUNTIF(Maximum_RawData!$A:$A,"1_Maximum"),"",INDEX(Maximum_RawData!T:T,MATCH("1_Maximum",Maximum_RawData!$A:$A,0)+ROWS($2:86)-1))</f>
        <v>0</v>
      </c>
    </row>
    <row r="87" spans="1:20">
      <c r="A87" t="str">
        <f>IF(ROWS($2:87)&gt;COUNTIF(Maximum_RawData!$A:$A,"1_Maximum"),"",INDEX(Maximum_RawData!A:A,MATCH("1_Maximum",Maximum_RawData!$A:$A,0)+ROWS($2:87)-1))</f>
        <v>1_Maximum</v>
      </c>
      <c r="B87">
        <f>IF(ROWS($2:87)&gt;COUNTIF(Maximum_RawData!$A:$A,"1_Maximum"),"",INDEX(Maximum_RawData!B:B,MATCH("1_Maximum",Maximum_RawData!$A:$A,0)+ROWS($2:87)-1))</f>
        <v>150228.12899999999</v>
      </c>
      <c r="C87">
        <f>IF(ROWS($2:87)&gt;COUNTIF(Maximum_RawData!$A:$A,"1_Maximum"),"",INDEX(Maximum_RawData!C:C,MATCH("1_Maximum",Maximum_RawData!$A:$A,0)+ROWS($2:87)-1))</f>
        <v>6.48</v>
      </c>
      <c r="D87">
        <f>IF(ROWS($2:87)&gt;COUNTIF(Maximum_RawData!$A:$A,"1_Maximum"),"",INDEX(Maximum_RawData!D:D,MATCH("1_Maximum",Maximum_RawData!$A:$A,0)+ROWS($2:87)-1))</f>
        <v>1308.7809999999999</v>
      </c>
      <c r="E87">
        <f>IF(ROWS($2:87)&gt;COUNTIF(Maximum_RawData!$A:$A,"1_Maximum"),"",INDEX(Maximum_RawData!E:E,MATCH("1_Maximum",Maximum_RawData!$A:$A,0)+ROWS($2:87)-1))</f>
        <v>7.54</v>
      </c>
      <c r="F87">
        <f>IF(ROWS($2:87)&gt;COUNTIF(Maximum_RawData!$A:$A,"1_Maximum"),"",INDEX(Maximum_RawData!F:F,MATCH("1_Maximum",Maximum_RawData!$A:$A,0)+ROWS($2:87)-1))</f>
        <v>399</v>
      </c>
      <c r="G87">
        <f>IF(ROWS($2:87)&gt;COUNTIF(Maximum_RawData!$A:$A,"1_Maximum"),"",INDEX(Maximum_RawData!G:G,MATCH("1_Maximum",Maximum_RawData!$A:$A,0)+ROWS($2:87)-1))</f>
        <v>399</v>
      </c>
      <c r="H87">
        <f>IF(ROWS($2:87)&gt;COUNTIF(Maximum_RawData!$A:$A,"1_Maximum"),"",INDEX(Maximum_RawData!H:H,MATCH("1_Maximum",Maximum_RawData!$A:$A,0)+ROWS($2:87)-1))</f>
        <v>399</v>
      </c>
      <c r="I87">
        <f>IF(ROWS($2:87)&gt;COUNTIF(Maximum_RawData!$A:$A,"1_Maximum"),"",INDEX(Maximum_RawData!I:I,MATCH("1_Maximum",Maximum_RawData!$A:$A,0)+ROWS($2:87)-1))</f>
        <v>399</v>
      </c>
      <c r="J87">
        <f>IF(ROWS($2:87)&gt;COUNTIF(Maximum_RawData!$A:$A,"1_Maximum"),"",INDEX(Maximum_RawData!J:J,MATCH("1_Maximum",Maximum_RawData!$A:$A,0)+ROWS($2:87)-1))</f>
        <v>399</v>
      </c>
      <c r="K87">
        <f>IF(ROWS($2:87)&gt;COUNTIF(Maximum_RawData!$A:$A,"1_Maximum"),"",INDEX(Maximum_RawData!K:K,MATCH("1_Maximum",Maximum_RawData!$A:$A,0)+ROWS($2:87)-1))</f>
        <v>399</v>
      </c>
      <c r="L87">
        <f>IF(ROWS($2:87)&gt;COUNTIF(Maximum_RawData!$A:$A,"1_Maximum"),"",INDEX(Maximum_RawData!L:L,MATCH("1_Maximum",Maximum_RawData!$A:$A,0)+ROWS($2:87)-1))</f>
        <v>399</v>
      </c>
      <c r="M87">
        <f>IF(ROWS($2:87)&gt;COUNTIF(Maximum_RawData!$A:$A,"1_Maximum"),"",INDEX(Maximum_RawData!M:M,MATCH("1_Maximum",Maximum_RawData!$A:$A,0)+ROWS($2:87)-1))</f>
        <v>399</v>
      </c>
      <c r="N87">
        <f>IF(ROWS($2:87)&gt;COUNTIF(Maximum_RawData!$A:$A,"1_Maximum"),"",INDEX(Maximum_RawData!N:N,MATCH("1_Maximum",Maximum_RawData!$A:$A,0)+ROWS($2:87)-1))</f>
        <v>0.09</v>
      </c>
      <c r="O87">
        <f>IF(ROWS($2:87)&gt;COUNTIF(Maximum_RawData!$A:$A,"1_Maximum"),"",INDEX(Maximum_RawData!O:O,MATCH("1_Maximum",Maximum_RawData!$A:$A,0)+ROWS($2:87)-1))</f>
        <v>0.11</v>
      </c>
      <c r="P87">
        <f>IF(ROWS($2:87)&gt;COUNTIF(Maximum_RawData!$A:$A,"1_Maximum"),"",INDEX(Maximum_RawData!P:P,MATCH("1_Maximum",Maximum_RawData!$A:$A,0)+ROWS($2:87)-1))</f>
        <v>0.08</v>
      </c>
      <c r="Q87">
        <f>IF(ROWS($2:87)&gt;COUNTIF(Maximum_RawData!$A:$A,"1_Maximum"),"",INDEX(Maximum_RawData!Q:Q,MATCH("1_Maximum",Maximum_RawData!$A:$A,0)+ROWS($2:87)-1))</f>
        <v>0.1</v>
      </c>
      <c r="R87" t="str">
        <f>IF(ROWS($2:87)&gt;COUNTIF(Maximum_RawData!$A:$A,"1_Maximum"),"",INDEX(Maximum_RawData!R:R,MATCH("1_Maximum",Maximum_RawData!$A:$A,0)+ROWS($2:87)-1))</f>
        <v>Pass</v>
      </c>
      <c r="S87">
        <f>IF(ROWS($2:87)&gt;COUNTIF(Maximum_RawData!$A:$A,"1_Maximum"),"",INDEX(Maximum_RawData!S:S,MATCH("1_Maximum",Maximum_RawData!$A:$A,0)+ROWS($2:87)-1))</f>
        <v>0</v>
      </c>
      <c r="T87">
        <f>IF(ROWS($2:87)&gt;COUNTIF(Maximum_RawData!$A:$A,"1_Maximum"),"",INDEX(Maximum_RawData!T:T,MATCH("1_Maximum",Maximum_RawData!$A:$A,0)+ROWS($2:87)-1))</f>
        <v>0</v>
      </c>
    </row>
    <row r="88" spans="1:20">
      <c r="A88" t="str">
        <f>IF(ROWS($2:88)&gt;COUNTIF(Maximum_RawData!$A:$A,"1_Maximum"),"",INDEX(Maximum_RawData!A:A,MATCH("1_Maximum",Maximum_RawData!$A:$A,0)+ROWS($2:88)-1))</f>
        <v>1_Maximum</v>
      </c>
      <c r="B88">
        <f>IF(ROWS($2:88)&gt;COUNTIF(Maximum_RawData!$A:$A,"1_Maximum"),"",INDEX(Maximum_RawData!B:B,MATCH("1_Maximum",Maximum_RawData!$A:$A,0)+ROWS($2:88)-1))</f>
        <v>150233.13399999999</v>
      </c>
      <c r="C88">
        <f>IF(ROWS($2:88)&gt;COUNTIF(Maximum_RawData!$A:$A,"1_Maximum"),"",INDEX(Maximum_RawData!C:C,MATCH("1_Maximum",Maximum_RawData!$A:$A,0)+ROWS($2:88)-1))</f>
        <v>5.73</v>
      </c>
      <c r="D88">
        <f>IF(ROWS($2:88)&gt;COUNTIF(Maximum_RawData!$A:$A,"1_Maximum"),"",INDEX(Maximum_RawData!D:D,MATCH("1_Maximum",Maximum_RawData!$A:$A,0)+ROWS($2:88)-1))</f>
        <v>1308.712</v>
      </c>
      <c r="E88">
        <f>IF(ROWS($2:88)&gt;COUNTIF(Maximum_RawData!$A:$A,"1_Maximum"),"",INDEX(Maximum_RawData!E:E,MATCH("1_Maximum",Maximum_RawData!$A:$A,0)+ROWS($2:88)-1))</f>
        <v>7.5</v>
      </c>
      <c r="F88">
        <f>IF(ROWS($2:88)&gt;COUNTIF(Maximum_RawData!$A:$A,"1_Maximum"),"",INDEX(Maximum_RawData!F:F,MATCH("1_Maximum",Maximum_RawData!$A:$A,0)+ROWS($2:88)-1))</f>
        <v>399</v>
      </c>
      <c r="G88">
        <f>IF(ROWS($2:88)&gt;COUNTIF(Maximum_RawData!$A:$A,"1_Maximum"),"",INDEX(Maximum_RawData!G:G,MATCH("1_Maximum",Maximum_RawData!$A:$A,0)+ROWS($2:88)-1))</f>
        <v>399</v>
      </c>
      <c r="H88">
        <f>IF(ROWS($2:88)&gt;COUNTIF(Maximum_RawData!$A:$A,"1_Maximum"),"",INDEX(Maximum_RawData!H:H,MATCH("1_Maximum",Maximum_RawData!$A:$A,0)+ROWS($2:88)-1))</f>
        <v>399</v>
      </c>
      <c r="I88">
        <f>IF(ROWS($2:88)&gt;COUNTIF(Maximum_RawData!$A:$A,"1_Maximum"),"",INDEX(Maximum_RawData!I:I,MATCH("1_Maximum",Maximum_RawData!$A:$A,0)+ROWS($2:88)-1))</f>
        <v>399</v>
      </c>
      <c r="J88">
        <f>IF(ROWS($2:88)&gt;COUNTIF(Maximum_RawData!$A:$A,"1_Maximum"),"",INDEX(Maximum_RawData!J:J,MATCH("1_Maximum",Maximum_RawData!$A:$A,0)+ROWS($2:88)-1))</f>
        <v>399</v>
      </c>
      <c r="K88">
        <f>IF(ROWS($2:88)&gt;COUNTIF(Maximum_RawData!$A:$A,"1_Maximum"),"",INDEX(Maximum_RawData!K:K,MATCH("1_Maximum",Maximum_RawData!$A:$A,0)+ROWS($2:88)-1))</f>
        <v>399</v>
      </c>
      <c r="L88">
        <f>IF(ROWS($2:88)&gt;COUNTIF(Maximum_RawData!$A:$A,"1_Maximum"),"",INDEX(Maximum_RawData!L:L,MATCH("1_Maximum",Maximum_RawData!$A:$A,0)+ROWS($2:88)-1))</f>
        <v>399</v>
      </c>
      <c r="M88">
        <f>IF(ROWS($2:88)&gt;COUNTIF(Maximum_RawData!$A:$A,"1_Maximum"),"",INDEX(Maximum_RawData!M:M,MATCH("1_Maximum",Maximum_RawData!$A:$A,0)+ROWS($2:88)-1))</f>
        <v>399</v>
      </c>
      <c r="N88">
        <f>IF(ROWS($2:88)&gt;COUNTIF(Maximum_RawData!$A:$A,"1_Maximum"),"",INDEX(Maximum_RawData!N:N,MATCH("1_Maximum",Maximum_RawData!$A:$A,0)+ROWS($2:88)-1))</f>
        <v>0.09</v>
      </c>
      <c r="O88">
        <f>IF(ROWS($2:88)&gt;COUNTIF(Maximum_RawData!$A:$A,"1_Maximum"),"",INDEX(Maximum_RawData!O:O,MATCH("1_Maximum",Maximum_RawData!$A:$A,0)+ROWS($2:88)-1))</f>
        <v>0.11</v>
      </c>
      <c r="P88">
        <f>IF(ROWS($2:88)&gt;COUNTIF(Maximum_RawData!$A:$A,"1_Maximum"),"",INDEX(Maximum_RawData!P:P,MATCH("1_Maximum",Maximum_RawData!$A:$A,0)+ROWS($2:88)-1))</f>
        <v>0.08</v>
      </c>
      <c r="Q88">
        <f>IF(ROWS($2:88)&gt;COUNTIF(Maximum_RawData!$A:$A,"1_Maximum"),"",INDEX(Maximum_RawData!Q:Q,MATCH("1_Maximum",Maximum_RawData!$A:$A,0)+ROWS($2:88)-1))</f>
        <v>0.1</v>
      </c>
      <c r="R88" t="str">
        <f>IF(ROWS($2:88)&gt;COUNTIF(Maximum_RawData!$A:$A,"1_Maximum"),"",INDEX(Maximum_RawData!R:R,MATCH("1_Maximum",Maximum_RawData!$A:$A,0)+ROWS($2:88)-1))</f>
        <v>Pass</v>
      </c>
      <c r="S88">
        <f>IF(ROWS($2:88)&gt;COUNTIF(Maximum_RawData!$A:$A,"1_Maximum"),"",INDEX(Maximum_RawData!S:S,MATCH("1_Maximum",Maximum_RawData!$A:$A,0)+ROWS($2:88)-1))</f>
        <v>0</v>
      </c>
      <c r="T88">
        <f>IF(ROWS($2:88)&gt;COUNTIF(Maximum_RawData!$A:$A,"1_Maximum"),"",INDEX(Maximum_RawData!T:T,MATCH("1_Maximum",Maximum_RawData!$A:$A,0)+ROWS($2:88)-1))</f>
        <v>0</v>
      </c>
    </row>
    <row r="89" spans="1:20">
      <c r="A89" t="str">
        <f>IF(ROWS($2:89)&gt;COUNTIF(Maximum_RawData!$A:$A,"1_Maximum"),"",INDEX(Maximum_RawData!A:A,MATCH("1_Maximum",Maximum_RawData!$A:$A,0)+ROWS($2:89)-1))</f>
        <v>1_Maximum</v>
      </c>
      <c r="B89">
        <f>IF(ROWS($2:89)&gt;COUNTIF(Maximum_RawData!$A:$A,"1_Maximum"),"",INDEX(Maximum_RawData!B:B,MATCH("1_Maximum",Maximum_RawData!$A:$A,0)+ROWS($2:89)-1))</f>
        <v>150238.12299999999</v>
      </c>
      <c r="C89">
        <f>IF(ROWS($2:89)&gt;COUNTIF(Maximum_RawData!$A:$A,"1_Maximum"),"",INDEX(Maximum_RawData!C:C,MATCH("1_Maximum",Maximum_RawData!$A:$A,0)+ROWS($2:89)-1))</f>
        <v>4.99</v>
      </c>
      <c r="D89">
        <f>IF(ROWS($2:89)&gt;COUNTIF(Maximum_RawData!$A:$A,"1_Maximum"),"",INDEX(Maximum_RawData!D:D,MATCH("1_Maximum",Maximum_RawData!$A:$A,0)+ROWS($2:89)-1))</f>
        <v>1308.635</v>
      </c>
      <c r="E89">
        <f>IF(ROWS($2:89)&gt;COUNTIF(Maximum_RawData!$A:$A,"1_Maximum"),"",INDEX(Maximum_RawData!E:E,MATCH("1_Maximum",Maximum_RawData!$A:$A,0)+ROWS($2:89)-1))</f>
        <v>7.41</v>
      </c>
      <c r="F89">
        <f>IF(ROWS($2:89)&gt;COUNTIF(Maximum_RawData!$A:$A,"1_Maximum"),"",INDEX(Maximum_RawData!F:F,MATCH("1_Maximum",Maximum_RawData!$A:$A,0)+ROWS($2:89)-1))</f>
        <v>399</v>
      </c>
      <c r="G89">
        <f>IF(ROWS($2:89)&gt;COUNTIF(Maximum_RawData!$A:$A,"1_Maximum"),"",INDEX(Maximum_RawData!G:G,MATCH("1_Maximum",Maximum_RawData!$A:$A,0)+ROWS($2:89)-1))</f>
        <v>399</v>
      </c>
      <c r="H89">
        <f>IF(ROWS($2:89)&gt;COUNTIF(Maximum_RawData!$A:$A,"1_Maximum"),"",INDEX(Maximum_RawData!H:H,MATCH("1_Maximum",Maximum_RawData!$A:$A,0)+ROWS($2:89)-1))</f>
        <v>399</v>
      </c>
      <c r="I89">
        <f>IF(ROWS($2:89)&gt;COUNTIF(Maximum_RawData!$A:$A,"1_Maximum"),"",INDEX(Maximum_RawData!I:I,MATCH("1_Maximum",Maximum_RawData!$A:$A,0)+ROWS($2:89)-1))</f>
        <v>399</v>
      </c>
      <c r="J89">
        <f>IF(ROWS($2:89)&gt;COUNTIF(Maximum_RawData!$A:$A,"1_Maximum"),"",INDEX(Maximum_RawData!J:J,MATCH("1_Maximum",Maximum_RawData!$A:$A,0)+ROWS($2:89)-1))</f>
        <v>399</v>
      </c>
      <c r="K89">
        <f>IF(ROWS($2:89)&gt;COUNTIF(Maximum_RawData!$A:$A,"1_Maximum"),"",INDEX(Maximum_RawData!K:K,MATCH("1_Maximum",Maximum_RawData!$A:$A,0)+ROWS($2:89)-1))</f>
        <v>399</v>
      </c>
      <c r="L89">
        <f>IF(ROWS($2:89)&gt;COUNTIF(Maximum_RawData!$A:$A,"1_Maximum"),"",INDEX(Maximum_RawData!L:L,MATCH("1_Maximum",Maximum_RawData!$A:$A,0)+ROWS($2:89)-1))</f>
        <v>399</v>
      </c>
      <c r="M89">
        <f>IF(ROWS($2:89)&gt;COUNTIF(Maximum_RawData!$A:$A,"1_Maximum"),"",INDEX(Maximum_RawData!M:M,MATCH("1_Maximum",Maximum_RawData!$A:$A,0)+ROWS($2:89)-1))</f>
        <v>399</v>
      </c>
      <c r="N89">
        <f>IF(ROWS($2:89)&gt;COUNTIF(Maximum_RawData!$A:$A,"1_Maximum"),"",INDEX(Maximum_RawData!N:N,MATCH("1_Maximum",Maximum_RawData!$A:$A,0)+ROWS($2:89)-1))</f>
        <v>0.1</v>
      </c>
      <c r="O89">
        <f>IF(ROWS($2:89)&gt;COUNTIF(Maximum_RawData!$A:$A,"1_Maximum"),"",INDEX(Maximum_RawData!O:O,MATCH("1_Maximum",Maximum_RawData!$A:$A,0)+ROWS($2:89)-1))</f>
        <v>0.11</v>
      </c>
      <c r="P89">
        <f>IF(ROWS($2:89)&gt;COUNTIF(Maximum_RawData!$A:$A,"1_Maximum"),"",INDEX(Maximum_RawData!P:P,MATCH("1_Maximum",Maximum_RawData!$A:$A,0)+ROWS($2:89)-1))</f>
        <v>0.08</v>
      </c>
      <c r="Q89">
        <f>IF(ROWS($2:89)&gt;COUNTIF(Maximum_RawData!$A:$A,"1_Maximum"),"",INDEX(Maximum_RawData!Q:Q,MATCH("1_Maximum",Maximum_RawData!$A:$A,0)+ROWS($2:89)-1))</f>
        <v>0.1</v>
      </c>
      <c r="R89" t="str">
        <f>IF(ROWS($2:89)&gt;COUNTIF(Maximum_RawData!$A:$A,"1_Maximum"),"",INDEX(Maximum_RawData!R:R,MATCH("1_Maximum",Maximum_RawData!$A:$A,0)+ROWS($2:89)-1))</f>
        <v>Pass</v>
      </c>
      <c r="S89">
        <f>IF(ROWS($2:89)&gt;COUNTIF(Maximum_RawData!$A:$A,"1_Maximum"),"",INDEX(Maximum_RawData!S:S,MATCH("1_Maximum",Maximum_RawData!$A:$A,0)+ROWS($2:89)-1))</f>
        <v>0</v>
      </c>
      <c r="T89">
        <f>IF(ROWS($2:89)&gt;COUNTIF(Maximum_RawData!$A:$A,"1_Maximum"),"",INDEX(Maximum_RawData!T:T,MATCH("1_Maximum",Maximum_RawData!$A:$A,0)+ROWS($2:89)-1))</f>
        <v>0</v>
      </c>
    </row>
    <row r="90" spans="1:20">
      <c r="A90" t="str">
        <f>IF(ROWS($2:90)&gt;COUNTIF(Maximum_RawData!$A:$A,"1_Maximum"),"",INDEX(Maximum_RawData!A:A,MATCH("1_Maximum",Maximum_RawData!$A:$A,0)+ROWS($2:90)-1))</f>
        <v>1_Maximum</v>
      </c>
      <c r="B90">
        <f>IF(ROWS($2:90)&gt;COUNTIF(Maximum_RawData!$A:$A,"1_Maximum"),"",INDEX(Maximum_RawData!B:B,MATCH("1_Maximum",Maximum_RawData!$A:$A,0)+ROWS($2:90)-1))</f>
        <v>150243.13</v>
      </c>
      <c r="C90">
        <f>IF(ROWS($2:90)&gt;COUNTIF(Maximum_RawData!$A:$A,"1_Maximum"),"",INDEX(Maximum_RawData!C:C,MATCH("1_Maximum",Maximum_RawData!$A:$A,0)+ROWS($2:90)-1))</f>
        <v>4.24</v>
      </c>
      <c r="D90">
        <f>IF(ROWS($2:90)&gt;COUNTIF(Maximum_RawData!$A:$A,"1_Maximum"),"",INDEX(Maximum_RawData!D:D,MATCH("1_Maximum",Maximum_RawData!$A:$A,0)+ROWS($2:90)-1))</f>
        <v>1308.5730000000001</v>
      </c>
      <c r="E90">
        <f>IF(ROWS($2:90)&gt;COUNTIF(Maximum_RawData!$A:$A,"1_Maximum"),"",INDEX(Maximum_RawData!E:E,MATCH("1_Maximum",Maximum_RawData!$A:$A,0)+ROWS($2:90)-1))</f>
        <v>7.49</v>
      </c>
      <c r="F90">
        <f>IF(ROWS($2:90)&gt;COUNTIF(Maximum_RawData!$A:$A,"1_Maximum"),"",INDEX(Maximum_RawData!F:F,MATCH("1_Maximum",Maximum_RawData!$A:$A,0)+ROWS($2:90)-1))</f>
        <v>399</v>
      </c>
      <c r="G90">
        <f>IF(ROWS($2:90)&gt;COUNTIF(Maximum_RawData!$A:$A,"1_Maximum"),"",INDEX(Maximum_RawData!G:G,MATCH("1_Maximum",Maximum_RawData!$A:$A,0)+ROWS($2:90)-1))</f>
        <v>399</v>
      </c>
      <c r="H90">
        <f>IF(ROWS($2:90)&gt;COUNTIF(Maximum_RawData!$A:$A,"1_Maximum"),"",INDEX(Maximum_RawData!H:H,MATCH("1_Maximum",Maximum_RawData!$A:$A,0)+ROWS($2:90)-1))</f>
        <v>399</v>
      </c>
      <c r="I90">
        <f>IF(ROWS($2:90)&gt;COUNTIF(Maximum_RawData!$A:$A,"1_Maximum"),"",INDEX(Maximum_RawData!I:I,MATCH("1_Maximum",Maximum_RawData!$A:$A,0)+ROWS($2:90)-1))</f>
        <v>399</v>
      </c>
      <c r="J90">
        <f>IF(ROWS($2:90)&gt;COUNTIF(Maximum_RawData!$A:$A,"1_Maximum"),"",INDEX(Maximum_RawData!J:J,MATCH("1_Maximum",Maximum_RawData!$A:$A,0)+ROWS($2:90)-1))</f>
        <v>399</v>
      </c>
      <c r="K90">
        <f>IF(ROWS($2:90)&gt;COUNTIF(Maximum_RawData!$A:$A,"1_Maximum"),"",INDEX(Maximum_RawData!K:K,MATCH("1_Maximum",Maximum_RawData!$A:$A,0)+ROWS($2:90)-1))</f>
        <v>399</v>
      </c>
      <c r="L90">
        <f>IF(ROWS($2:90)&gt;COUNTIF(Maximum_RawData!$A:$A,"1_Maximum"),"",INDEX(Maximum_RawData!L:L,MATCH("1_Maximum",Maximum_RawData!$A:$A,0)+ROWS($2:90)-1))</f>
        <v>399</v>
      </c>
      <c r="M90">
        <f>IF(ROWS($2:90)&gt;COUNTIF(Maximum_RawData!$A:$A,"1_Maximum"),"",INDEX(Maximum_RawData!M:M,MATCH("1_Maximum",Maximum_RawData!$A:$A,0)+ROWS($2:90)-1))</f>
        <v>399</v>
      </c>
      <c r="N90">
        <f>IF(ROWS($2:90)&gt;COUNTIF(Maximum_RawData!$A:$A,"1_Maximum"),"",INDEX(Maximum_RawData!N:N,MATCH("1_Maximum",Maximum_RawData!$A:$A,0)+ROWS($2:90)-1))</f>
        <v>0.08</v>
      </c>
      <c r="O90">
        <f>IF(ROWS($2:90)&gt;COUNTIF(Maximum_RawData!$A:$A,"1_Maximum"),"",INDEX(Maximum_RawData!O:O,MATCH("1_Maximum",Maximum_RawData!$A:$A,0)+ROWS($2:90)-1))</f>
        <v>0.11</v>
      </c>
      <c r="P90">
        <f>IF(ROWS($2:90)&gt;COUNTIF(Maximum_RawData!$A:$A,"1_Maximum"),"",INDEX(Maximum_RawData!P:P,MATCH("1_Maximum",Maximum_RawData!$A:$A,0)+ROWS($2:90)-1))</f>
        <v>0.08</v>
      </c>
      <c r="Q90">
        <f>IF(ROWS($2:90)&gt;COUNTIF(Maximum_RawData!$A:$A,"1_Maximum"),"",INDEX(Maximum_RawData!Q:Q,MATCH("1_Maximum",Maximum_RawData!$A:$A,0)+ROWS($2:90)-1))</f>
        <v>0.1</v>
      </c>
      <c r="R90" t="str">
        <f>IF(ROWS($2:90)&gt;COUNTIF(Maximum_RawData!$A:$A,"1_Maximum"),"",INDEX(Maximum_RawData!R:R,MATCH("1_Maximum",Maximum_RawData!$A:$A,0)+ROWS($2:90)-1))</f>
        <v>Pass</v>
      </c>
      <c r="S90">
        <f>IF(ROWS($2:90)&gt;COUNTIF(Maximum_RawData!$A:$A,"1_Maximum"),"",INDEX(Maximum_RawData!S:S,MATCH("1_Maximum",Maximum_RawData!$A:$A,0)+ROWS($2:90)-1))</f>
        <v>0</v>
      </c>
      <c r="T90">
        <f>IF(ROWS($2:90)&gt;COUNTIF(Maximum_RawData!$A:$A,"1_Maximum"),"",INDEX(Maximum_RawData!T:T,MATCH("1_Maximum",Maximum_RawData!$A:$A,0)+ROWS($2:90)-1))</f>
        <v>0</v>
      </c>
    </row>
    <row r="91" spans="1:20">
      <c r="A91" t="str">
        <f>IF(ROWS($2:91)&gt;COUNTIF(Maximum_RawData!$A:$A,"1_Maximum"),"",INDEX(Maximum_RawData!A:A,MATCH("1_Maximum",Maximum_RawData!$A:$A,0)+ROWS($2:91)-1))</f>
        <v>1_Maximum</v>
      </c>
      <c r="B91">
        <f>IF(ROWS($2:91)&gt;COUNTIF(Maximum_RawData!$A:$A,"1_Maximum"),"",INDEX(Maximum_RawData!B:B,MATCH("1_Maximum",Maximum_RawData!$A:$A,0)+ROWS($2:91)-1))</f>
        <v>150248.13</v>
      </c>
      <c r="C91">
        <f>IF(ROWS($2:91)&gt;COUNTIF(Maximum_RawData!$A:$A,"1_Maximum"),"",INDEX(Maximum_RawData!C:C,MATCH("1_Maximum",Maximum_RawData!$A:$A,0)+ROWS($2:91)-1))</f>
        <v>3.51</v>
      </c>
      <c r="D91">
        <f>IF(ROWS($2:91)&gt;COUNTIF(Maximum_RawData!$A:$A,"1_Maximum"),"",INDEX(Maximum_RawData!D:D,MATCH("1_Maximum",Maximum_RawData!$A:$A,0)+ROWS($2:91)-1))</f>
        <v>1308.4960000000001</v>
      </c>
      <c r="E91">
        <f>IF(ROWS($2:91)&gt;COUNTIF(Maximum_RawData!$A:$A,"1_Maximum"),"",INDEX(Maximum_RawData!E:E,MATCH("1_Maximum",Maximum_RawData!$A:$A,0)+ROWS($2:91)-1))</f>
        <v>7.45</v>
      </c>
      <c r="F91">
        <f>IF(ROWS($2:91)&gt;COUNTIF(Maximum_RawData!$A:$A,"1_Maximum"),"",INDEX(Maximum_RawData!F:F,MATCH("1_Maximum",Maximum_RawData!$A:$A,0)+ROWS($2:91)-1))</f>
        <v>399</v>
      </c>
      <c r="G91">
        <f>IF(ROWS($2:91)&gt;COUNTIF(Maximum_RawData!$A:$A,"1_Maximum"),"",INDEX(Maximum_RawData!G:G,MATCH("1_Maximum",Maximum_RawData!$A:$A,0)+ROWS($2:91)-1))</f>
        <v>399</v>
      </c>
      <c r="H91">
        <f>IF(ROWS($2:91)&gt;COUNTIF(Maximum_RawData!$A:$A,"1_Maximum"),"",INDEX(Maximum_RawData!H:H,MATCH("1_Maximum",Maximum_RawData!$A:$A,0)+ROWS($2:91)-1))</f>
        <v>399</v>
      </c>
      <c r="I91">
        <f>IF(ROWS($2:91)&gt;COUNTIF(Maximum_RawData!$A:$A,"1_Maximum"),"",INDEX(Maximum_RawData!I:I,MATCH("1_Maximum",Maximum_RawData!$A:$A,0)+ROWS($2:91)-1))</f>
        <v>399</v>
      </c>
      <c r="J91">
        <f>IF(ROWS($2:91)&gt;COUNTIF(Maximum_RawData!$A:$A,"1_Maximum"),"",INDEX(Maximum_RawData!J:J,MATCH("1_Maximum",Maximum_RawData!$A:$A,0)+ROWS($2:91)-1))</f>
        <v>399</v>
      </c>
      <c r="K91">
        <f>IF(ROWS($2:91)&gt;COUNTIF(Maximum_RawData!$A:$A,"1_Maximum"),"",INDEX(Maximum_RawData!K:K,MATCH("1_Maximum",Maximum_RawData!$A:$A,0)+ROWS($2:91)-1))</f>
        <v>399</v>
      </c>
      <c r="L91">
        <f>IF(ROWS($2:91)&gt;COUNTIF(Maximum_RawData!$A:$A,"1_Maximum"),"",INDEX(Maximum_RawData!L:L,MATCH("1_Maximum",Maximum_RawData!$A:$A,0)+ROWS($2:91)-1))</f>
        <v>399</v>
      </c>
      <c r="M91">
        <f>IF(ROWS($2:91)&gt;COUNTIF(Maximum_RawData!$A:$A,"1_Maximum"),"",INDEX(Maximum_RawData!M:M,MATCH("1_Maximum",Maximum_RawData!$A:$A,0)+ROWS($2:91)-1))</f>
        <v>399</v>
      </c>
      <c r="N91">
        <f>IF(ROWS($2:91)&gt;COUNTIF(Maximum_RawData!$A:$A,"1_Maximum"),"",INDEX(Maximum_RawData!N:N,MATCH("1_Maximum",Maximum_RawData!$A:$A,0)+ROWS($2:91)-1))</f>
        <v>0.11</v>
      </c>
      <c r="O91">
        <f>IF(ROWS($2:91)&gt;COUNTIF(Maximum_RawData!$A:$A,"1_Maximum"),"",INDEX(Maximum_RawData!O:O,MATCH("1_Maximum",Maximum_RawData!$A:$A,0)+ROWS($2:91)-1))</f>
        <v>0.11</v>
      </c>
      <c r="P91">
        <f>IF(ROWS($2:91)&gt;COUNTIF(Maximum_RawData!$A:$A,"1_Maximum"),"",INDEX(Maximum_RawData!P:P,MATCH("1_Maximum",Maximum_RawData!$A:$A,0)+ROWS($2:91)-1))</f>
        <v>0.08</v>
      </c>
      <c r="Q91">
        <f>IF(ROWS($2:91)&gt;COUNTIF(Maximum_RawData!$A:$A,"1_Maximum"),"",INDEX(Maximum_RawData!Q:Q,MATCH("1_Maximum",Maximum_RawData!$A:$A,0)+ROWS($2:91)-1))</f>
        <v>0.1</v>
      </c>
      <c r="R91" t="str">
        <f>IF(ROWS($2:91)&gt;COUNTIF(Maximum_RawData!$A:$A,"1_Maximum"),"",INDEX(Maximum_RawData!R:R,MATCH("1_Maximum",Maximum_RawData!$A:$A,0)+ROWS($2:91)-1))</f>
        <v>Pass</v>
      </c>
      <c r="S91">
        <f>IF(ROWS($2:91)&gt;COUNTIF(Maximum_RawData!$A:$A,"1_Maximum"),"",INDEX(Maximum_RawData!S:S,MATCH("1_Maximum",Maximum_RawData!$A:$A,0)+ROWS($2:91)-1))</f>
        <v>0</v>
      </c>
      <c r="T91">
        <f>IF(ROWS($2:91)&gt;COUNTIF(Maximum_RawData!$A:$A,"1_Maximum"),"",INDEX(Maximum_RawData!T:T,MATCH("1_Maximum",Maximum_RawData!$A:$A,0)+ROWS($2:91)-1))</f>
        <v>0</v>
      </c>
    </row>
    <row r="92" spans="1:20">
      <c r="A92" t="str">
        <f>IF(ROWS($2:92)&gt;COUNTIF(Maximum_RawData!$A:$A,"1_Maximum"),"",INDEX(Maximum_RawData!A:A,MATCH("1_Maximum",Maximum_RawData!$A:$A,0)+ROWS($2:92)-1))</f>
        <v>1_Maximum</v>
      </c>
      <c r="B92">
        <f>IF(ROWS($2:92)&gt;COUNTIF(Maximum_RawData!$A:$A,"1_Maximum"),"",INDEX(Maximum_RawData!B:B,MATCH("1_Maximum",Maximum_RawData!$A:$A,0)+ROWS($2:92)-1))</f>
        <v>150253.13500000001</v>
      </c>
      <c r="C92">
        <f>IF(ROWS($2:92)&gt;COUNTIF(Maximum_RawData!$A:$A,"1_Maximum"),"",INDEX(Maximum_RawData!C:C,MATCH("1_Maximum",Maximum_RawData!$A:$A,0)+ROWS($2:92)-1))</f>
        <v>2.76</v>
      </c>
      <c r="D92">
        <f>IF(ROWS($2:92)&gt;COUNTIF(Maximum_RawData!$A:$A,"1_Maximum"),"",INDEX(Maximum_RawData!D:D,MATCH("1_Maximum",Maximum_RawData!$A:$A,0)+ROWS($2:92)-1))</f>
        <v>1308.4259999999999</v>
      </c>
      <c r="E92">
        <f>IF(ROWS($2:92)&gt;COUNTIF(Maximum_RawData!$A:$A,"1_Maximum"),"",INDEX(Maximum_RawData!E:E,MATCH("1_Maximum",Maximum_RawData!$A:$A,0)+ROWS($2:92)-1))</f>
        <v>7.48</v>
      </c>
      <c r="F92">
        <f>IF(ROWS($2:92)&gt;COUNTIF(Maximum_RawData!$A:$A,"1_Maximum"),"",INDEX(Maximum_RawData!F:F,MATCH("1_Maximum",Maximum_RawData!$A:$A,0)+ROWS($2:92)-1))</f>
        <v>399</v>
      </c>
      <c r="G92">
        <f>IF(ROWS($2:92)&gt;COUNTIF(Maximum_RawData!$A:$A,"1_Maximum"),"",INDEX(Maximum_RawData!G:G,MATCH("1_Maximum",Maximum_RawData!$A:$A,0)+ROWS($2:92)-1))</f>
        <v>399</v>
      </c>
      <c r="H92">
        <f>IF(ROWS($2:92)&gt;COUNTIF(Maximum_RawData!$A:$A,"1_Maximum"),"",INDEX(Maximum_RawData!H:H,MATCH("1_Maximum",Maximum_RawData!$A:$A,0)+ROWS($2:92)-1))</f>
        <v>399</v>
      </c>
      <c r="I92">
        <f>IF(ROWS($2:92)&gt;COUNTIF(Maximum_RawData!$A:$A,"1_Maximum"),"",INDEX(Maximum_RawData!I:I,MATCH("1_Maximum",Maximum_RawData!$A:$A,0)+ROWS($2:92)-1))</f>
        <v>399</v>
      </c>
      <c r="J92">
        <f>IF(ROWS($2:92)&gt;COUNTIF(Maximum_RawData!$A:$A,"1_Maximum"),"",INDEX(Maximum_RawData!J:J,MATCH("1_Maximum",Maximum_RawData!$A:$A,0)+ROWS($2:92)-1))</f>
        <v>399</v>
      </c>
      <c r="K92">
        <f>IF(ROWS($2:92)&gt;COUNTIF(Maximum_RawData!$A:$A,"1_Maximum"),"",INDEX(Maximum_RawData!K:K,MATCH("1_Maximum",Maximum_RawData!$A:$A,0)+ROWS($2:92)-1))</f>
        <v>399</v>
      </c>
      <c r="L92">
        <f>IF(ROWS($2:92)&gt;COUNTIF(Maximum_RawData!$A:$A,"1_Maximum"),"",INDEX(Maximum_RawData!L:L,MATCH("1_Maximum",Maximum_RawData!$A:$A,0)+ROWS($2:92)-1))</f>
        <v>399</v>
      </c>
      <c r="M92">
        <f>IF(ROWS($2:92)&gt;COUNTIF(Maximum_RawData!$A:$A,"1_Maximum"),"",INDEX(Maximum_RawData!M:M,MATCH("1_Maximum",Maximum_RawData!$A:$A,0)+ROWS($2:92)-1))</f>
        <v>399</v>
      </c>
      <c r="N92">
        <f>IF(ROWS($2:92)&gt;COUNTIF(Maximum_RawData!$A:$A,"1_Maximum"),"",INDEX(Maximum_RawData!N:N,MATCH("1_Maximum",Maximum_RawData!$A:$A,0)+ROWS($2:92)-1))</f>
        <v>0.09</v>
      </c>
      <c r="O92">
        <f>IF(ROWS($2:92)&gt;COUNTIF(Maximum_RawData!$A:$A,"1_Maximum"),"",INDEX(Maximum_RawData!O:O,MATCH("1_Maximum",Maximum_RawData!$A:$A,0)+ROWS($2:92)-1))</f>
        <v>0.11</v>
      </c>
      <c r="P92">
        <f>IF(ROWS($2:92)&gt;COUNTIF(Maximum_RawData!$A:$A,"1_Maximum"),"",INDEX(Maximum_RawData!P:P,MATCH("1_Maximum",Maximum_RawData!$A:$A,0)+ROWS($2:92)-1))</f>
        <v>0.08</v>
      </c>
      <c r="Q92">
        <f>IF(ROWS($2:92)&gt;COUNTIF(Maximum_RawData!$A:$A,"1_Maximum"),"",INDEX(Maximum_RawData!Q:Q,MATCH("1_Maximum",Maximum_RawData!$A:$A,0)+ROWS($2:92)-1))</f>
        <v>0.1</v>
      </c>
      <c r="R92" t="str">
        <f>IF(ROWS($2:92)&gt;COUNTIF(Maximum_RawData!$A:$A,"1_Maximum"),"",INDEX(Maximum_RawData!R:R,MATCH("1_Maximum",Maximum_RawData!$A:$A,0)+ROWS($2:92)-1))</f>
        <v>Pass</v>
      </c>
      <c r="S92">
        <f>IF(ROWS($2:92)&gt;COUNTIF(Maximum_RawData!$A:$A,"1_Maximum"),"",INDEX(Maximum_RawData!S:S,MATCH("1_Maximum",Maximum_RawData!$A:$A,0)+ROWS($2:92)-1))</f>
        <v>0</v>
      </c>
      <c r="T92">
        <f>IF(ROWS($2:92)&gt;COUNTIF(Maximum_RawData!$A:$A,"1_Maximum"),"",INDEX(Maximum_RawData!T:T,MATCH("1_Maximum",Maximum_RawData!$A:$A,0)+ROWS($2:92)-1))</f>
        <v>0</v>
      </c>
    </row>
    <row r="93" spans="1:20">
      <c r="A93" t="str">
        <f>IF(ROWS($2:93)&gt;COUNTIF(Maximum_RawData!$A:$A,"1_Maximum"),"",INDEX(Maximum_RawData!A:A,MATCH("1_Maximum",Maximum_RawData!$A:$A,0)+ROWS($2:93)-1))</f>
        <v>1_Maximum</v>
      </c>
      <c r="B93">
        <f>IF(ROWS($2:93)&gt;COUNTIF(Maximum_RawData!$A:$A,"1_Maximum"),"",INDEX(Maximum_RawData!B:B,MATCH("1_Maximum",Maximum_RawData!$A:$A,0)+ROWS($2:93)-1))</f>
        <v>150258.15100000001</v>
      </c>
      <c r="C93">
        <f>IF(ROWS($2:93)&gt;COUNTIF(Maximum_RawData!$A:$A,"1_Maximum"),"",INDEX(Maximum_RawData!C:C,MATCH("1_Maximum",Maximum_RawData!$A:$A,0)+ROWS($2:93)-1))</f>
        <v>2.0299999999999998</v>
      </c>
      <c r="D93">
        <f>IF(ROWS($2:93)&gt;COUNTIF(Maximum_RawData!$A:$A,"1_Maximum"),"",INDEX(Maximum_RawData!D:D,MATCH("1_Maximum",Maximum_RawData!$A:$A,0)+ROWS($2:93)-1))</f>
        <v>1308.355</v>
      </c>
      <c r="E93">
        <f>IF(ROWS($2:93)&gt;COUNTIF(Maximum_RawData!$A:$A,"1_Maximum"),"",INDEX(Maximum_RawData!E:E,MATCH("1_Maximum",Maximum_RawData!$A:$A,0)+ROWS($2:93)-1))</f>
        <v>7.44</v>
      </c>
      <c r="F93">
        <f>IF(ROWS($2:93)&gt;COUNTIF(Maximum_RawData!$A:$A,"1_Maximum"),"",INDEX(Maximum_RawData!F:F,MATCH("1_Maximum",Maximum_RawData!$A:$A,0)+ROWS($2:93)-1))</f>
        <v>399</v>
      </c>
      <c r="G93">
        <f>IF(ROWS($2:93)&gt;COUNTIF(Maximum_RawData!$A:$A,"1_Maximum"),"",INDEX(Maximum_RawData!G:G,MATCH("1_Maximum",Maximum_RawData!$A:$A,0)+ROWS($2:93)-1))</f>
        <v>399</v>
      </c>
      <c r="H93">
        <f>IF(ROWS($2:93)&gt;COUNTIF(Maximum_RawData!$A:$A,"1_Maximum"),"",INDEX(Maximum_RawData!H:H,MATCH("1_Maximum",Maximum_RawData!$A:$A,0)+ROWS($2:93)-1))</f>
        <v>399</v>
      </c>
      <c r="I93">
        <f>IF(ROWS($2:93)&gt;COUNTIF(Maximum_RawData!$A:$A,"1_Maximum"),"",INDEX(Maximum_RawData!I:I,MATCH("1_Maximum",Maximum_RawData!$A:$A,0)+ROWS($2:93)-1))</f>
        <v>399</v>
      </c>
      <c r="J93">
        <f>IF(ROWS($2:93)&gt;COUNTIF(Maximum_RawData!$A:$A,"1_Maximum"),"",INDEX(Maximum_RawData!J:J,MATCH("1_Maximum",Maximum_RawData!$A:$A,0)+ROWS($2:93)-1))</f>
        <v>399</v>
      </c>
      <c r="K93">
        <f>IF(ROWS($2:93)&gt;COUNTIF(Maximum_RawData!$A:$A,"1_Maximum"),"",INDEX(Maximum_RawData!K:K,MATCH("1_Maximum",Maximum_RawData!$A:$A,0)+ROWS($2:93)-1))</f>
        <v>399</v>
      </c>
      <c r="L93">
        <f>IF(ROWS($2:93)&gt;COUNTIF(Maximum_RawData!$A:$A,"1_Maximum"),"",INDEX(Maximum_RawData!L:L,MATCH("1_Maximum",Maximum_RawData!$A:$A,0)+ROWS($2:93)-1))</f>
        <v>399</v>
      </c>
      <c r="M93">
        <f>IF(ROWS($2:93)&gt;COUNTIF(Maximum_RawData!$A:$A,"1_Maximum"),"",INDEX(Maximum_RawData!M:M,MATCH("1_Maximum",Maximum_RawData!$A:$A,0)+ROWS($2:93)-1))</f>
        <v>399</v>
      </c>
      <c r="N93">
        <f>IF(ROWS($2:93)&gt;COUNTIF(Maximum_RawData!$A:$A,"1_Maximum"),"",INDEX(Maximum_RawData!N:N,MATCH("1_Maximum",Maximum_RawData!$A:$A,0)+ROWS($2:93)-1))</f>
        <v>0.1</v>
      </c>
      <c r="O93">
        <f>IF(ROWS($2:93)&gt;COUNTIF(Maximum_RawData!$A:$A,"1_Maximum"),"",INDEX(Maximum_RawData!O:O,MATCH("1_Maximum",Maximum_RawData!$A:$A,0)+ROWS($2:93)-1))</f>
        <v>0.11</v>
      </c>
      <c r="P93">
        <f>IF(ROWS($2:93)&gt;COUNTIF(Maximum_RawData!$A:$A,"1_Maximum"),"",INDEX(Maximum_RawData!P:P,MATCH("1_Maximum",Maximum_RawData!$A:$A,0)+ROWS($2:93)-1))</f>
        <v>0.08</v>
      </c>
      <c r="Q93">
        <f>IF(ROWS($2:93)&gt;COUNTIF(Maximum_RawData!$A:$A,"1_Maximum"),"",INDEX(Maximum_RawData!Q:Q,MATCH("1_Maximum",Maximum_RawData!$A:$A,0)+ROWS($2:93)-1))</f>
        <v>0.1</v>
      </c>
      <c r="R93" t="str">
        <f>IF(ROWS($2:93)&gt;COUNTIF(Maximum_RawData!$A:$A,"1_Maximum"),"",INDEX(Maximum_RawData!R:R,MATCH("1_Maximum",Maximum_RawData!$A:$A,0)+ROWS($2:93)-1))</f>
        <v>Pass</v>
      </c>
      <c r="S93">
        <f>IF(ROWS($2:93)&gt;COUNTIF(Maximum_RawData!$A:$A,"1_Maximum"),"",INDEX(Maximum_RawData!S:S,MATCH("1_Maximum",Maximum_RawData!$A:$A,0)+ROWS($2:93)-1))</f>
        <v>0</v>
      </c>
      <c r="T93">
        <f>IF(ROWS($2:93)&gt;COUNTIF(Maximum_RawData!$A:$A,"1_Maximum"),"",INDEX(Maximum_RawData!T:T,MATCH("1_Maximum",Maximum_RawData!$A:$A,0)+ROWS($2:93)-1))</f>
        <v>0</v>
      </c>
    </row>
    <row r="94" spans="1:20">
      <c r="A94" t="str">
        <f>IF(ROWS($2:94)&gt;COUNTIF(Maximum_RawData!$A:$A,"1_Maximum"),"",INDEX(Maximum_RawData!A:A,MATCH("1_Maximum",Maximum_RawData!$A:$A,0)+ROWS($2:94)-1))</f>
        <v>1_Maximum</v>
      </c>
      <c r="B94">
        <f>IF(ROWS($2:94)&gt;COUNTIF(Maximum_RawData!$A:$A,"1_Maximum"),"",INDEX(Maximum_RawData!B:B,MATCH("1_Maximum",Maximum_RawData!$A:$A,0)+ROWS($2:94)-1))</f>
        <v>150303.13099999999</v>
      </c>
      <c r="C94">
        <f>IF(ROWS($2:94)&gt;COUNTIF(Maximum_RawData!$A:$A,"1_Maximum"),"",INDEX(Maximum_RawData!C:C,MATCH("1_Maximum",Maximum_RawData!$A:$A,0)+ROWS($2:94)-1))</f>
        <v>1.3</v>
      </c>
      <c r="D94">
        <f>IF(ROWS($2:94)&gt;COUNTIF(Maximum_RawData!$A:$A,"1_Maximum"),"",INDEX(Maximum_RawData!D:D,MATCH("1_Maximum",Maximum_RawData!$A:$A,0)+ROWS($2:94)-1))</f>
        <v>1308.2919999999999</v>
      </c>
      <c r="E94">
        <f>IF(ROWS($2:94)&gt;COUNTIF(Maximum_RawData!$A:$A,"1_Maximum"),"",INDEX(Maximum_RawData!E:E,MATCH("1_Maximum",Maximum_RawData!$A:$A,0)+ROWS($2:94)-1))</f>
        <v>7.39</v>
      </c>
      <c r="F94">
        <f>IF(ROWS($2:94)&gt;COUNTIF(Maximum_RawData!$A:$A,"1_Maximum"),"",INDEX(Maximum_RawData!F:F,MATCH("1_Maximum",Maximum_RawData!$A:$A,0)+ROWS($2:94)-1))</f>
        <v>399</v>
      </c>
      <c r="G94">
        <f>IF(ROWS($2:94)&gt;COUNTIF(Maximum_RawData!$A:$A,"1_Maximum"),"",INDEX(Maximum_RawData!G:G,MATCH("1_Maximum",Maximum_RawData!$A:$A,0)+ROWS($2:94)-1))</f>
        <v>399</v>
      </c>
      <c r="H94">
        <f>IF(ROWS($2:94)&gt;COUNTIF(Maximum_RawData!$A:$A,"1_Maximum"),"",INDEX(Maximum_RawData!H:H,MATCH("1_Maximum",Maximum_RawData!$A:$A,0)+ROWS($2:94)-1))</f>
        <v>399</v>
      </c>
      <c r="I94">
        <f>IF(ROWS($2:94)&gt;COUNTIF(Maximum_RawData!$A:$A,"1_Maximum"),"",INDEX(Maximum_RawData!I:I,MATCH("1_Maximum",Maximum_RawData!$A:$A,0)+ROWS($2:94)-1))</f>
        <v>399</v>
      </c>
      <c r="J94">
        <f>IF(ROWS($2:94)&gt;COUNTIF(Maximum_RawData!$A:$A,"1_Maximum"),"",INDEX(Maximum_RawData!J:J,MATCH("1_Maximum",Maximum_RawData!$A:$A,0)+ROWS($2:94)-1))</f>
        <v>399</v>
      </c>
      <c r="K94">
        <f>IF(ROWS($2:94)&gt;COUNTIF(Maximum_RawData!$A:$A,"1_Maximum"),"",INDEX(Maximum_RawData!K:K,MATCH("1_Maximum",Maximum_RawData!$A:$A,0)+ROWS($2:94)-1))</f>
        <v>399</v>
      </c>
      <c r="L94">
        <f>IF(ROWS($2:94)&gt;COUNTIF(Maximum_RawData!$A:$A,"1_Maximum"),"",INDEX(Maximum_RawData!L:L,MATCH("1_Maximum",Maximum_RawData!$A:$A,0)+ROWS($2:94)-1))</f>
        <v>399</v>
      </c>
      <c r="M94">
        <f>IF(ROWS($2:94)&gt;COUNTIF(Maximum_RawData!$A:$A,"1_Maximum"),"",INDEX(Maximum_RawData!M:M,MATCH("1_Maximum",Maximum_RawData!$A:$A,0)+ROWS($2:94)-1))</f>
        <v>399</v>
      </c>
      <c r="N94">
        <f>IF(ROWS($2:94)&gt;COUNTIF(Maximum_RawData!$A:$A,"1_Maximum"),"",INDEX(Maximum_RawData!N:N,MATCH("1_Maximum",Maximum_RawData!$A:$A,0)+ROWS($2:94)-1))</f>
        <v>0.09</v>
      </c>
      <c r="O94">
        <f>IF(ROWS($2:94)&gt;COUNTIF(Maximum_RawData!$A:$A,"1_Maximum"),"",INDEX(Maximum_RawData!O:O,MATCH("1_Maximum",Maximum_RawData!$A:$A,0)+ROWS($2:94)-1))</f>
        <v>0.11</v>
      </c>
      <c r="P94">
        <f>IF(ROWS($2:94)&gt;COUNTIF(Maximum_RawData!$A:$A,"1_Maximum"),"",INDEX(Maximum_RawData!P:P,MATCH("1_Maximum",Maximum_RawData!$A:$A,0)+ROWS($2:94)-1))</f>
        <v>0.08</v>
      </c>
      <c r="Q94">
        <f>IF(ROWS($2:94)&gt;COUNTIF(Maximum_RawData!$A:$A,"1_Maximum"),"",INDEX(Maximum_RawData!Q:Q,MATCH("1_Maximum",Maximum_RawData!$A:$A,0)+ROWS($2:94)-1))</f>
        <v>0.1</v>
      </c>
      <c r="R94" t="str">
        <f>IF(ROWS($2:94)&gt;COUNTIF(Maximum_RawData!$A:$A,"1_Maximum"),"",INDEX(Maximum_RawData!R:R,MATCH("1_Maximum",Maximum_RawData!$A:$A,0)+ROWS($2:94)-1))</f>
        <v>Pass</v>
      </c>
      <c r="S94">
        <f>IF(ROWS($2:94)&gt;COUNTIF(Maximum_RawData!$A:$A,"1_Maximum"),"",INDEX(Maximum_RawData!S:S,MATCH("1_Maximum",Maximum_RawData!$A:$A,0)+ROWS($2:94)-1))</f>
        <v>0</v>
      </c>
      <c r="T94">
        <f>IF(ROWS($2:94)&gt;COUNTIF(Maximum_RawData!$A:$A,"1_Maximum"),"",INDEX(Maximum_RawData!T:T,MATCH("1_Maximum",Maximum_RawData!$A:$A,0)+ROWS($2:94)-1))</f>
        <v>0</v>
      </c>
    </row>
    <row r="95" spans="1:20">
      <c r="A95" t="str">
        <f>IF(ROWS($2:95)&gt;COUNTIF(Maximum_RawData!$A:$A,"1_Maximum"),"",INDEX(Maximum_RawData!A:A,MATCH("1_Maximum",Maximum_RawData!$A:$A,0)+ROWS($2:95)-1))</f>
        <v>1_Maximum</v>
      </c>
      <c r="B95">
        <f>IF(ROWS($2:95)&gt;COUNTIF(Maximum_RawData!$A:$A,"1_Maximum"),"",INDEX(Maximum_RawData!B:B,MATCH("1_Maximum",Maximum_RawData!$A:$A,0)+ROWS($2:95)-1))</f>
        <v>150308.141</v>
      </c>
      <c r="C95">
        <f>IF(ROWS($2:95)&gt;COUNTIF(Maximum_RawData!$A:$A,"1_Maximum"),"",INDEX(Maximum_RawData!C:C,MATCH("1_Maximum",Maximum_RawData!$A:$A,0)+ROWS($2:95)-1))</f>
        <v>0.54</v>
      </c>
      <c r="D95">
        <f>IF(ROWS($2:95)&gt;COUNTIF(Maximum_RawData!$A:$A,"1_Maximum"),"",INDEX(Maximum_RawData!D:D,MATCH("1_Maximum",Maximum_RawData!$A:$A,0)+ROWS($2:95)-1))</f>
        <v>1308.2159999999999</v>
      </c>
      <c r="E95">
        <f>IF(ROWS($2:95)&gt;COUNTIF(Maximum_RawData!$A:$A,"1_Maximum"),"",INDEX(Maximum_RawData!E:E,MATCH("1_Maximum",Maximum_RawData!$A:$A,0)+ROWS($2:95)-1))</f>
        <v>7.24</v>
      </c>
      <c r="F95">
        <f>IF(ROWS($2:95)&gt;COUNTIF(Maximum_RawData!$A:$A,"1_Maximum"),"",INDEX(Maximum_RawData!F:F,MATCH("1_Maximum",Maximum_RawData!$A:$A,0)+ROWS($2:95)-1))</f>
        <v>399</v>
      </c>
      <c r="G95">
        <f>IF(ROWS($2:95)&gt;COUNTIF(Maximum_RawData!$A:$A,"1_Maximum"),"",INDEX(Maximum_RawData!G:G,MATCH("1_Maximum",Maximum_RawData!$A:$A,0)+ROWS($2:95)-1))</f>
        <v>399</v>
      </c>
      <c r="H95">
        <f>IF(ROWS($2:95)&gt;COUNTIF(Maximum_RawData!$A:$A,"1_Maximum"),"",INDEX(Maximum_RawData!H:H,MATCH("1_Maximum",Maximum_RawData!$A:$A,0)+ROWS($2:95)-1))</f>
        <v>399</v>
      </c>
      <c r="I95">
        <f>IF(ROWS($2:95)&gt;COUNTIF(Maximum_RawData!$A:$A,"1_Maximum"),"",INDEX(Maximum_RawData!I:I,MATCH("1_Maximum",Maximum_RawData!$A:$A,0)+ROWS($2:95)-1))</f>
        <v>399</v>
      </c>
      <c r="J95">
        <f>IF(ROWS($2:95)&gt;COUNTIF(Maximum_RawData!$A:$A,"1_Maximum"),"",INDEX(Maximum_RawData!J:J,MATCH("1_Maximum",Maximum_RawData!$A:$A,0)+ROWS($2:95)-1))</f>
        <v>399</v>
      </c>
      <c r="K95">
        <f>IF(ROWS($2:95)&gt;COUNTIF(Maximum_RawData!$A:$A,"1_Maximum"),"",INDEX(Maximum_RawData!K:K,MATCH("1_Maximum",Maximum_RawData!$A:$A,0)+ROWS($2:95)-1))</f>
        <v>399</v>
      </c>
      <c r="L95">
        <f>IF(ROWS($2:95)&gt;COUNTIF(Maximum_RawData!$A:$A,"1_Maximum"),"",INDEX(Maximum_RawData!L:L,MATCH("1_Maximum",Maximum_RawData!$A:$A,0)+ROWS($2:95)-1))</f>
        <v>399</v>
      </c>
      <c r="M95">
        <f>IF(ROWS($2:95)&gt;COUNTIF(Maximum_RawData!$A:$A,"1_Maximum"),"",INDEX(Maximum_RawData!M:M,MATCH("1_Maximum",Maximum_RawData!$A:$A,0)+ROWS($2:95)-1))</f>
        <v>399</v>
      </c>
      <c r="N95">
        <f>IF(ROWS($2:95)&gt;COUNTIF(Maximum_RawData!$A:$A,"1_Maximum"),"",INDEX(Maximum_RawData!N:N,MATCH("1_Maximum",Maximum_RawData!$A:$A,0)+ROWS($2:95)-1))</f>
        <v>0.1</v>
      </c>
      <c r="O95">
        <f>IF(ROWS($2:95)&gt;COUNTIF(Maximum_RawData!$A:$A,"1_Maximum"),"",INDEX(Maximum_RawData!O:O,MATCH("1_Maximum",Maximum_RawData!$A:$A,0)+ROWS($2:95)-1))</f>
        <v>0.11</v>
      </c>
      <c r="P95">
        <f>IF(ROWS($2:95)&gt;COUNTIF(Maximum_RawData!$A:$A,"1_Maximum"),"",INDEX(Maximum_RawData!P:P,MATCH("1_Maximum",Maximum_RawData!$A:$A,0)+ROWS($2:95)-1))</f>
        <v>0.08</v>
      </c>
      <c r="Q95">
        <f>IF(ROWS($2:95)&gt;COUNTIF(Maximum_RawData!$A:$A,"1_Maximum"),"",INDEX(Maximum_RawData!Q:Q,MATCH("1_Maximum",Maximum_RawData!$A:$A,0)+ROWS($2:95)-1))</f>
        <v>0.1</v>
      </c>
      <c r="R95" t="str">
        <f>IF(ROWS($2:95)&gt;COUNTIF(Maximum_RawData!$A:$A,"1_Maximum"),"",INDEX(Maximum_RawData!R:R,MATCH("1_Maximum",Maximum_RawData!$A:$A,0)+ROWS($2:95)-1))</f>
        <v>Pass</v>
      </c>
      <c r="S95">
        <f>IF(ROWS($2:95)&gt;COUNTIF(Maximum_RawData!$A:$A,"1_Maximum"),"",INDEX(Maximum_RawData!S:S,MATCH("1_Maximum",Maximum_RawData!$A:$A,0)+ROWS($2:95)-1))</f>
        <v>0</v>
      </c>
      <c r="T95">
        <f>IF(ROWS($2:95)&gt;COUNTIF(Maximum_RawData!$A:$A,"1_Maximum"),"",INDEX(Maximum_RawData!T:T,MATCH("1_Maximum",Maximum_RawData!$A:$A,0)+ROWS($2:95)-1))</f>
        <v>0</v>
      </c>
    </row>
  </sheetData>
  <autoFilter ref="A1:T1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95"/>
  <sheetViews>
    <sheetView workbookViewId="0">
      <pane ySplit="1" topLeftCell="A2" activePane="bottomLeft" state="frozen"/>
      <selection pane="bottomLeft" activeCell="H101" sqref="H101"/>
    </sheetView>
  </sheetViews>
  <sheetFormatPr defaultRowHeight="15.6"/>
  <sheetData>
    <row r="1" spans="1:20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</row>
    <row r="2" spans="1:20">
      <c r="A2" t="str">
        <f>IF(ROWS($2:2)&gt;COUNTIF(Maximum_RawData!$A:$A,"5_Maximum"),"",INDEX(Maximum_RawData!A:A,MATCH("5_Maximum",Maximum_RawData!$A:$A,0)+ROWS($2:2)-1))</f>
        <v>5_Maximum</v>
      </c>
      <c r="B2">
        <f>IF(ROWS($2:2)&gt;COUNTIF(Maximum_RawData!$A:$A,"5_Maximum"),"",INDEX(Maximum_RawData!B:B,MATCH("5_Maximum",Maximum_RawData!$A:$A,0)+ROWS($2:2)-1))</f>
        <v>145523.04399999999</v>
      </c>
      <c r="C2">
        <f>IF(ROWS($2:2)&gt;COUNTIF(Maximum_RawData!$A:$A,"5_Maximum"),"",INDEX(Maximum_RawData!C:C,MATCH("5_Maximum",Maximum_RawData!$A:$A,0)+ROWS($2:2)-1))</f>
        <v>69.760000000000005</v>
      </c>
      <c r="D2">
        <f>IF(ROWS($2:2)&gt;COUNTIF(Maximum_RawData!$A:$A,"5_Maximum"),"",INDEX(Maximum_RawData!D:D,MATCH("5_Maximum",Maximum_RawData!$A:$A,0)+ROWS($2:2)-1))</f>
        <v>1314.6469999999999</v>
      </c>
      <c r="E2">
        <f>IF(ROWS($2:2)&gt;COUNTIF(Maximum_RawData!$A:$A,"5_Maximum"),"",INDEX(Maximum_RawData!E:E,MATCH("5_Maximum",Maximum_RawData!$A:$A,0)+ROWS($2:2)-1))</f>
        <v>0.32</v>
      </c>
      <c r="F2">
        <f>IF(ROWS($2:2)&gt;COUNTIF(Maximum_RawData!$A:$A,"5_Maximum"),"",INDEX(Maximum_RawData!F:F,MATCH("5_Maximum",Maximum_RawData!$A:$A,0)+ROWS($2:2)-1))</f>
        <v>399</v>
      </c>
      <c r="G2">
        <f>IF(ROWS($2:2)&gt;COUNTIF(Maximum_RawData!$A:$A,"5_Maximum"),"",INDEX(Maximum_RawData!G:G,MATCH("5_Maximum",Maximum_RawData!$A:$A,0)+ROWS($2:2)-1))</f>
        <v>399</v>
      </c>
      <c r="H2">
        <f>IF(ROWS($2:2)&gt;COUNTIF(Maximum_RawData!$A:$A,"5_Maximum"),"",INDEX(Maximum_RawData!H:H,MATCH("5_Maximum",Maximum_RawData!$A:$A,0)+ROWS($2:2)-1))</f>
        <v>399</v>
      </c>
      <c r="I2">
        <f>IF(ROWS($2:2)&gt;COUNTIF(Maximum_RawData!$A:$A,"5_Maximum"),"",INDEX(Maximum_RawData!I:I,MATCH("5_Maximum",Maximum_RawData!$A:$A,0)+ROWS($2:2)-1))</f>
        <v>399</v>
      </c>
      <c r="J2">
        <f>IF(ROWS($2:2)&gt;COUNTIF(Maximum_RawData!$A:$A,"5_Maximum"),"",INDEX(Maximum_RawData!J:J,MATCH("5_Maximum",Maximum_RawData!$A:$A,0)+ROWS($2:2)-1))</f>
        <v>399</v>
      </c>
      <c r="K2">
        <f>IF(ROWS($2:2)&gt;COUNTIF(Maximum_RawData!$A:$A,"5_Maximum"),"",INDEX(Maximum_RawData!K:K,MATCH("5_Maximum",Maximum_RawData!$A:$A,0)+ROWS($2:2)-1))</f>
        <v>399</v>
      </c>
      <c r="L2">
        <f>IF(ROWS($2:2)&gt;COUNTIF(Maximum_RawData!$A:$A,"5_Maximum"),"",INDEX(Maximum_RawData!L:L,MATCH("5_Maximum",Maximum_RawData!$A:$A,0)+ROWS($2:2)-1))</f>
        <v>399</v>
      </c>
      <c r="M2">
        <f>IF(ROWS($2:2)&gt;COUNTIF(Maximum_RawData!$A:$A,"5_Maximum"),"",INDEX(Maximum_RawData!M:M,MATCH("5_Maximum",Maximum_RawData!$A:$A,0)+ROWS($2:2)-1))</f>
        <v>399</v>
      </c>
      <c r="N2">
        <f>IF(ROWS($2:2)&gt;COUNTIF(Maximum_RawData!$A:$A,"5_Maximum"),"",INDEX(Maximum_RawData!N:N,MATCH("5_Maximum",Maximum_RawData!$A:$A,0)+ROWS($2:2)-1))</f>
        <v>0.1</v>
      </c>
      <c r="O2">
        <f>IF(ROWS($2:2)&gt;COUNTIF(Maximum_RawData!$A:$A,"5_Maximum"),"",INDEX(Maximum_RawData!O:O,MATCH("5_Maximum",Maximum_RawData!$A:$A,0)+ROWS($2:2)-1))</f>
        <v>0.11</v>
      </c>
      <c r="P2">
        <f>IF(ROWS($2:2)&gt;COUNTIF(Maximum_RawData!$A:$A,"5_Maximum"),"",INDEX(Maximum_RawData!P:P,MATCH("5_Maximum",Maximum_RawData!$A:$A,0)+ROWS($2:2)-1))</f>
        <v>0.08</v>
      </c>
      <c r="Q2">
        <f>IF(ROWS($2:2)&gt;COUNTIF(Maximum_RawData!$A:$A,"5_Maximum"),"",INDEX(Maximum_RawData!Q:Q,MATCH("5_Maximum",Maximum_RawData!$A:$A,0)+ROWS($2:2)-1))</f>
        <v>0.1</v>
      </c>
      <c r="R2" t="str">
        <f>IF(ROWS($2:2)&gt;COUNTIF(Maximum_RawData!$A:$A,"5_Maximum"),"",INDEX(Maximum_RawData!R:R,MATCH("5_Maximum",Maximum_RawData!$A:$A,0)+ROWS($2:2)-1))</f>
        <v>Pass</v>
      </c>
      <c r="S2">
        <f>IF(ROWS($2:2)&gt;COUNTIF(Maximum_RawData!$A:$A,"5_Maximum"),"",INDEX(Maximum_RawData!S:S,MATCH("5_Maximum",Maximum_RawData!$A:$A,0)+ROWS($2:2)-1))</f>
        <v>0</v>
      </c>
      <c r="T2">
        <f>IF(ROWS($2:2)&gt;COUNTIF(Maximum_RawData!$A:$A,"5_Maximum"),"",INDEX(Maximum_RawData!T:T,MATCH("5_Maximum",Maximum_RawData!$A:$A,0)+ROWS($2:2)-1))</f>
        <v>0</v>
      </c>
    </row>
    <row r="3" spans="1:20">
      <c r="A3" t="str">
        <f>IF(ROWS($2:3)&gt;COUNTIF(Maximum_RawData!$A:$A,"5_Maximum"),"",INDEX(Maximum_RawData!A:A,MATCH("5_Maximum",Maximum_RawData!$A:$A,0)+ROWS($2:3)-1))</f>
        <v>5_Maximum</v>
      </c>
      <c r="B3">
        <f>IF(ROWS($2:3)&gt;COUNTIF(Maximum_RawData!$A:$A,"5_Maximum"),"",INDEX(Maximum_RawData!B:B,MATCH("5_Maximum",Maximum_RawData!$A:$A,0)+ROWS($2:3)-1))</f>
        <v>145528.05300000001</v>
      </c>
      <c r="C3">
        <f>IF(ROWS($2:3)&gt;COUNTIF(Maximum_RawData!$A:$A,"5_Maximum"),"",INDEX(Maximum_RawData!C:C,MATCH("5_Maximum",Maximum_RawData!$A:$A,0)+ROWS($2:3)-1))</f>
        <v>69.010000000000005</v>
      </c>
      <c r="D3">
        <f>IF(ROWS($2:3)&gt;COUNTIF(Maximum_RawData!$A:$A,"5_Maximum"),"",INDEX(Maximum_RawData!D:D,MATCH("5_Maximum",Maximum_RawData!$A:$A,0)+ROWS($2:3)-1))</f>
        <v>1314.586</v>
      </c>
      <c r="E3">
        <f>IF(ROWS($2:3)&gt;COUNTIF(Maximum_RawData!$A:$A,"5_Maximum"),"",INDEX(Maximum_RawData!E:E,MATCH("5_Maximum",Maximum_RawData!$A:$A,0)+ROWS($2:3)-1))</f>
        <v>0.51</v>
      </c>
      <c r="F3">
        <f>IF(ROWS($2:3)&gt;COUNTIF(Maximum_RawData!$A:$A,"5_Maximum"),"",INDEX(Maximum_RawData!F:F,MATCH("5_Maximum",Maximum_RawData!$A:$A,0)+ROWS($2:3)-1))</f>
        <v>399</v>
      </c>
      <c r="G3">
        <f>IF(ROWS($2:3)&gt;COUNTIF(Maximum_RawData!$A:$A,"5_Maximum"),"",INDEX(Maximum_RawData!G:G,MATCH("5_Maximum",Maximum_RawData!$A:$A,0)+ROWS($2:3)-1))</f>
        <v>399</v>
      </c>
      <c r="H3">
        <f>IF(ROWS($2:3)&gt;COUNTIF(Maximum_RawData!$A:$A,"5_Maximum"),"",INDEX(Maximum_RawData!H:H,MATCH("5_Maximum",Maximum_RawData!$A:$A,0)+ROWS($2:3)-1))</f>
        <v>399</v>
      </c>
      <c r="I3">
        <f>IF(ROWS($2:3)&gt;COUNTIF(Maximum_RawData!$A:$A,"5_Maximum"),"",INDEX(Maximum_RawData!I:I,MATCH("5_Maximum",Maximum_RawData!$A:$A,0)+ROWS($2:3)-1))</f>
        <v>399</v>
      </c>
      <c r="J3">
        <f>IF(ROWS($2:3)&gt;COUNTIF(Maximum_RawData!$A:$A,"5_Maximum"),"",INDEX(Maximum_RawData!J:J,MATCH("5_Maximum",Maximum_RawData!$A:$A,0)+ROWS($2:3)-1))</f>
        <v>399</v>
      </c>
      <c r="K3">
        <f>IF(ROWS($2:3)&gt;COUNTIF(Maximum_RawData!$A:$A,"5_Maximum"),"",INDEX(Maximum_RawData!K:K,MATCH("5_Maximum",Maximum_RawData!$A:$A,0)+ROWS($2:3)-1))</f>
        <v>399</v>
      </c>
      <c r="L3">
        <f>IF(ROWS($2:3)&gt;COUNTIF(Maximum_RawData!$A:$A,"5_Maximum"),"",INDEX(Maximum_RawData!L:L,MATCH("5_Maximum",Maximum_RawData!$A:$A,0)+ROWS($2:3)-1))</f>
        <v>399</v>
      </c>
      <c r="M3">
        <f>IF(ROWS($2:3)&gt;COUNTIF(Maximum_RawData!$A:$A,"5_Maximum"),"",INDEX(Maximum_RawData!M:M,MATCH("5_Maximum",Maximum_RawData!$A:$A,0)+ROWS($2:3)-1))</f>
        <v>399</v>
      </c>
      <c r="N3">
        <f>IF(ROWS($2:3)&gt;COUNTIF(Maximum_RawData!$A:$A,"5_Maximum"),"",INDEX(Maximum_RawData!N:N,MATCH("5_Maximum",Maximum_RawData!$A:$A,0)+ROWS($2:3)-1))</f>
        <v>0.08</v>
      </c>
      <c r="O3">
        <f>IF(ROWS($2:3)&gt;COUNTIF(Maximum_RawData!$A:$A,"5_Maximum"),"",INDEX(Maximum_RawData!O:O,MATCH("5_Maximum",Maximum_RawData!$A:$A,0)+ROWS($2:3)-1))</f>
        <v>0.11</v>
      </c>
      <c r="P3">
        <f>IF(ROWS($2:3)&gt;COUNTIF(Maximum_RawData!$A:$A,"5_Maximum"),"",INDEX(Maximum_RawData!P:P,MATCH("5_Maximum",Maximum_RawData!$A:$A,0)+ROWS($2:3)-1))</f>
        <v>0.08</v>
      </c>
      <c r="Q3">
        <f>IF(ROWS($2:3)&gt;COUNTIF(Maximum_RawData!$A:$A,"5_Maximum"),"",INDEX(Maximum_RawData!Q:Q,MATCH("5_Maximum",Maximum_RawData!$A:$A,0)+ROWS($2:3)-1))</f>
        <v>0.1</v>
      </c>
      <c r="R3" t="str">
        <f>IF(ROWS($2:3)&gt;COUNTIF(Maximum_RawData!$A:$A,"5_Maximum"),"",INDEX(Maximum_RawData!R:R,MATCH("5_Maximum",Maximum_RawData!$A:$A,0)+ROWS($2:3)-1))</f>
        <v>Pass</v>
      </c>
      <c r="S3">
        <f>IF(ROWS($2:3)&gt;COUNTIF(Maximum_RawData!$A:$A,"5_Maximum"),"",INDEX(Maximum_RawData!S:S,MATCH("5_Maximum",Maximum_RawData!$A:$A,0)+ROWS($2:3)-1))</f>
        <v>0</v>
      </c>
      <c r="T3">
        <f>IF(ROWS($2:3)&gt;COUNTIF(Maximum_RawData!$A:$A,"5_Maximum"),"",INDEX(Maximum_RawData!T:T,MATCH("5_Maximum",Maximum_RawData!$A:$A,0)+ROWS($2:3)-1))</f>
        <v>0</v>
      </c>
    </row>
    <row r="4" spans="1:20">
      <c r="A4" t="str">
        <f>IF(ROWS($2:4)&gt;COUNTIF(Maximum_RawData!$A:$A,"5_Maximum"),"",INDEX(Maximum_RawData!A:A,MATCH("5_Maximum",Maximum_RawData!$A:$A,0)+ROWS($2:4)-1))</f>
        <v>5_Maximum</v>
      </c>
      <c r="B4">
        <f>IF(ROWS($2:4)&gt;COUNTIF(Maximum_RawData!$A:$A,"5_Maximum"),"",INDEX(Maximum_RawData!B:B,MATCH("5_Maximum",Maximum_RawData!$A:$A,0)+ROWS($2:4)-1))</f>
        <v>145533.04999999999</v>
      </c>
      <c r="C4">
        <f>IF(ROWS($2:4)&gt;COUNTIF(Maximum_RawData!$A:$A,"5_Maximum"),"",INDEX(Maximum_RawData!C:C,MATCH("5_Maximum",Maximum_RawData!$A:$A,0)+ROWS($2:4)-1))</f>
        <v>68.260000000000005</v>
      </c>
      <c r="D4">
        <f>IF(ROWS($2:4)&gt;COUNTIF(Maximum_RawData!$A:$A,"5_Maximum"),"",INDEX(Maximum_RawData!D:D,MATCH("5_Maximum",Maximum_RawData!$A:$A,0)+ROWS($2:4)-1))</f>
        <v>1314.5160000000001</v>
      </c>
      <c r="E4">
        <f>IF(ROWS($2:4)&gt;COUNTIF(Maximum_RawData!$A:$A,"5_Maximum"),"",INDEX(Maximum_RawData!E:E,MATCH("5_Maximum",Maximum_RawData!$A:$A,0)+ROWS($2:4)-1))</f>
        <v>0.7</v>
      </c>
      <c r="F4">
        <f>IF(ROWS($2:4)&gt;COUNTIF(Maximum_RawData!$A:$A,"5_Maximum"),"",INDEX(Maximum_RawData!F:F,MATCH("5_Maximum",Maximum_RawData!$A:$A,0)+ROWS($2:4)-1))</f>
        <v>399</v>
      </c>
      <c r="G4">
        <f>IF(ROWS($2:4)&gt;COUNTIF(Maximum_RawData!$A:$A,"5_Maximum"),"",INDEX(Maximum_RawData!G:G,MATCH("5_Maximum",Maximum_RawData!$A:$A,0)+ROWS($2:4)-1))</f>
        <v>399</v>
      </c>
      <c r="H4">
        <f>IF(ROWS($2:4)&gt;COUNTIF(Maximum_RawData!$A:$A,"5_Maximum"),"",INDEX(Maximum_RawData!H:H,MATCH("5_Maximum",Maximum_RawData!$A:$A,0)+ROWS($2:4)-1))</f>
        <v>399</v>
      </c>
      <c r="I4">
        <f>IF(ROWS($2:4)&gt;COUNTIF(Maximum_RawData!$A:$A,"5_Maximum"),"",INDEX(Maximum_RawData!I:I,MATCH("5_Maximum",Maximum_RawData!$A:$A,0)+ROWS($2:4)-1))</f>
        <v>399</v>
      </c>
      <c r="J4">
        <f>IF(ROWS($2:4)&gt;COUNTIF(Maximum_RawData!$A:$A,"5_Maximum"),"",INDEX(Maximum_RawData!J:J,MATCH("5_Maximum",Maximum_RawData!$A:$A,0)+ROWS($2:4)-1))</f>
        <v>399</v>
      </c>
      <c r="K4">
        <f>IF(ROWS($2:4)&gt;COUNTIF(Maximum_RawData!$A:$A,"5_Maximum"),"",INDEX(Maximum_RawData!K:K,MATCH("5_Maximum",Maximum_RawData!$A:$A,0)+ROWS($2:4)-1))</f>
        <v>399</v>
      </c>
      <c r="L4">
        <f>IF(ROWS($2:4)&gt;COUNTIF(Maximum_RawData!$A:$A,"5_Maximum"),"",INDEX(Maximum_RawData!L:L,MATCH("5_Maximum",Maximum_RawData!$A:$A,0)+ROWS($2:4)-1))</f>
        <v>399</v>
      </c>
      <c r="M4">
        <f>IF(ROWS($2:4)&gt;COUNTIF(Maximum_RawData!$A:$A,"5_Maximum"),"",INDEX(Maximum_RawData!M:M,MATCH("5_Maximum",Maximum_RawData!$A:$A,0)+ROWS($2:4)-1))</f>
        <v>399</v>
      </c>
      <c r="N4">
        <f>IF(ROWS($2:4)&gt;COUNTIF(Maximum_RawData!$A:$A,"5_Maximum"),"",INDEX(Maximum_RawData!N:N,MATCH("5_Maximum",Maximum_RawData!$A:$A,0)+ROWS($2:4)-1))</f>
        <v>0.09</v>
      </c>
      <c r="O4">
        <f>IF(ROWS($2:4)&gt;COUNTIF(Maximum_RawData!$A:$A,"5_Maximum"),"",INDEX(Maximum_RawData!O:O,MATCH("5_Maximum",Maximum_RawData!$A:$A,0)+ROWS($2:4)-1))</f>
        <v>0.11</v>
      </c>
      <c r="P4">
        <f>IF(ROWS($2:4)&gt;COUNTIF(Maximum_RawData!$A:$A,"5_Maximum"),"",INDEX(Maximum_RawData!P:P,MATCH("5_Maximum",Maximum_RawData!$A:$A,0)+ROWS($2:4)-1))</f>
        <v>0.08</v>
      </c>
      <c r="Q4">
        <f>IF(ROWS($2:4)&gt;COUNTIF(Maximum_RawData!$A:$A,"5_Maximum"),"",INDEX(Maximum_RawData!Q:Q,MATCH("5_Maximum",Maximum_RawData!$A:$A,0)+ROWS($2:4)-1))</f>
        <v>0.1</v>
      </c>
      <c r="R4" t="str">
        <f>IF(ROWS($2:4)&gt;COUNTIF(Maximum_RawData!$A:$A,"5_Maximum"),"",INDEX(Maximum_RawData!R:R,MATCH("5_Maximum",Maximum_RawData!$A:$A,0)+ROWS($2:4)-1))</f>
        <v>Pass</v>
      </c>
      <c r="S4">
        <f>IF(ROWS($2:4)&gt;COUNTIF(Maximum_RawData!$A:$A,"5_Maximum"),"",INDEX(Maximum_RawData!S:S,MATCH("5_Maximum",Maximum_RawData!$A:$A,0)+ROWS($2:4)-1))</f>
        <v>0</v>
      </c>
      <c r="T4">
        <f>IF(ROWS($2:4)&gt;COUNTIF(Maximum_RawData!$A:$A,"5_Maximum"),"",INDEX(Maximum_RawData!T:T,MATCH("5_Maximum",Maximum_RawData!$A:$A,0)+ROWS($2:4)-1))</f>
        <v>0</v>
      </c>
    </row>
    <row r="5" spans="1:20">
      <c r="A5" t="str">
        <f>IF(ROWS($2:5)&gt;COUNTIF(Maximum_RawData!$A:$A,"5_Maximum"),"",INDEX(Maximum_RawData!A:A,MATCH("5_Maximum",Maximum_RawData!$A:$A,0)+ROWS($2:5)-1))</f>
        <v>5_Maximum</v>
      </c>
      <c r="B5">
        <f>IF(ROWS($2:5)&gt;COUNTIF(Maximum_RawData!$A:$A,"5_Maximum"),"",INDEX(Maximum_RawData!B:B,MATCH("5_Maximum",Maximum_RawData!$A:$A,0)+ROWS($2:5)-1))</f>
        <v>145538.049</v>
      </c>
      <c r="C5">
        <f>IF(ROWS($2:5)&gt;COUNTIF(Maximum_RawData!$A:$A,"5_Maximum"),"",INDEX(Maximum_RawData!C:C,MATCH("5_Maximum",Maximum_RawData!$A:$A,0)+ROWS($2:5)-1))</f>
        <v>67.510000000000005</v>
      </c>
      <c r="D5">
        <f>IF(ROWS($2:5)&gt;COUNTIF(Maximum_RawData!$A:$A,"5_Maximum"),"",INDEX(Maximum_RawData!D:D,MATCH("5_Maximum",Maximum_RawData!$A:$A,0)+ROWS($2:5)-1))</f>
        <v>1314.4480000000001</v>
      </c>
      <c r="E5">
        <f>IF(ROWS($2:5)&gt;COUNTIF(Maximum_RawData!$A:$A,"5_Maximum"),"",INDEX(Maximum_RawData!E:E,MATCH("5_Maximum",Maximum_RawData!$A:$A,0)+ROWS($2:5)-1))</f>
        <v>1.02</v>
      </c>
      <c r="F5">
        <f>IF(ROWS($2:5)&gt;COUNTIF(Maximum_RawData!$A:$A,"5_Maximum"),"",INDEX(Maximum_RawData!F:F,MATCH("5_Maximum",Maximum_RawData!$A:$A,0)+ROWS($2:5)-1))</f>
        <v>399</v>
      </c>
      <c r="G5">
        <f>IF(ROWS($2:5)&gt;COUNTIF(Maximum_RawData!$A:$A,"5_Maximum"),"",INDEX(Maximum_RawData!G:G,MATCH("5_Maximum",Maximum_RawData!$A:$A,0)+ROWS($2:5)-1))</f>
        <v>399</v>
      </c>
      <c r="H5">
        <f>IF(ROWS($2:5)&gt;COUNTIF(Maximum_RawData!$A:$A,"5_Maximum"),"",INDEX(Maximum_RawData!H:H,MATCH("5_Maximum",Maximum_RawData!$A:$A,0)+ROWS($2:5)-1))</f>
        <v>399</v>
      </c>
      <c r="I5">
        <f>IF(ROWS($2:5)&gt;COUNTIF(Maximum_RawData!$A:$A,"5_Maximum"),"",INDEX(Maximum_RawData!I:I,MATCH("5_Maximum",Maximum_RawData!$A:$A,0)+ROWS($2:5)-1))</f>
        <v>399</v>
      </c>
      <c r="J5">
        <f>IF(ROWS($2:5)&gt;COUNTIF(Maximum_RawData!$A:$A,"5_Maximum"),"",INDEX(Maximum_RawData!J:J,MATCH("5_Maximum",Maximum_RawData!$A:$A,0)+ROWS($2:5)-1))</f>
        <v>399</v>
      </c>
      <c r="K5">
        <f>IF(ROWS($2:5)&gt;COUNTIF(Maximum_RawData!$A:$A,"5_Maximum"),"",INDEX(Maximum_RawData!K:K,MATCH("5_Maximum",Maximum_RawData!$A:$A,0)+ROWS($2:5)-1))</f>
        <v>399</v>
      </c>
      <c r="L5">
        <f>IF(ROWS($2:5)&gt;COUNTIF(Maximum_RawData!$A:$A,"5_Maximum"),"",INDEX(Maximum_RawData!L:L,MATCH("5_Maximum",Maximum_RawData!$A:$A,0)+ROWS($2:5)-1))</f>
        <v>399</v>
      </c>
      <c r="M5">
        <f>IF(ROWS($2:5)&gt;COUNTIF(Maximum_RawData!$A:$A,"5_Maximum"),"",INDEX(Maximum_RawData!M:M,MATCH("5_Maximum",Maximum_RawData!$A:$A,0)+ROWS($2:5)-1))</f>
        <v>399</v>
      </c>
      <c r="N5">
        <f>IF(ROWS($2:5)&gt;COUNTIF(Maximum_RawData!$A:$A,"5_Maximum"),"",INDEX(Maximum_RawData!N:N,MATCH("5_Maximum",Maximum_RawData!$A:$A,0)+ROWS($2:5)-1))</f>
        <v>0.09</v>
      </c>
      <c r="O5">
        <f>IF(ROWS($2:5)&gt;COUNTIF(Maximum_RawData!$A:$A,"5_Maximum"),"",INDEX(Maximum_RawData!O:O,MATCH("5_Maximum",Maximum_RawData!$A:$A,0)+ROWS($2:5)-1))</f>
        <v>0.11</v>
      </c>
      <c r="P5">
        <f>IF(ROWS($2:5)&gt;COUNTIF(Maximum_RawData!$A:$A,"5_Maximum"),"",INDEX(Maximum_RawData!P:P,MATCH("5_Maximum",Maximum_RawData!$A:$A,0)+ROWS($2:5)-1))</f>
        <v>0.08</v>
      </c>
      <c r="Q5">
        <f>IF(ROWS($2:5)&gt;COUNTIF(Maximum_RawData!$A:$A,"5_Maximum"),"",INDEX(Maximum_RawData!Q:Q,MATCH("5_Maximum",Maximum_RawData!$A:$A,0)+ROWS($2:5)-1))</f>
        <v>0.1</v>
      </c>
      <c r="R5" t="str">
        <f>IF(ROWS($2:5)&gt;COUNTIF(Maximum_RawData!$A:$A,"5_Maximum"),"",INDEX(Maximum_RawData!R:R,MATCH("5_Maximum",Maximum_RawData!$A:$A,0)+ROWS($2:5)-1))</f>
        <v>Pass</v>
      </c>
      <c r="S5">
        <f>IF(ROWS($2:5)&gt;COUNTIF(Maximum_RawData!$A:$A,"5_Maximum"),"",INDEX(Maximum_RawData!S:S,MATCH("5_Maximum",Maximum_RawData!$A:$A,0)+ROWS($2:5)-1))</f>
        <v>0</v>
      </c>
      <c r="T5">
        <f>IF(ROWS($2:5)&gt;COUNTIF(Maximum_RawData!$A:$A,"5_Maximum"),"",INDEX(Maximum_RawData!T:T,MATCH("5_Maximum",Maximum_RawData!$A:$A,0)+ROWS($2:5)-1))</f>
        <v>0</v>
      </c>
    </row>
    <row r="6" spans="1:20">
      <c r="A6" t="str">
        <f>IF(ROWS($2:6)&gt;COUNTIF(Maximum_RawData!$A:$A,"5_Maximum"),"",INDEX(Maximum_RawData!A:A,MATCH("5_Maximum",Maximum_RawData!$A:$A,0)+ROWS($2:6)-1))</f>
        <v>5_Maximum</v>
      </c>
      <c r="B6">
        <f>IF(ROWS($2:6)&gt;COUNTIF(Maximum_RawData!$A:$A,"5_Maximum"),"",INDEX(Maximum_RawData!B:B,MATCH("5_Maximum",Maximum_RawData!$A:$A,0)+ROWS($2:6)-1))</f>
        <v>145543.05100000001</v>
      </c>
      <c r="C6">
        <f>IF(ROWS($2:6)&gt;COUNTIF(Maximum_RawData!$A:$A,"5_Maximum"),"",INDEX(Maximum_RawData!C:C,MATCH("5_Maximum",Maximum_RawData!$A:$A,0)+ROWS($2:6)-1))</f>
        <v>66.78</v>
      </c>
      <c r="D6">
        <f>IF(ROWS($2:6)&gt;COUNTIF(Maximum_RawData!$A:$A,"5_Maximum"),"",INDEX(Maximum_RawData!D:D,MATCH("5_Maximum",Maximum_RawData!$A:$A,0)+ROWS($2:6)-1))</f>
        <v>1314.3779999999999</v>
      </c>
      <c r="E6">
        <f>IF(ROWS($2:6)&gt;COUNTIF(Maximum_RawData!$A:$A,"5_Maximum"),"",INDEX(Maximum_RawData!E:E,MATCH("5_Maximum",Maximum_RawData!$A:$A,0)+ROWS($2:6)-1))</f>
        <v>1.17</v>
      </c>
      <c r="F6">
        <f>IF(ROWS($2:6)&gt;COUNTIF(Maximum_RawData!$A:$A,"5_Maximum"),"",INDEX(Maximum_RawData!F:F,MATCH("5_Maximum",Maximum_RawData!$A:$A,0)+ROWS($2:6)-1))</f>
        <v>399</v>
      </c>
      <c r="G6">
        <f>IF(ROWS($2:6)&gt;COUNTIF(Maximum_RawData!$A:$A,"5_Maximum"),"",INDEX(Maximum_RawData!G:G,MATCH("5_Maximum",Maximum_RawData!$A:$A,0)+ROWS($2:6)-1))</f>
        <v>399</v>
      </c>
      <c r="H6">
        <f>IF(ROWS($2:6)&gt;COUNTIF(Maximum_RawData!$A:$A,"5_Maximum"),"",INDEX(Maximum_RawData!H:H,MATCH("5_Maximum",Maximum_RawData!$A:$A,0)+ROWS($2:6)-1))</f>
        <v>399</v>
      </c>
      <c r="I6">
        <f>IF(ROWS($2:6)&gt;COUNTIF(Maximum_RawData!$A:$A,"5_Maximum"),"",INDEX(Maximum_RawData!I:I,MATCH("5_Maximum",Maximum_RawData!$A:$A,0)+ROWS($2:6)-1))</f>
        <v>399</v>
      </c>
      <c r="J6">
        <f>IF(ROWS($2:6)&gt;COUNTIF(Maximum_RawData!$A:$A,"5_Maximum"),"",INDEX(Maximum_RawData!J:J,MATCH("5_Maximum",Maximum_RawData!$A:$A,0)+ROWS($2:6)-1))</f>
        <v>399</v>
      </c>
      <c r="K6">
        <f>IF(ROWS($2:6)&gt;COUNTIF(Maximum_RawData!$A:$A,"5_Maximum"),"",INDEX(Maximum_RawData!K:K,MATCH("5_Maximum",Maximum_RawData!$A:$A,0)+ROWS($2:6)-1))</f>
        <v>399</v>
      </c>
      <c r="L6">
        <f>IF(ROWS($2:6)&gt;COUNTIF(Maximum_RawData!$A:$A,"5_Maximum"),"",INDEX(Maximum_RawData!L:L,MATCH("5_Maximum",Maximum_RawData!$A:$A,0)+ROWS($2:6)-1))</f>
        <v>399</v>
      </c>
      <c r="M6">
        <f>IF(ROWS($2:6)&gt;COUNTIF(Maximum_RawData!$A:$A,"5_Maximum"),"",INDEX(Maximum_RawData!M:M,MATCH("5_Maximum",Maximum_RawData!$A:$A,0)+ROWS($2:6)-1))</f>
        <v>399</v>
      </c>
      <c r="N6">
        <f>IF(ROWS($2:6)&gt;COUNTIF(Maximum_RawData!$A:$A,"5_Maximum"),"",INDEX(Maximum_RawData!N:N,MATCH("5_Maximum",Maximum_RawData!$A:$A,0)+ROWS($2:6)-1))</f>
        <v>0.1</v>
      </c>
      <c r="O6">
        <f>IF(ROWS($2:6)&gt;COUNTIF(Maximum_RawData!$A:$A,"5_Maximum"),"",INDEX(Maximum_RawData!O:O,MATCH("5_Maximum",Maximum_RawData!$A:$A,0)+ROWS($2:6)-1))</f>
        <v>0.11</v>
      </c>
      <c r="P6">
        <f>IF(ROWS($2:6)&gt;COUNTIF(Maximum_RawData!$A:$A,"5_Maximum"),"",INDEX(Maximum_RawData!P:P,MATCH("5_Maximum",Maximum_RawData!$A:$A,0)+ROWS($2:6)-1))</f>
        <v>0.08</v>
      </c>
      <c r="Q6">
        <f>IF(ROWS($2:6)&gt;COUNTIF(Maximum_RawData!$A:$A,"5_Maximum"),"",INDEX(Maximum_RawData!Q:Q,MATCH("5_Maximum",Maximum_RawData!$A:$A,0)+ROWS($2:6)-1))</f>
        <v>0.1</v>
      </c>
      <c r="R6" t="str">
        <f>IF(ROWS($2:6)&gt;COUNTIF(Maximum_RawData!$A:$A,"5_Maximum"),"",INDEX(Maximum_RawData!R:R,MATCH("5_Maximum",Maximum_RawData!$A:$A,0)+ROWS($2:6)-1))</f>
        <v>Pass</v>
      </c>
      <c r="S6">
        <f>IF(ROWS($2:6)&gt;COUNTIF(Maximum_RawData!$A:$A,"5_Maximum"),"",INDEX(Maximum_RawData!S:S,MATCH("5_Maximum",Maximum_RawData!$A:$A,0)+ROWS($2:6)-1))</f>
        <v>0</v>
      </c>
      <c r="T6">
        <f>IF(ROWS($2:6)&gt;COUNTIF(Maximum_RawData!$A:$A,"5_Maximum"),"",INDEX(Maximum_RawData!T:T,MATCH("5_Maximum",Maximum_RawData!$A:$A,0)+ROWS($2:6)-1))</f>
        <v>0</v>
      </c>
    </row>
    <row r="7" spans="1:20">
      <c r="A7" t="str">
        <f>IF(ROWS($2:7)&gt;COUNTIF(Maximum_RawData!$A:$A,"5_Maximum"),"",INDEX(Maximum_RawData!A:A,MATCH("5_Maximum",Maximum_RawData!$A:$A,0)+ROWS($2:7)-1))</f>
        <v>5_Maximum</v>
      </c>
      <c r="B7">
        <f>IF(ROWS($2:7)&gt;COUNTIF(Maximum_RawData!$A:$A,"5_Maximum"),"",INDEX(Maximum_RawData!B:B,MATCH("5_Maximum",Maximum_RawData!$A:$A,0)+ROWS($2:7)-1))</f>
        <v>145548.05300000001</v>
      </c>
      <c r="C7">
        <f>IF(ROWS($2:7)&gt;COUNTIF(Maximum_RawData!$A:$A,"5_Maximum"),"",INDEX(Maximum_RawData!C:C,MATCH("5_Maximum",Maximum_RawData!$A:$A,0)+ROWS($2:7)-1))</f>
        <v>66.040000000000006</v>
      </c>
      <c r="D7">
        <f>IF(ROWS($2:7)&gt;COUNTIF(Maximum_RawData!$A:$A,"5_Maximum"),"",INDEX(Maximum_RawData!D:D,MATCH("5_Maximum",Maximum_RawData!$A:$A,0)+ROWS($2:7)-1))</f>
        <v>1314.3009999999999</v>
      </c>
      <c r="E7">
        <f>IF(ROWS($2:7)&gt;COUNTIF(Maximum_RawData!$A:$A,"5_Maximum"),"",INDEX(Maximum_RawData!E:E,MATCH("5_Maximum",Maximum_RawData!$A:$A,0)+ROWS($2:7)-1))</f>
        <v>1.69</v>
      </c>
      <c r="F7">
        <f>IF(ROWS($2:7)&gt;COUNTIF(Maximum_RawData!$A:$A,"5_Maximum"),"",INDEX(Maximum_RawData!F:F,MATCH("5_Maximum",Maximum_RawData!$A:$A,0)+ROWS($2:7)-1))</f>
        <v>399</v>
      </c>
      <c r="G7">
        <f>IF(ROWS($2:7)&gt;COUNTIF(Maximum_RawData!$A:$A,"5_Maximum"),"",INDEX(Maximum_RawData!G:G,MATCH("5_Maximum",Maximum_RawData!$A:$A,0)+ROWS($2:7)-1))</f>
        <v>399</v>
      </c>
      <c r="H7">
        <f>IF(ROWS($2:7)&gt;COUNTIF(Maximum_RawData!$A:$A,"5_Maximum"),"",INDEX(Maximum_RawData!H:H,MATCH("5_Maximum",Maximum_RawData!$A:$A,0)+ROWS($2:7)-1))</f>
        <v>399</v>
      </c>
      <c r="I7">
        <f>IF(ROWS($2:7)&gt;COUNTIF(Maximum_RawData!$A:$A,"5_Maximum"),"",INDEX(Maximum_RawData!I:I,MATCH("5_Maximum",Maximum_RawData!$A:$A,0)+ROWS($2:7)-1))</f>
        <v>399</v>
      </c>
      <c r="J7">
        <f>IF(ROWS($2:7)&gt;COUNTIF(Maximum_RawData!$A:$A,"5_Maximum"),"",INDEX(Maximum_RawData!J:J,MATCH("5_Maximum",Maximum_RawData!$A:$A,0)+ROWS($2:7)-1))</f>
        <v>399</v>
      </c>
      <c r="K7">
        <f>IF(ROWS($2:7)&gt;COUNTIF(Maximum_RawData!$A:$A,"5_Maximum"),"",INDEX(Maximum_RawData!K:K,MATCH("5_Maximum",Maximum_RawData!$A:$A,0)+ROWS($2:7)-1))</f>
        <v>399</v>
      </c>
      <c r="L7">
        <f>IF(ROWS($2:7)&gt;COUNTIF(Maximum_RawData!$A:$A,"5_Maximum"),"",INDEX(Maximum_RawData!L:L,MATCH("5_Maximum",Maximum_RawData!$A:$A,0)+ROWS($2:7)-1))</f>
        <v>399</v>
      </c>
      <c r="M7">
        <f>IF(ROWS($2:7)&gt;COUNTIF(Maximum_RawData!$A:$A,"5_Maximum"),"",INDEX(Maximum_RawData!M:M,MATCH("5_Maximum",Maximum_RawData!$A:$A,0)+ROWS($2:7)-1))</f>
        <v>399</v>
      </c>
      <c r="N7">
        <f>IF(ROWS($2:7)&gt;COUNTIF(Maximum_RawData!$A:$A,"5_Maximum"),"",INDEX(Maximum_RawData!N:N,MATCH("5_Maximum",Maximum_RawData!$A:$A,0)+ROWS($2:7)-1))</f>
        <v>0.1</v>
      </c>
      <c r="O7">
        <f>IF(ROWS($2:7)&gt;COUNTIF(Maximum_RawData!$A:$A,"5_Maximum"),"",INDEX(Maximum_RawData!O:O,MATCH("5_Maximum",Maximum_RawData!$A:$A,0)+ROWS($2:7)-1))</f>
        <v>0.11</v>
      </c>
      <c r="P7">
        <f>IF(ROWS($2:7)&gt;COUNTIF(Maximum_RawData!$A:$A,"5_Maximum"),"",INDEX(Maximum_RawData!P:P,MATCH("5_Maximum",Maximum_RawData!$A:$A,0)+ROWS($2:7)-1))</f>
        <v>0.08</v>
      </c>
      <c r="Q7">
        <f>IF(ROWS($2:7)&gt;COUNTIF(Maximum_RawData!$A:$A,"5_Maximum"),"",INDEX(Maximum_RawData!Q:Q,MATCH("5_Maximum",Maximum_RawData!$A:$A,0)+ROWS($2:7)-1))</f>
        <v>0.1</v>
      </c>
      <c r="R7" t="str">
        <f>IF(ROWS($2:7)&gt;COUNTIF(Maximum_RawData!$A:$A,"5_Maximum"),"",INDEX(Maximum_RawData!R:R,MATCH("5_Maximum",Maximum_RawData!$A:$A,0)+ROWS($2:7)-1))</f>
        <v>Pass</v>
      </c>
      <c r="S7">
        <f>IF(ROWS($2:7)&gt;COUNTIF(Maximum_RawData!$A:$A,"5_Maximum"),"",INDEX(Maximum_RawData!S:S,MATCH("5_Maximum",Maximum_RawData!$A:$A,0)+ROWS($2:7)-1))</f>
        <v>0</v>
      </c>
      <c r="T7">
        <f>IF(ROWS($2:7)&gt;COUNTIF(Maximum_RawData!$A:$A,"5_Maximum"),"",INDEX(Maximum_RawData!T:T,MATCH("5_Maximum",Maximum_RawData!$A:$A,0)+ROWS($2:7)-1))</f>
        <v>0</v>
      </c>
    </row>
    <row r="8" spans="1:20">
      <c r="A8" t="str">
        <f>IF(ROWS($2:8)&gt;COUNTIF(Maximum_RawData!$A:$A,"5_Maximum"),"",INDEX(Maximum_RawData!A:A,MATCH("5_Maximum",Maximum_RawData!$A:$A,0)+ROWS($2:8)-1))</f>
        <v>5_Maximum</v>
      </c>
      <c r="B8">
        <f>IF(ROWS($2:8)&gt;COUNTIF(Maximum_RawData!$A:$A,"5_Maximum"),"",INDEX(Maximum_RawData!B:B,MATCH("5_Maximum",Maximum_RawData!$A:$A,0)+ROWS($2:8)-1))</f>
        <v>145553.04999999999</v>
      </c>
      <c r="C8">
        <f>IF(ROWS($2:8)&gt;COUNTIF(Maximum_RawData!$A:$A,"5_Maximum"),"",INDEX(Maximum_RawData!C:C,MATCH("5_Maximum",Maximum_RawData!$A:$A,0)+ROWS($2:8)-1))</f>
        <v>65.31</v>
      </c>
      <c r="D8">
        <f>IF(ROWS($2:8)&gt;COUNTIF(Maximum_RawData!$A:$A,"5_Maximum"),"",INDEX(Maximum_RawData!D:D,MATCH("5_Maximum",Maximum_RawData!$A:$A,0)+ROWS($2:8)-1))</f>
        <v>1314.2380000000001</v>
      </c>
      <c r="E8">
        <f>IF(ROWS($2:8)&gt;COUNTIF(Maximum_RawData!$A:$A,"5_Maximum"),"",INDEX(Maximum_RawData!E:E,MATCH("5_Maximum",Maximum_RawData!$A:$A,0)+ROWS($2:8)-1))</f>
        <v>1.97</v>
      </c>
      <c r="F8">
        <f>IF(ROWS($2:8)&gt;COUNTIF(Maximum_RawData!$A:$A,"5_Maximum"),"",INDEX(Maximum_RawData!F:F,MATCH("5_Maximum",Maximum_RawData!$A:$A,0)+ROWS($2:8)-1))</f>
        <v>399</v>
      </c>
      <c r="G8">
        <f>IF(ROWS($2:8)&gt;COUNTIF(Maximum_RawData!$A:$A,"5_Maximum"),"",INDEX(Maximum_RawData!G:G,MATCH("5_Maximum",Maximum_RawData!$A:$A,0)+ROWS($2:8)-1))</f>
        <v>399</v>
      </c>
      <c r="H8">
        <f>IF(ROWS($2:8)&gt;COUNTIF(Maximum_RawData!$A:$A,"5_Maximum"),"",INDEX(Maximum_RawData!H:H,MATCH("5_Maximum",Maximum_RawData!$A:$A,0)+ROWS($2:8)-1))</f>
        <v>399</v>
      </c>
      <c r="I8">
        <f>IF(ROWS($2:8)&gt;COUNTIF(Maximum_RawData!$A:$A,"5_Maximum"),"",INDEX(Maximum_RawData!I:I,MATCH("5_Maximum",Maximum_RawData!$A:$A,0)+ROWS($2:8)-1))</f>
        <v>399</v>
      </c>
      <c r="J8">
        <f>IF(ROWS($2:8)&gt;COUNTIF(Maximum_RawData!$A:$A,"5_Maximum"),"",INDEX(Maximum_RawData!J:J,MATCH("5_Maximum",Maximum_RawData!$A:$A,0)+ROWS($2:8)-1))</f>
        <v>399</v>
      </c>
      <c r="K8">
        <f>IF(ROWS($2:8)&gt;COUNTIF(Maximum_RawData!$A:$A,"5_Maximum"),"",INDEX(Maximum_RawData!K:K,MATCH("5_Maximum",Maximum_RawData!$A:$A,0)+ROWS($2:8)-1))</f>
        <v>399</v>
      </c>
      <c r="L8">
        <f>IF(ROWS($2:8)&gt;COUNTIF(Maximum_RawData!$A:$A,"5_Maximum"),"",INDEX(Maximum_RawData!L:L,MATCH("5_Maximum",Maximum_RawData!$A:$A,0)+ROWS($2:8)-1))</f>
        <v>399</v>
      </c>
      <c r="M8">
        <f>IF(ROWS($2:8)&gt;COUNTIF(Maximum_RawData!$A:$A,"5_Maximum"),"",INDEX(Maximum_RawData!M:M,MATCH("5_Maximum",Maximum_RawData!$A:$A,0)+ROWS($2:8)-1))</f>
        <v>399</v>
      </c>
      <c r="N8">
        <f>IF(ROWS($2:8)&gt;COUNTIF(Maximum_RawData!$A:$A,"5_Maximum"),"",INDEX(Maximum_RawData!N:N,MATCH("5_Maximum",Maximum_RawData!$A:$A,0)+ROWS($2:8)-1))</f>
        <v>0.09</v>
      </c>
      <c r="O8">
        <f>IF(ROWS($2:8)&gt;COUNTIF(Maximum_RawData!$A:$A,"5_Maximum"),"",INDEX(Maximum_RawData!O:O,MATCH("5_Maximum",Maximum_RawData!$A:$A,0)+ROWS($2:8)-1))</f>
        <v>0.11</v>
      </c>
      <c r="P8">
        <f>IF(ROWS($2:8)&gt;COUNTIF(Maximum_RawData!$A:$A,"5_Maximum"),"",INDEX(Maximum_RawData!P:P,MATCH("5_Maximum",Maximum_RawData!$A:$A,0)+ROWS($2:8)-1))</f>
        <v>0.08</v>
      </c>
      <c r="Q8">
        <f>IF(ROWS($2:8)&gt;COUNTIF(Maximum_RawData!$A:$A,"5_Maximum"),"",INDEX(Maximum_RawData!Q:Q,MATCH("5_Maximum",Maximum_RawData!$A:$A,0)+ROWS($2:8)-1))</f>
        <v>0.1</v>
      </c>
      <c r="R8" t="str">
        <f>IF(ROWS($2:8)&gt;COUNTIF(Maximum_RawData!$A:$A,"5_Maximum"),"",INDEX(Maximum_RawData!R:R,MATCH("5_Maximum",Maximum_RawData!$A:$A,0)+ROWS($2:8)-1))</f>
        <v>Pass</v>
      </c>
      <c r="S8">
        <f>IF(ROWS($2:8)&gt;COUNTIF(Maximum_RawData!$A:$A,"5_Maximum"),"",INDEX(Maximum_RawData!S:S,MATCH("5_Maximum",Maximum_RawData!$A:$A,0)+ROWS($2:8)-1))</f>
        <v>0</v>
      </c>
      <c r="T8">
        <f>IF(ROWS($2:8)&gt;COUNTIF(Maximum_RawData!$A:$A,"5_Maximum"),"",INDEX(Maximum_RawData!T:T,MATCH("5_Maximum",Maximum_RawData!$A:$A,0)+ROWS($2:8)-1))</f>
        <v>0</v>
      </c>
    </row>
    <row r="9" spans="1:20">
      <c r="A9" t="str">
        <f>IF(ROWS($2:9)&gt;COUNTIF(Maximum_RawData!$A:$A,"5_Maximum"),"",INDEX(Maximum_RawData!A:A,MATCH("5_Maximum",Maximum_RawData!$A:$A,0)+ROWS($2:9)-1))</f>
        <v>5_Maximum</v>
      </c>
      <c r="B9">
        <f>IF(ROWS($2:9)&gt;COUNTIF(Maximum_RawData!$A:$A,"5_Maximum"),"",INDEX(Maximum_RawData!B:B,MATCH("5_Maximum",Maximum_RawData!$A:$A,0)+ROWS($2:9)-1))</f>
        <v>145558.05499999999</v>
      </c>
      <c r="C9">
        <f>IF(ROWS($2:9)&gt;COUNTIF(Maximum_RawData!$A:$A,"5_Maximum"),"",INDEX(Maximum_RawData!C:C,MATCH("5_Maximum",Maximum_RawData!$A:$A,0)+ROWS($2:9)-1))</f>
        <v>64.569999999999993</v>
      </c>
      <c r="D9">
        <f>IF(ROWS($2:9)&gt;COUNTIF(Maximum_RawData!$A:$A,"5_Maximum"),"",INDEX(Maximum_RawData!D:D,MATCH("5_Maximum",Maximum_RawData!$A:$A,0)+ROWS($2:9)-1))</f>
        <v>1314.1659999999999</v>
      </c>
      <c r="E9">
        <f>IF(ROWS($2:9)&gt;COUNTIF(Maximum_RawData!$A:$A,"5_Maximum"),"",INDEX(Maximum_RawData!E:E,MATCH("5_Maximum",Maximum_RawData!$A:$A,0)+ROWS($2:9)-1))</f>
        <v>2.2599999999999998</v>
      </c>
      <c r="F9">
        <f>IF(ROWS($2:9)&gt;COUNTIF(Maximum_RawData!$A:$A,"5_Maximum"),"",INDEX(Maximum_RawData!F:F,MATCH("5_Maximum",Maximum_RawData!$A:$A,0)+ROWS($2:9)-1))</f>
        <v>399</v>
      </c>
      <c r="G9">
        <f>IF(ROWS($2:9)&gt;COUNTIF(Maximum_RawData!$A:$A,"5_Maximum"),"",INDEX(Maximum_RawData!G:G,MATCH("5_Maximum",Maximum_RawData!$A:$A,0)+ROWS($2:9)-1))</f>
        <v>399</v>
      </c>
      <c r="H9">
        <f>IF(ROWS($2:9)&gt;COUNTIF(Maximum_RawData!$A:$A,"5_Maximum"),"",INDEX(Maximum_RawData!H:H,MATCH("5_Maximum",Maximum_RawData!$A:$A,0)+ROWS($2:9)-1))</f>
        <v>399</v>
      </c>
      <c r="I9">
        <f>IF(ROWS($2:9)&gt;COUNTIF(Maximum_RawData!$A:$A,"5_Maximum"),"",INDEX(Maximum_RawData!I:I,MATCH("5_Maximum",Maximum_RawData!$A:$A,0)+ROWS($2:9)-1))</f>
        <v>399</v>
      </c>
      <c r="J9">
        <f>IF(ROWS($2:9)&gt;COUNTIF(Maximum_RawData!$A:$A,"5_Maximum"),"",INDEX(Maximum_RawData!J:J,MATCH("5_Maximum",Maximum_RawData!$A:$A,0)+ROWS($2:9)-1))</f>
        <v>399</v>
      </c>
      <c r="K9">
        <f>IF(ROWS($2:9)&gt;COUNTIF(Maximum_RawData!$A:$A,"5_Maximum"),"",INDEX(Maximum_RawData!K:K,MATCH("5_Maximum",Maximum_RawData!$A:$A,0)+ROWS($2:9)-1))</f>
        <v>399</v>
      </c>
      <c r="L9">
        <f>IF(ROWS($2:9)&gt;COUNTIF(Maximum_RawData!$A:$A,"5_Maximum"),"",INDEX(Maximum_RawData!L:L,MATCH("5_Maximum",Maximum_RawData!$A:$A,0)+ROWS($2:9)-1))</f>
        <v>399</v>
      </c>
      <c r="M9">
        <f>IF(ROWS($2:9)&gt;COUNTIF(Maximum_RawData!$A:$A,"5_Maximum"),"",INDEX(Maximum_RawData!M:M,MATCH("5_Maximum",Maximum_RawData!$A:$A,0)+ROWS($2:9)-1))</f>
        <v>399</v>
      </c>
      <c r="N9">
        <f>IF(ROWS($2:9)&gt;COUNTIF(Maximum_RawData!$A:$A,"5_Maximum"),"",INDEX(Maximum_RawData!N:N,MATCH("5_Maximum",Maximum_RawData!$A:$A,0)+ROWS($2:9)-1))</f>
        <v>0.1</v>
      </c>
      <c r="O9">
        <f>IF(ROWS($2:9)&gt;COUNTIF(Maximum_RawData!$A:$A,"5_Maximum"),"",INDEX(Maximum_RawData!O:O,MATCH("5_Maximum",Maximum_RawData!$A:$A,0)+ROWS($2:9)-1))</f>
        <v>0.11</v>
      </c>
      <c r="P9">
        <f>IF(ROWS($2:9)&gt;COUNTIF(Maximum_RawData!$A:$A,"5_Maximum"),"",INDEX(Maximum_RawData!P:P,MATCH("5_Maximum",Maximum_RawData!$A:$A,0)+ROWS($2:9)-1))</f>
        <v>0.08</v>
      </c>
      <c r="Q9">
        <f>IF(ROWS($2:9)&gt;COUNTIF(Maximum_RawData!$A:$A,"5_Maximum"),"",INDEX(Maximum_RawData!Q:Q,MATCH("5_Maximum",Maximum_RawData!$A:$A,0)+ROWS($2:9)-1))</f>
        <v>0.1</v>
      </c>
      <c r="R9" t="str">
        <f>IF(ROWS($2:9)&gt;COUNTIF(Maximum_RawData!$A:$A,"5_Maximum"),"",INDEX(Maximum_RawData!R:R,MATCH("5_Maximum",Maximum_RawData!$A:$A,0)+ROWS($2:9)-1))</f>
        <v>Pass</v>
      </c>
      <c r="S9">
        <f>IF(ROWS($2:9)&gt;COUNTIF(Maximum_RawData!$A:$A,"5_Maximum"),"",INDEX(Maximum_RawData!S:S,MATCH("5_Maximum",Maximum_RawData!$A:$A,0)+ROWS($2:9)-1))</f>
        <v>0</v>
      </c>
      <c r="T9">
        <f>IF(ROWS($2:9)&gt;COUNTIF(Maximum_RawData!$A:$A,"5_Maximum"),"",INDEX(Maximum_RawData!T:T,MATCH("5_Maximum",Maximum_RawData!$A:$A,0)+ROWS($2:9)-1))</f>
        <v>0</v>
      </c>
    </row>
    <row r="10" spans="1:20">
      <c r="A10" t="str">
        <f>IF(ROWS($2:10)&gt;COUNTIF(Maximum_RawData!$A:$A,"5_Maximum"),"",INDEX(Maximum_RawData!A:A,MATCH("5_Maximum",Maximum_RawData!$A:$A,0)+ROWS($2:10)-1))</f>
        <v>5_Maximum</v>
      </c>
      <c r="B10">
        <f>IF(ROWS($2:10)&gt;COUNTIF(Maximum_RawData!$A:$A,"5_Maximum"),"",INDEX(Maximum_RawData!B:B,MATCH("5_Maximum",Maximum_RawData!$A:$A,0)+ROWS($2:10)-1))</f>
        <v>145603.05499999999</v>
      </c>
      <c r="C10">
        <f>IF(ROWS($2:10)&gt;COUNTIF(Maximum_RawData!$A:$A,"5_Maximum"),"",INDEX(Maximum_RawData!C:C,MATCH("5_Maximum",Maximum_RawData!$A:$A,0)+ROWS($2:10)-1))</f>
        <v>63.84</v>
      </c>
      <c r="D10">
        <f>IF(ROWS($2:10)&gt;COUNTIF(Maximum_RawData!$A:$A,"5_Maximum"),"",INDEX(Maximum_RawData!D:D,MATCH("5_Maximum",Maximum_RawData!$A:$A,0)+ROWS($2:10)-1))</f>
        <v>1314.088</v>
      </c>
      <c r="E10">
        <f>IF(ROWS($2:10)&gt;COUNTIF(Maximum_RawData!$A:$A,"5_Maximum"),"",INDEX(Maximum_RawData!E:E,MATCH("5_Maximum",Maximum_RawData!$A:$A,0)+ROWS($2:10)-1))</f>
        <v>2.68</v>
      </c>
      <c r="F10">
        <f>IF(ROWS($2:10)&gt;COUNTIF(Maximum_RawData!$A:$A,"5_Maximum"),"",INDEX(Maximum_RawData!F:F,MATCH("5_Maximum",Maximum_RawData!$A:$A,0)+ROWS($2:10)-1))</f>
        <v>399</v>
      </c>
      <c r="G10">
        <f>IF(ROWS($2:10)&gt;COUNTIF(Maximum_RawData!$A:$A,"5_Maximum"),"",INDEX(Maximum_RawData!G:G,MATCH("5_Maximum",Maximum_RawData!$A:$A,0)+ROWS($2:10)-1))</f>
        <v>399</v>
      </c>
      <c r="H10">
        <f>IF(ROWS($2:10)&gt;COUNTIF(Maximum_RawData!$A:$A,"5_Maximum"),"",INDEX(Maximum_RawData!H:H,MATCH("5_Maximum",Maximum_RawData!$A:$A,0)+ROWS($2:10)-1))</f>
        <v>399</v>
      </c>
      <c r="I10">
        <f>IF(ROWS($2:10)&gt;COUNTIF(Maximum_RawData!$A:$A,"5_Maximum"),"",INDEX(Maximum_RawData!I:I,MATCH("5_Maximum",Maximum_RawData!$A:$A,0)+ROWS($2:10)-1))</f>
        <v>399</v>
      </c>
      <c r="J10">
        <f>IF(ROWS($2:10)&gt;COUNTIF(Maximum_RawData!$A:$A,"5_Maximum"),"",INDEX(Maximum_RawData!J:J,MATCH("5_Maximum",Maximum_RawData!$A:$A,0)+ROWS($2:10)-1))</f>
        <v>399</v>
      </c>
      <c r="K10">
        <f>IF(ROWS($2:10)&gt;COUNTIF(Maximum_RawData!$A:$A,"5_Maximum"),"",INDEX(Maximum_RawData!K:K,MATCH("5_Maximum",Maximum_RawData!$A:$A,0)+ROWS($2:10)-1))</f>
        <v>399</v>
      </c>
      <c r="L10">
        <f>IF(ROWS($2:10)&gt;COUNTIF(Maximum_RawData!$A:$A,"5_Maximum"),"",INDEX(Maximum_RawData!L:L,MATCH("5_Maximum",Maximum_RawData!$A:$A,0)+ROWS($2:10)-1))</f>
        <v>399</v>
      </c>
      <c r="M10">
        <f>IF(ROWS($2:10)&gt;COUNTIF(Maximum_RawData!$A:$A,"5_Maximum"),"",INDEX(Maximum_RawData!M:M,MATCH("5_Maximum",Maximum_RawData!$A:$A,0)+ROWS($2:10)-1))</f>
        <v>399</v>
      </c>
      <c r="N10">
        <f>IF(ROWS($2:10)&gt;COUNTIF(Maximum_RawData!$A:$A,"5_Maximum"),"",INDEX(Maximum_RawData!N:N,MATCH("5_Maximum",Maximum_RawData!$A:$A,0)+ROWS($2:10)-1))</f>
        <v>0.11</v>
      </c>
      <c r="O10">
        <f>IF(ROWS($2:10)&gt;COUNTIF(Maximum_RawData!$A:$A,"5_Maximum"),"",INDEX(Maximum_RawData!O:O,MATCH("5_Maximum",Maximum_RawData!$A:$A,0)+ROWS($2:10)-1))</f>
        <v>0.11</v>
      </c>
      <c r="P10">
        <f>IF(ROWS($2:10)&gt;COUNTIF(Maximum_RawData!$A:$A,"5_Maximum"),"",INDEX(Maximum_RawData!P:P,MATCH("5_Maximum",Maximum_RawData!$A:$A,0)+ROWS($2:10)-1))</f>
        <v>0.08</v>
      </c>
      <c r="Q10">
        <f>IF(ROWS($2:10)&gt;COUNTIF(Maximum_RawData!$A:$A,"5_Maximum"),"",INDEX(Maximum_RawData!Q:Q,MATCH("5_Maximum",Maximum_RawData!$A:$A,0)+ROWS($2:10)-1))</f>
        <v>0.1</v>
      </c>
      <c r="R10" t="str">
        <f>IF(ROWS($2:10)&gt;COUNTIF(Maximum_RawData!$A:$A,"5_Maximum"),"",INDEX(Maximum_RawData!R:R,MATCH("5_Maximum",Maximum_RawData!$A:$A,0)+ROWS($2:10)-1))</f>
        <v>Pass</v>
      </c>
      <c r="S10">
        <f>IF(ROWS($2:10)&gt;COUNTIF(Maximum_RawData!$A:$A,"5_Maximum"),"",INDEX(Maximum_RawData!S:S,MATCH("5_Maximum",Maximum_RawData!$A:$A,0)+ROWS($2:10)-1))</f>
        <v>0</v>
      </c>
      <c r="T10">
        <f>IF(ROWS($2:10)&gt;COUNTIF(Maximum_RawData!$A:$A,"5_Maximum"),"",INDEX(Maximum_RawData!T:T,MATCH("5_Maximum",Maximum_RawData!$A:$A,0)+ROWS($2:10)-1))</f>
        <v>0</v>
      </c>
    </row>
    <row r="11" spans="1:20">
      <c r="A11" t="str">
        <f>IF(ROWS($2:11)&gt;COUNTIF(Maximum_RawData!$A:$A,"5_Maximum"),"",INDEX(Maximum_RawData!A:A,MATCH("5_Maximum",Maximum_RawData!$A:$A,0)+ROWS($2:11)-1))</f>
        <v>5_Maximum</v>
      </c>
      <c r="B11">
        <f>IF(ROWS($2:11)&gt;COUNTIF(Maximum_RawData!$A:$A,"5_Maximum"),"",INDEX(Maximum_RawData!B:B,MATCH("5_Maximum",Maximum_RawData!$A:$A,0)+ROWS($2:11)-1))</f>
        <v>145608.049</v>
      </c>
      <c r="C11">
        <f>IF(ROWS($2:11)&gt;COUNTIF(Maximum_RawData!$A:$A,"5_Maximum"),"",INDEX(Maximum_RawData!C:C,MATCH("5_Maximum",Maximum_RawData!$A:$A,0)+ROWS($2:11)-1))</f>
        <v>63.09</v>
      </c>
      <c r="D11">
        <f>IF(ROWS($2:11)&gt;COUNTIF(Maximum_RawData!$A:$A,"5_Maximum"),"",INDEX(Maximum_RawData!D:D,MATCH("5_Maximum",Maximum_RawData!$A:$A,0)+ROWS($2:11)-1))</f>
        <v>1314.0229999999999</v>
      </c>
      <c r="E11">
        <f>IF(ROWS($2:11)&gt;COUNTIF(Maximum_RawData!$A:$A,"5_Maximum"),"",INDEX(Maximum_RawData!E:E,MATCH("5_Maximum",Maximum_RawData!$A:$A,0)+ROWS($2:11)-1))</f>
        <v>2.81</v>
      </c>
      <c r="F11">
        <f>IF(ROWS($2:11)&gt;COUNTIF(Maximum_RawData!$A:$A,"5_Maximum"),"",INDEX(Maximum_RawData!F:F,MATCH("5_Maximum",Maximum_RawData!$A:$A,0)+ROWS($2:11)-1))</f>
        <v>399</v>
      </c>
      <c r="G11">
        <f>IF(ROWS($2:11)&gt;COUNTIF(Maximum_RawData!$A:$A,"5_Maximum"),"",INDEX(Maximum_RawData!G:G,MATCH("5_Maximum",Maximum_RawData!$A:$A,0)+ROWS($2:11)-1))</f>
        <v>399</v>
      </c>
      <c r="H11">
        <f>IF(ROWS($2:11)&gt;COUNTIF(Maximum_RawData!$A:$A,"5_Maximum"),"",INDEX(Maximum_RawData!H:H,MATCH("5_Maximum",Maximum_RawData!$A:$A,0)+ROWS($2:11)-1))</f>
        <v>399</v>
      </c>
      <c r="I11">
        <f>IF(ROWS($2:11)&gt;COUNTIF(Maximum_RawData!$A:$A,"5_Maximum"),"",INDEX(Maximum_RawData!I:I,MATCH("5_Maximum",Maximum_RawData!$A:$A,0)+ROWS($2:11)-1))</f>
        <v>399</v>
      </c>
      <c r="J11">
        <f>IF(ROWS($2:11)&gt;COUNTIF(Maximum_RawData!$A:$A,"5_Maximum"),"",INDEX(Maximum_RawData!J:J,MATCH("5_Maximum",Maximum_RawData!$A:$A,0)+ROWS($2:11)-1))</f>
        <v>399</v>
      </c>
      <c r="K11">
        <f>IF(ROWS($2:11)&gt;COUNTIF(Maximum_RawData!$A:$A,"5_Maximum"),"",INDEX(Maximum_RawData!K:K,MATCH("5_Maximum",Maximum_RawData!$A:$A,0)+ROWS($2:11)-1))</f>
        <v>399</v>
      </c>
      <c r="L11">
        <f>IF(ROWS($2:11)&gt;COUNTIF(Maximum_RawData!$A:$A,"5_Maximum"),"",INDEX(Maximum_RawData!L:L,MATCH("5_Maximum",Maximum_RawData!$A:$A,0)+ROWS($2:11)-1))</f>
        <v>399</v>
      </c>
      <c r="M11">
        <f>IF(ROWS($2:11)&gt;COUNTIF(Maximum_RawData!$A:$A,"5_Maximum"),"",INDEX(Maximum_RawData!M:M,MATCH("5_Maximum",Maximum_RawData!$A:$A,0)+ROWS($2:11)-1))</f>
        <v>399</v>
      </c>
      <c r="N11">
        <f>IF(ROWS($2:11)&gt;COUNTIF(Maximum_RawData!$A:$A,"5_Maximum"),"",INDEX(Maximum_RawData!N:N,MATCH("5_Maximum",Maximum_RawData!$A:$A,0)+ROWS($2:11)-1))</f>
        <v>0.09</v>
      </c>
      <c r="O11">
        <f>IF(ROWS($2:11)&gt;COUNTIF(Maximum_RawData!$A:$A,"5_Maximum"),"",INDEX(Maximum_RawData!O:O,MATCH("5_Maximum",Maximum_RawData!$A:$A,0)+ROWS($2:11)-1))</f>
        <v>0.11</v>
      </c>
      <c r="P11">
        <f>IF(ROWS($2:11)&gt;COUNTIF(Maximum_RawData!$A:$A,"5_Maximum"),"",INDEX(Maximum_RawData!P:P,MATCH("5_Maximum",Maximum_RawData!$A:$A,0)+ROWS($2:11)-1))</f>
        <v>0.08</v>
      </c>
      <c r="Q11">
        <f>IF(ROWS($2:11)&gt;COUNTIF(Maximum_RawData!$A:$A,"5_Maximum"),"",INDEX(Maximum_RawData!Q:Q,MATCH("5_Maximum",Maximum_RawData!$A:$A,0)+ROWS($2:11)-1))</f>
        <v>0.1</v>
      </c>
      <c r="R11" t="str">
        <f>IF(ROWS($2:11)&gt;COUNTIF(Maximum_RawData!$A:$A,"5_Maximum"),"",INDEX(Maximum_RawData!R:R,MATCH("5_Maximum",Maximum_RawData!$A:$A,0)+ROWS($2:11)-1))</f>
        <v>Pass</v>
      </c>
      <c r="S11">
        <f>IF(ROWS($2:11)&gt;COUNTIF(Maximum_RawData!$A:$A,"5_Maximum"),"",INDEX(Maximum_RawData!S:S,MATCH("5_Maximum",Maximum_RawData!$A:$A,0)+ROWS($2:11)-1))</f>
        <v>0</v>
      </c>
      <c r="T11">
        <f>IF(ROWS($2:11)&gt;COUNTIF(Maximum_RawData!$A:$A,"5_Maximum"),"",INDEX(Maximum_RawData!T:T,MATCH("5_Maximum",Maximum_RawData!$A:$A,0)+ROWS($2:11)-1))</f>
        <v>0</v>
      </c>
    </row>
    <row r="12" spans="1:20">
      <c r="A12" t="str">
        <f>IF(ROWS($2:12)&gt;COUNTIF(Maximum_RawData!$A:$A,"5_Maximum"),"",INDEX(Maximum_RawData!A:A,MATCH("5_Maximum",Maximum_RawData!$A:$A,0)+ROWS($2:12)-1))</f>
        <v>5_Maximum</v>
      </c>
      <c r="B12">
        <f>IF(ROWS($2:12)&gt;COUNTIF(Maximum_RawData!$A:$A,"5_Maximum"),"",INDEX(Maximum_RawData!B:B,MATCH("5_Maximum",Maximum_RawData!$A:$A,0)+ROWS($2:12)-1))</f>
        <v>145613.04699999999</v>
      </c>
      <c r="C12">
        <f>IF(ROWS($2:12)&gt;COUNTIF(Maximum_RawData!$A:$A,"5_Maximum"),"",INDEX(Maximum_RawData!C:C,MATCH("5_Maximum",Maximum_RawData!$A:$A,0)+ROWS($2:12)-1))</f>
        <v>62.37</v>
      </c>
      <c r="D12">
        <f>IF(ROWS($2:12)&gt;COUNTIF(Maximum_RawData!$A:$A,"5_Maximum"),"",INDEX(Maximum_RawData!D:D,MATCH("5_Maximum",Maximum_RawData!$A:$A,0)+ROWS($2:12)-1))</f>
        <v>1313.953</v>
      </c>
      <c r="E12">
        <f>IF(ROWS($2:12)&gt;COUNTIF(Maximum_RawData!$A:$A,"5_Maximum"),"",INDEX(Maximum_RawData!E:E,MATCH("5_Maximum",Maximum_RawData!$A:$A,0)+ROWS($2:12)-1))</f>
        <v>3.15</v>
      </c>
      <c r="F12">
        <f>IF(ROWS($2:12)&gt;COUNTIF(Maximum_RawData!$A:$A,"5_Maximum"),"",INDEX(Maximum_RawData!F:F,MATCH("5_Maximum",Maximum_RawData!$A:$A,0)+ROWS($2:12)-1))</f>
        <v>399</v>
      </c>
      <c r="G12">
        <f>IF(ROWS($2:12)&gt;COUNTIF(Maximum_RawData!$A:$A,"5_Maximum"),"",INDEX(Maximum_RawData!G:G,MATCH("5_Maximum",Maximum_RawData!$A:$A,0)+ROWS($2:12)-1))</f>
        <v>399</v>
      </c>
      <c r="H12">
        <f>IF(ROWS($2:12)&gt;COUNTIF(Maximum_RawData!$A:$A,"5_Maximum"),"",INDEX(Maximum_RawData!H:H,MATCH("5_Maximum",Maximum_RawData!$A:$A,0)+ROWS($2:12)-1))</f>
        <v>399</v>
      </c>
      <c r="I12">
        <f>IF(ROWS($2:12)&gt;COUNTIF(Maximum_RawData!$A:$A,"5_Maximum"),"",INDEX(Maximum_RawData!I:I,MATCH("5_Maximum",Maximum_RawData!$A:$A,0)+ROWS($2:12)-1))</f>
        <v>399</v>
      </c>
      <c r="J12">
        <f>IF(ROWS($2:12)&gt;COUNTIF(Maximum_RawData!$A:$A,"5_Maximum"),"",INDEX(Maximum_RawData!J:J,MATCH("5_Maximum",Maximum_RawData!$A:$A,0)+ROWS($2:12)-1))</f>
        <v>399</v>
      </c>
      <c r="K12">
        <f>IF(ROWS($2:12)&gt;COUNTIF(Maximum_RawData!$A:$A,"5_Maximum"),"",INDEX(Maximum_RawData!K:K,MATCH("5_Maximum",Maximum_RawData!$A:$A,0)+ROWS($2:12)-1))</f>
        <v>399</v>
      </c>
      <c r="L12">
        <f>IF(ROWS($2:12)&gt;COUNTIF(Maximum_RawData!$A:$A,"5_Maximum"),"",INDEX(Maximum_RawData!L:L,MATCH("5_Maximum",Maximum_RawData!$A:$A,0)+ROWS($2:12)-1))</f>
        <v>399</v>
      </c>
      <c r="M12">
        <f>IF(ROWS($2:12)&gt;COUNTIF(Maximum_RawData!$A:$A,"5_Maximum"),"",INDEX(Maximum_RawData!M:M,MATCH("5_Maximum",Maximum_RawData!$A:$A,0)+ROWS($2:12)-1))</f>
        <v>399</v>
      </c>
      <c r="N12">
        <f>IF(ROWS($2:12)&gt;COUNTIF(Maximum_RawData!$A:$A,"5_Maximum"),"",INDEX(Maximum_RawData!N:N,MATCH("5_Maximum",Maximum_RawData!$A:$A,0)+ROWS($2:12)-1))</f>
        <v>0.1</v>
      </c>
      <c r="O12">
        <f>IF(ROWS($2:12)&gt;COUNTIF(Maximum_RawData!$A:$A,"5_Maximum"),"",INDEX(Maximum_RawData!O:O,MATCH("5_Maximum",Maximum_RawData!$A:$A,0)+ROWS($2:12)-1))</f>
        <v>0.11</v>
      </c>
      <c r="P12">
        <f>IF(ROWS($2:12)&gt;COUNTIF(Maximum_RawData!$A:$A,"5_Maximum"),"",INDEX(Maximum_RawData!P:P,MATCH("5_Maximum",Maximum_RawData!$A:$A,0)+ROWS($2:12)-1))</f>
        <v>0.08</v>
      </c>
      <c r="Q12">
        <f>IF(ROWS($2:12)&gt;COUNTIF(Maximum_RawData!$A:$A,"5_Maximum"),"",INDEX(Maximum_RawData!Q:Q,MATCH("5_Maximum",Maximum_RawData!$A:$A,0)+ROWS($2:12)-1))</f>
        <v>0.1</v>
      </c>
      <c r="R12" t="str">
        <f>IF(ROWS($2:12)&gt;COUNTIF(Maximum_RawData!$A:$A,"5_Maximum"),"",INDEX(Maximum_RawData!R:R,MATCH("5_Maximum",Maximum_RawData!$A:$A,0)+ROWS($2:12)-1))</f>
        <v>Pass</v>
      </c>
      <c r="S12">
        <f>IF(ROWS($2:12)&gt;COUNTIF(Maximum_RawData!$A:$A,"5_Maximum"),"",INDEX(Maximum_RawData!S:S,MATCH("5_Maximum",Maximum_RawData!$A:$A,0)+ROWS($2:12)-1))</f>
        <v>0</v>
      </c>
      <c r="T12">
        <f>IF(ROWS($2:12)&gt;COUNTIF(Maximum_RawData!$A:$A,"5_Maximum"),"",INDEX(Maximum_RawData!T:T,MATCH("5_Maximum",Maximum_RawData!$A:$A,0)+ROWS($2:12)-1))</f>
        <v>0</v>
      </c>
    </row>
    <row r="13" spans="1:20">
      <c r="A13" t="str">
        <f>IF(ROWS($2:13)&gt;COUNTIF(Maximum_RawData!$A:$A,"5_Maximum"),"",INDEX(Maximum_RawData!A:A,MATCH("5_Maximum",Maximum_RawData!$A:$A,0)+ROWS($2:13)-1))</f>
        <v>5_Maximum</v>
      </c>
      <c r="B13">
        <f>IF(ROWS($2:13)&gt;COUNTIF(Maximum_RawData!$A:$A,"5_Maximum"),"",INDEX(Maximum_RawData!B:B,MATCH("5_Maximum",Maximum_RawData!$A:$A,0)+ROWS($2:13)-1))</f>
        <v>145618.052</v>
      </c>
      <c r="C13">
        <f>IF(ROWS($2:13)&gt;COUNTIF(Maximum_RawData!$A:$A,"5_Maximum"),"",INDEX(Maximum_RawData!C:C,MATCH("5_Maximum",Maximum_RawData!$A:$A,0)+ROWS($2:13)-1))</f>
        <v>61.62</v>
      </c>
      <c r="D13">
        <f>IF(ROWS($2:13)&gt;COUNTIF(Maximum_RawData!$A:$A,"5_Maximum"),"",INDEX(Maximum_RawData!D:D,MATCH("5_Maximum",Maximum_RawData!$A:$A,0)+ROWS($2:13)-1))</f>
        <v>1313.8810000000001</v>
      </c>
      <c r="E13">
        <f>IF(ROWS($2:13)&gt;COUNTIF(Maximum_RawData!$A:$A,"5_Maximum"),"",INDEX(Maximum_RawData!E:E,MATCH("5_Maximum",Maximum_RawData!$A:$A,0)+ROWS($2:13)-1))</f>
        <v>3.62</v>
      </c>
      <c r="F13">
        <f>IF(ROWS($2:13)&gt;COUNTIF(Maximum_RawData!$A:$A,"5_Maximum"),"",INDEX(Maximum_RawData!F:F,MATCH("5_Maximum",Maximum_RawData!$A:$A,0)+ROWS($2:13)-1))</f>
        <v>399</v>
      </c>
      <c r="G13">
        <f>IF(ROWS($2:13)&gt;COUNTIF(Maximum_RawData!$A:$A,"5_Maximum"),"",INDEX(Maximum_RawData!G:G,MATCH("5_Maximum",Maximum_RawData!$A:$A,0)+ROWS($2:13)-1))</f>
        <v>399</v>
      </c>
      <c r="H13">
        <f>IF(ROWS($2:13)&gt;COUNTIF(Maximum_RawData!$A:$A,"5_Maximum"),"",INDEX(Maximum_RawData!H:H,MATCH("5_Maximum",Maximum_RawData!$A:$A,0)+ROWS($2:13)-1))</f>
        <v>399</v>
      </c>
      <c r="I13">
        <f>IF(ROWS($2:13)&gt;COUNTIF(Maximum_RawData!$A:$A,"5_Maximum"),"",INDEX(Maximum_RawData!I:I,MATCH("5_Maximum",Maximum_RawData!$A:$A,0)+ROWS($2:13)-1))</f>
        <v>399</v>
      </c>
      <c r="J13">
        <f>IF(ROWS($2:13)&gt;COUNTIF(Maximum_RawData!$A:$A,"5_Maximum"),"",INDEX(Maximum_RawData!J:J,MATCH("5_Maximum",Maximum_RawData!$A:$A,0)+ROWS($2:13)-1))</f>
        <v>399</v>
      </c>
      <c r="K13">
        <f>IF(ROWS($2:13)&gt;COUNTIF(Maximum_RawData!$A:$A,"5_Maximum"),"",INDEX(Maximum_RawData!K:K,MATCH("5_Maximum",Maximum_RawData!$A:$A,0)+ROWS($2:13)-1))</f>
        <v>399</v>
      </c>
      <c r="L13">
        <f>IF(ROWS($2:13)&gt;COUNTIF(Maximum_RawData!$A:$A,"5_Maximum"),"",INDEX(Maximum_RawData!L:L,MATCH("5_Maximum",Maximum_RawData!$A:$A,0)+ROWS($2:13)-1))</f>
        <v>399</v>
      </c>
      <c r="M13">
        <f>IF(ROWS($2:13)&gt;COUNTIF(Maximum_RawData!$A:$A,"5_Maximum"),"",INDEX(Maximum_RawData!M:M,MATCH("5_Maximum",Maximum_RawData!$A:$A,0)+ROWS($2:13)-1))</f>
        <v>399</v>
      </c>
      <c r="N13">
        <f>IF(ROWS($2:13)&gt;COUNTIF(Maximum_RawData!$A:$A,"5_Maximum"),"",INDEX(Maximum_RawData!N:N,MATCH("5_Maximum",Maximum_RawData!$A:$A,0)+ROWS($2:13)-1))</f>
        <v>0.1</v>
      </c>
      <c r="O13">
        <f>IF(ROWS($2:13)&gt;COUNTIF(Maximum_RawData!$A:$A,"5_Maximum"),"",INDEX(Maximum_RawData!O:O,MATCH("5_Maximum",Maximum_RawData!$A:$A,0)+ROWS($2:13)-1))</f>
        <v>0.11</v>
      </c>
      <c r="P13">
        <f>IF(ROWS($2:13)&gt;COUNTIF(Maximum_RawData!$A:$A,"5_Maximum"),"",INDEX(Maximum_RawData!P:P,MATCH("5_Maximum",Maximum_RawData!$A:$A,0)+ROWS($2:13)-1))</f>
        <v>0.08</v>
      </c>
      <c r="Q13">
        <f>IF(ROWS($2:13)&gt;COUNTIF(Maximum_RawData!$A:$A,"5_Maximum"),"",INDEX(Maximum_RawData!Q:Q,MATCH("5_Maximum",Maximum_RawData!$A:$A,0)+ROWS($2:13)-1))</f>
        <v>0.1</v>
      </c>
      <c r="R13" t="str">
        <f>IF(ROWS($2:13)&gt;COUNTIF(Maximum_RawData!$A:$A,"5_Maximum"),"",INDEX(Maximum_RawData!R:R,MATCH("5_Maximum",Maximum_RawData!$A:$A,0)+ROWS($2:13)-1))</f>
        <v>Pass</v>
      </c>
      <c r="S13">
        <f>IF(ROWS($2:13)&gt;COUNTIF(Maximum_RawData!$A:$A,"5_Maximum"),"",INDEX(Maximum_RawData!S:S,MATCH("5_Maximum",Maximum_RawData!$A:$A,0)+ROWS($2:13)-1))</f>
        <v>0</v>
      </c>
      <c r="T13">
        <f>IF(ROWS($2:13)&gt;COUNTIF(Maximum_RawData!$A:$A,"5_Maximum"),"",INDEX(Maximum_RawData!T:T,MATCH("5_Maximum",Maximum_RawData!$A:$A,0)+ROWS($2:13)-1))</f>
        <v>0</v>
      </c>
    </row>
    <row r="14" spans="1:20">
      <c r="A14" t="str">
        <f>IF(ROWS($2:14)&gt;COUNTIF(Maximum_RawData!$A:$A,"5_Maximum"),"",INDEX(Maximum_RawData!A:A,MATCH("5_Maximum",Maximum_RawData!$A:$A,0)+ROWS($2:14)-1))</f>
        <v>5_Maximum</v>
      </c>
      <c r="B14">
        <f>IF(ROWS($2:14)&gt;COUNTIF(Maximum_RawData!$A:$A,"5_Maximum"),"",INDEX(Maximum_RawData!B:B,MATCH("5_Maximum",Maximum_RawData!$A:$A,0)+ROWS($2:14)-1))</f>
        <v>145623.057</v>
      </c>
      <c r="C14">
        <f>IF(ROWS($2:14)&gt;COUNTIF(Maximum_RawData!$A:$A,"5_Maximum"),"",INDEX(Maximum_RawData!C:C,MATCH("5_Maximum",Maximum_RawData!$A:$A,0)+ROWS($2:14)-1))</f>
        <v>60.89</v>
      </c>
      <c r="D14">
        <f>IF(ROWS($2:14)&gt;COUNTIF(Maximum_RawData!$A:$A,"5_Maximum"),"",INDEX(Maximum_RawData!D:D,MATCH("5_Maximum",Maximum_RawData!$A:$A,0)+ROWS($2:14)-1))</f>
        <v>1313.809</v>
      </c>
      <c r="E14">
        <f>IF(ROWS($2:14)&gt;COUNTIF(Maximum_RawData!$A:$A,"5_Maximum"),"",INDEX(Maximum_RawData!E:E,MATCH("5_Maximum",Maximum_RawData!$A:$A,0)+ROWS($2:14)-1))</f>
        <v>3.98</v>
      </c>
      <c r="F14">
        <f>IF(ROWS($2:14)&gt;COUNTIF(Maximum_RawData!$A:$A,"5_Maximum"),"",INDEX(Maximum_RawData!F:F,MATCH("5_Maximum",Maximum_RawData!$A:$A,0)+ROWS($2:14)-1))</f>
        <v>399</v>
      </c>
      <c r="G14">
        <f>IF(ROWS($2:14)&gt;COUNTIF(Maximum_RawData!$A:$A,"5_Maximum"),"",INDEX(Maximum_RawData!G:G,MATCH("5_Maximum",Maximum_RawData!$A:$A,0)+ROWS($2:14)-1))</f>
        <v>399</v>
      </c>
      <c r="H14">
        <f>IF(ROWS($2:14)&gt;COUNTIF(Maximum_RawData!$A:$A,"5_Maximum"),"",INDEX(Maximum_RawData!H:H,MATCH("5_Maximum",Maximum_RawData!$A:$A,0)+ROWS($2:14)-1))</f>
        <v>399</v>
      </c>
      <c r="I14">
        <f>IF(ROWS($2:14)&gt;COUNTIF(Maximum_RawData!$A:$A,"5_Maximum"),"",INDEX(Maximum_RawData!I:I,MATCH("5_Maximum",Maximum_RawData!$A:$A,0)+ROWS($2:14)-1))</f>
        <v>399</v>
      </c>
      <c r="J14">
        <f>IF(ROWS($2:14)&gt;COUNTIF(Maximum_RawData!$A:$A,"5_Maximum"),"",INDEX(Maximum_RawData!J:J,MATCH("5_Maximum",Maximum_RawData!$A:$A,0)+ROWS($2:14)-1))</f>
        <v>399</v>
      </c>
      <c r="K14">
        <f>IF(ROWS($2:14)&gt;COUNTIF(Maximum_RawData!$A:$A,"5_Maximum"),"",INDEX(Maximum_RawData!K:K,MATCH("5_Maximum",Maximum_RawData!$A:$A,0)+ROWS($2:14)-1))</f>
        <v>399</v>
      </c>
      <c r="L14">
        <f>IF(ROWS($2:14)&gt;COUNTIF(Maximum_RawData!$A:$A,"5_Maximum"),"",INDEX(Maximum_RawData!L:L,MATCH("5_Maximum",Maximum_RawData!$A:$A,0)+ROWS($2:14)-1))</f>
        <v>399</v>
      </c>
      <c r="M14">
        <f>IF(ROWS($2:14)&gt;COUNTIF(Maximum_RawData!$A:$A,"5_Maximum"),"",INDEX(Maximum_RawData!M:M,MATCH("5_Maximum",Maximum_RawData!$A:$A,0)+ROWS($2:14)-1))</f>
        <v>399</v>
      </c>
      <c r="N14">
        <f>IF(ROWS($2:14)&gt;COUNTIF(Maximum_RawData!$A:$A,"5_Maximum"),"",INDEX(Maximum_RawData!N:N,MATCH("5_Maximum",Maximum_RawData!$A:$A,0)+ROWS($2:14)-1))</f>
        <v>0.1</v>
      </c>
      <c r="O14">
        <f>IF(ROWS($2:14)&gt;COUNTIF(Maximum_RawData!$A:$A,"5_Maximum"),"",INDEX(Maximum_RawData!O:O,MATCH("5_Maximum",Maximum_RawData!$A:$A,0)+ROWS($2:14)-1))</f>
        <v>0.11</v>
      </c>
      <c r="P14">
        <f>IF(ROWS($2:14)&gt;COUNTIF(Maximum_RawData!$A:$A,"5_Maximum"),"",INDEX(Maximum_RawData!P:P,MATCH("5_Maximum",Maximum_RawData!$A:$A,0)+ROWS($2:14)-1))</f>
        <v>0.08</v>
      </c>
      <c r="Q14">
        <f>IF(ROWS($2:14)&gt;COUNTIF(Maximum_RawData!$A:$A,"5_Maximum"),"",INDEX(Maximum_RawData!Q:Q,MATCH("5_Maximum",Maximum_RawData!$A:$A,0)+ROWS($2:14)-1))</f>
        <v>0.1</v>
      </c>
      <c r="R14" t="str">
        <f>IF(ROWS($2:14)&gt;COUNTIF(Maximum_RawData!$A:$A,"5_Maximum"),"",INDEX(Maximum_RawData!R:R,MATCH("5_Maximum",Maximum_RawData!$A:$A,0)+ROWS($2:14)-1))</f>
        <v>Pass</v>
      </c>
      <c r="S14">
        <f>IF(ROWS($2:14)&gt;COUNTIF(Maximum_RawData!$A:$A,"5_Maximum"),"",INDEX(Maximum_RawData!S:S,MATCH("5_Maximum",Maximum_RawData!$A:$A,0)+ROWS($2:14)-1))</f>
        <v>0</v>
      </c>
      <c r="T14">
        <f>IF(ROWS($2:14)&gt;COUNTIF(Maximum_RawData!$A:$A,"5_Maximum"),"",INDEX(Maximum_RawData!T:T,MATCH("5_Maximum",Maximum_RawData!$A:$A,0)+ROWS($2:14)-1))</f>
        <v>0</v>
      </c>
    </row>
    <row r="15" spans="1:20">
      <c r="A15" t="str">
        <f>IF(ROWS($2:15)&gt;COUNTIF(Maximum_RawData!$A:$A,"5_Maximum"),"",INDEX(Maximum_RawData!A:A,MATCH("5_Maximum",Maximum_RawData!$A:$A,0)+ROWS($2:15)-1))</f>
        <v>5_Maximum</v>
      </c>
      <c r="B15">
        <f>IF(ROWS($2:15)&gt;COUNTIF(Maximum_RawData!$A:$A,"5_Maximum"),"",INDEX(Maximum_RawData!B:B,MATCH("5_Maximum",Maximum_RawData!$A:$A,0)+ROWS($2:15)-1))</f>
        <v>145628.06099999999</v>
      </c>
      <c r="C15">
        <f>IF(ROWS($2:15)&gt;COUNTIF(Maximum_RawData!$A:$A,"5_Maximum"),"",INDEX(Maximum_RawData!C:C,MATCH("5_Maximum",Maximum_RawData!$A:$A,0)+ROWS($2:15)-1))</f>
        <v>60.12</v>
      </c>
      <c r="D15">
        <f>IF(ROWS($2:15)&gt;COUNTIF(Maximum_RawData!$A:$A,"5_Maximum"),"",INDEX(Maximum_RawData!D:D,MATCH("5_Maximum",Maximum_RawData!$A:$A,0)+ROWS($2:15)-1))</f>
        <v>1313.7370000000001</v>
      </c>
      <c r="E15">
        <f>IF(ROWS($2:15)&gt;COUNTIF(Maximum_RawData!$A:$A,"5_Maximum"),"",INDEX(Maximum_RawData!E:E,MATCH("5_Maximum",Maximum_RawData!$A:$A,0)+ROWS($2:15)-1))</f>
        <v>4.33</v>
      </c>
      <c r="F15">
        <f>IF(ROWS($2:15)&gt;COUNTIF(Maximum_RawData!$A:$A,"5_Maximum"),"",INDEX(Maximum_RawData!F:F,MATCH("5_Maximum",Maximum_RawData!$A:$A,0)+ROWS($2:15)-1))</f>
        <v>399</v>
      </c>
      <c r="G15">
        <f>IF(ROWS($2:15)&gt;COUNTIF(Maximum_RawData!$A:$A,"5_Maximum"),"",INDEX(Maximum_RawData!G:G,MATCH("5_Maximum",Maximum_RawData!$A:$A,0)+ROWS($2:15)-1))</f>
        <v>399</v>
      </c>
      <c r="H15">
        <f>IF(ROWS($2:15)&gt;COUNTIF(Maximum_RawData!$A:$A,"5_Maximum"),"",INDEX(Maximum_RawData!H:H,MATCH("5_Maximum",Maximum_RawData!$A:$A,0)+ROWS($2:15)-1))</f>
        <v>399</v>
      </c>
      <c r="I15">
        <f>IF(ROWS($2:15)&gt;COUNTIF(Maximum_RawData!$A:$A,"5_Maximum"),"",INDEX(Maximum_RawData!I:I,MATCH("5_Maximum",Maximum_RawData!$A:$A,0)+ROWS($2:15)-1))</f>
        <v>399</v>
      </c>
      <c r="J15">
        <f>IF(ROWS($2:15)&gt;COUNTIF(Maximum_RawData!$A:$A,"5_Maximum"),"",INDEX(Maximum_RawData!J:J,MATCH("5_Maximum",Maximum_RawData!$A:$A,0)+ROWS($2:15)-1))</f>
        <v>399</v>
      </c>
      <c r="K15">
        <f>IF(ROWS($2:15)&gt;COUNTIF(Maximum_RawData!$A:$A,"5_Maximum"),"",INDEX(Maximum_RawData!K:K,MATCH("5_Maximum",Maximum_RawData!$A:$A,0)+ROWS($2:15)-1))</f>
        <v>399</v>
      </c>
      <c r="L15">
        <f>IF(ROWS($2:15)&gt;COUNTIF(Maximum_RawData!$A:$A,"5_Maximum"),"",INDEX(Maximum_RawData!L:L,MATCH("5_Maximum",Maximum_RawData!$A:$A,0)+ROWS($2:15)-1))</f>
        <v>399</v>
      </c>
      <c r="M15">
        <f>IF(ROWS($2:15)&gt;COUNTIF(Maximum_RawData!$A:$A,"5_Maximum"),"",INDEX(Maximum_RawData!M:M,MATCH("5_Maximum",Maximum_RawData!$A:$A,0)+ROWS($2:15)-1))</f>
        <v>399</v>
      </c>
      <c r="N15">
        <f>IF(ROWS($2:15)&gt;COUNTIF(Maximum_RawData!$A:$A,"5_Maximum"),"",INDEX(Maximum_RawData!N:N,MATCH("5_Maximum",Maximum_RawData!$A:$A,0)+ROWS($2:15)-1))</f>
        <v>0.09</v>
      </c>
      <c r="O15">
        <f>IF(ROWS($2:15)&gt;COUNTIF(Maximum_RawData!$A:$A,"5_Maximum"),"",INDEX(Maximum_RawData!O:O,MATCH("5_Maximum",Maximum_RawData!$A:$A,0)+ROWS($2:15)-1))</f>
        <v>0.11</v>
      </c>
      <c r="P15">
        <f>IF(ROWS($2:15)&gt;COUNTIF(Maximum_RawData!$A:$A,"5_Maximum"),"",INDEX(Maximum_RawData!P:P,MATCH("5_Maximum",Maximum_RawData!$A:$A,0)+ROWS($2:15)-1))</f>
        <v>0.08</v>
      </c>
      <c r="Q15">
        <f>IF(ROWS($2:15)&gt;COUNTIF(Maximum_RawData!$A:$A,"5_Maximum"),"",INDEX(Maximum_RawData!Q:Q,MATCH("5_Maximum",Maximum_RawData!$A:$A,0)+ROWS($2:15)-1))</f>
        <v>0.1</v>
      </c>
      <c r="R15" t="str">
        <f>IF(ROWS($2:15)&gt;COUNTIF(Maximum_RawData!$A:$A,"5_Maximum"),"",INDEX(Maximum_RawData!R:R,MATCH("5_Maximum",Maximum_RawData!$A:$A,0)+ROWS($2:15)-1))</f>
        <v>Pass</v>
      </c>
      <c r="S15">
        <f>IF(ROWS($2:15)&gt;COUNTIF(Maximum_RawData!$A:$A,"5_Maximum"),"",INDEX(Maximum_RawData!S:S,MATCH("5_Maximum",Maximum_RawData!$A:$A,0)+ROWS($2:15)-1))</f>
        <v>0</v>
      </c>
      <c r="T15">
        <f>IF(ROWS($2:15)&gt;COUNTIF(Maximum_RawData!$A:$A,"5_Maximum"),"",INDEX(Maximum_RawData!T:T,MATCH("5_Maximum",Maximum_RawData!$A:$A,0)+ROWS($2:15)-1))</f>
        <v>0</v>
      </c>
    </row>
    <row r="16" spans="1:20">
      <c r="A16" t="str">
        <f>IF(ROWS($2:16)&gt;COUNTIF(Maximum_RawData!$A:$A,"5_Maximum"),"",INDEX(Maximum_RawData!A:A,MATCH("5_Maximum",Maximum_RawData!$A:$A,0)+ROWS($2:16)-1))</f>
        <v>5_Maximum</v>
      </c>
      <c r="B16">
        <f>IF(ROWS($2:16)&gt;COUNTIF(Maximum_RawData!$A:$A,"5_Maximum"),"",INDEX(Maximum_RawData!B:B,MATCH("5_Maximum",Maximum_RawData!$A:$A,0)+ROWS($2:16)-1))</f>
        <v>145633.05900000001</v>
      </c>
      <c r="C16">
        <f>IF(ROWS($2:16)&gt;COUNTIF(Maximum_RawData!$A:$A,"5_Maximum"),"",INDEX(Maximum_RawData!C:C,MATCH("5_Maximum",Maximum_RawData!$A:$A,0)+ROWS($2:16)-1))</f>
        <v>59.35</v>
      </c>
      <c r="D16">
        <f>IF(ROWS($2:16)&gt;COUNTIF(Maximum_RawData!$A:$A,"5_Maximum"),"",INDEX(Maximum_RawData!D:D,MATCH("5_Maximum",Maximum_RawData!$A:$A,0)+ROWS($2:16)-1))</f>
        <v>1313.663</v>
      </c>
      <c r="E16">
        <f>IF(ROWS($2:16)&gt;COUNTIF(Maximum_RawData!$A:$A,"5_Maximum"),"",INDEX(Maximum_RawData!E:E,MATCH("5_Maximum",Maximum_RawData!$A:$A,0)+ROWS($2:16)-1))</f>
        <v>4.6500000000000004</v>
      </c>
      <c r="F16">
        <f>IF(ROWS($2:16)&gt;COUNTIF(Maximum_RawData!$A:$A,"5_Maximum"),"",INDEX(Maximum_RawData!F:F,MATCH("5_Maximum",Maximum_RawData!$A:$A,0)+ROWS($2:16)-1))</f>
        <v>399</v>
      </c>
      <c r="G16">
        <f>IF(ROWS($2:16)&gt;COUNTIF(Maximum_RawData!$A:$A,"5_Maximum"),"",INDEX(Maximum_RawData!G:G,MATCH("5_Maximum",Maximum_RawData!$A:$A,0)+ROWS($2:16)-1))</f>
        <v>399</v>
      </c>
      <c r="H16">
        <f>IF(ROWS($2:16)&gt;COUNTIF(Maximum_RawData!$A:$A,"5_Maximum"),"",INDEX(Maximum_RawData!H:H,MATCH("5_Maximum",Maximum_RawData!$A:$A,0)+ROWS($2:16)-1))</f>
        <v>399</v>
      </c>
      <c r="I16">
        <f>IF(ROWS($2:16)&gt;COUNTIF(Maximum_RawData!$A:$A,"5_Maximum"),"",INDEX(Maximum_RawData!I:I,MATCH("5_Maximum",Maximum_RawData!$A:$A,0)+ROWS($2:16)-1))</f>
        <v>399</v>
      </c>
      <c r="J16">
        <f>IF(ROWS($2:16)&gt;COUNTIF(Maximum_RawData!$A:$A,"5_Maximum"),"",INDEX(Maximum_RawData!J:J,MATCH("5_Maximum",Maximum_RawData!$A:$A,0)+ROWS($2:16)-1))</f>
        <v>399</v>
      </c>
      <c r="K16">
        <f>IF(ROWS($2:16)&gt;COUNTIF(Maximum_RawData!$A:$A,"5_Maximum"),"",INDEX(Maximum_RawData!K:K,MATCH("5_Maximum",Maximum_RawData!$A:$A,0)+ROWS($2:16)-1))</f>
        <v>399</v>
      </c>
      <c r="L16">
        <f>IF(ROWS($2:16)&gt;COUNTIF(Maximum_RawData!$A:$A,"5_Maximum"),"",INDEX(Maximum_RawData!L:L,MATCH("5_Maximum",Maximum_RawData!$A:$A,0)+ROWS($2:16)-1))</f>
        <v>399</v>
      </c>
      <c r="M16">
        <f>IF(ROWS($2:16)&gt;COUNTIF(Maximum_RawData!$A:$A,"5_Maximum"),"",INDEX(Maximum_RawData!M:M,MATCH("5_Maximum",Maximum_RawData!$A:$A,0)+ROWS($2:16)-1))</f>
        <v>399</v>
      </c>
      <c r="N16">
        <f>IF(ROWS($2:16)&gt;COUNTIF(Maximum_RawData!$A:$A,"5_Maximum"),"",INDEX(Maximum_RawData!N:N,MATCH("5_Maximum",Maximum_RawData!$A:$A,0)+ROWS($2:16)-1))</f>
        <v>0.1</v>
      </c>
      <c r="O16">
        <f>IF(ROWS($2:16)&gt;COUNTIF(Maximum_RawData!$A:$A,"5_Maximum"),"",INDEX(Maximum_RawData!O:O,MATCH("5_Maximum",Maximum_RawData!$A:$A,0)+ROWS($2:16)-1))</f>
        <v>0.11</v>
      </c>
      <c r="P16">
        <f>IF(ROWS($2:16)&gt;COUNTIF(Maximum_RawData!$A:$A,"5_Maximum"),"",INDEX(Maximum_RawData!P:P,MATCH("5_Maximum",Maximum_RawData!$A:$A,0)+ROWS($2:16)-1))</f>
        <v>0.08</v>
      </c>
      <c r="Q16">
        <f>IF(ROWS($2:16)&gt;COUNTIF(Maximum_RawData!$A:$A,"5_Maximum"),"",INDEX(Maximum_RawData!Q:Q,MATCH("5_Maximum",Maximum_RawData!$A:$A,0)+ROWS($2:16)-1))</f>
        <v>0.1</v>
      </c>
      <c r="R16" t="str">
        <f>IF(ROWS($2:16)&gt;COUNTIF(Maximum_RawData!$A:$A,"5_Maximum"),"",INDEX(Maximum_RawData!R:R,MATCH("5_Maximum",Maximum_RawData!$A:$A,0)+ROWS($2:16)-1))</f>
        <v>Pass</v>
      </c>
      <c r="S16">
        <f>IF(ROWS($2:16)&gt;COUNTIF(Maximum_RawData!$A:$A,"5_Maximum"),"",INDEX(Maximum_RawData!S:S,MATCH("5_Maximum",Maximum_RawData!$A:$A,0)+ROWS($2:16)-1))</f>
        <v>0</v>
      </c>
      <c r="T16">
        <f>IF(ROWS($2:16)&gt;COUNTIF(Maximum_RawData!$A:$A,"5_Maximum"),"",INDEX(Maximum_RawData!T:T,MATCH("5_Maximum",Maximum_RawData!$A:$A,0)+ROWS($2:16)-1))</f>
        <v>0</v>
      </c>
    </row>
    <row r="17" spans="1:20">
      <c r="A17" t="str">
        <f>IF(ROWS($2:17)&gt;COUNTIF(Maximum_RawData!$A:$A,"5_Maximum"),"",INDEX(Maximum_RawData!A:A,MATCH("5_Maximum",Maximum_RawData!$A:$A,0)+ROWS($2:17)-1))</f>
        <v>5_Maximum</v>
      </c>
      <c r="B17">
        <f>IF(ROWS($2:17)&gt;COUNTIF(Maximum_RawData!$A:$A,"5_Maximum"),"",INDEX(Maximum_RawData!B:B,MATCH("5_Maximum",Maximum_RawData!$A:$A,0)+ROWS($2:17)-1))</f>
        <v>145638.054</v>
      </c>
      <c r="C17">
        <f>IF(ROWS($2:17)&gt;COUNTIF(Maximum_RawData!$A:$A,"5_Maximum"),"",INDEX(Maximum_RawData!C:C,MATCH("5_Maximum",Maximum_RawData!$A:$A,0)+ROWS($2:17)-1))</f>
        <v>58.59</v>
      </c>
      <c r="D17">
        <f>IF(ROWS($2:17)&gt;COUNTIF(Maximum_RawData!$A:$A,"5_Maximum"),"",INDEX(Maximum_RawData!D:D,MATCH("5_Maximum",Maximum_RawData!$A:$A,0)+ROWS($2:17)-1))</f>
        <v>1313.5909999999999</v>
      </c>
      <c r="E17">
        <f>IF(ROWS($2:17)&gt;COUNTIF(Maximum_RawData!$A:$A,"5_Maximum"),"",INDEX(Maximum_RawData!E:E,MATCH("5_Maximum",Maximum_RawData!$A:$A,0)+ROWS($2:17)-1))</f>
        <v>5.0199999999999996</v>
      </c>
      <c r="F17">
        <f>IF(ROWS($2:17)&gt;COUNTIF(Maximum_RawData!$A:$A,"5_Maximum"),"",INDEX(Maximum_RawData!F:F,MATCH("5_Maximum",Maximum_RawData!$A:$A,0)+ROWS($2:17)-1))</f>
        <v>399</v>
      </c>
      <c r="G17">
        <f>IF(ROWS($2:17)&gt;COUNTIF(Maximum_RawData!$A:$A,"5_Maximum"),"",INDEX(Maximum_RawData!G:G,MATCH("5_Maximum",Maximum_RawData!$A:$A,0)+ROWS($2:17)-1))</f>
        <v>399</v>
      </c>
      <c r="H17">
        <f>IF(ROWS($2:17)&gt;COUNTIF(Maximum_RawData!$A:$A,"5_Maximum"),"",INDEX(Maximum_RawData!H:H,MATCH("5_Maximum",Maximum_RawData!$A:$A,0)+ROWS($2:17)-1))</f>
        <v>399</v>
      </c>
      <c r="I17">
        <f>IF(ROWS($2:17)&gt;COUNTIF(Maximum_RawData!$A:$A,"5_Maximum"),"",INDEX(Maximum_RawData!I:I,MATCH("5_Maximum",Maximum_RawData!$A:$A,0)+ROWS($2:17)-1))</f>
        <v>399</v>
      </c>
      <c r="J17">
        <f>IF(ROWS($2:17)&gt;COUNTIF(Maximum_RawData!$A:$A,"5_Maximum"),"",INDEX(Maximum_RawData!J:J,MATCH("5_Maximum",Maximum_RawData!$A:$A,0)+ROWS($2:17)-1))</f>
        <v>399</v>
      </c>
      <c r="K17">
        <f>IF(ROWS($2:17)&gt;COUNTIF(Maximum_RawData!$A:$A,"5_Maximum"),"",INDEX(Maximum_RawData!K:K,MATCH("5_Maximum",Maximum_RawData!$A:$A,0)+ROWS($2:17)-1))</f>
        <v>399</v>
      </c>
      <c r="L17">
        <f>IF(ROWS($2:17)&gt;COUNTIF(Maximum_RawData!$A:$A,"5_Maximum"),"",INDEX(Maximum_RawData!L:L,MATCH("5_Maximum",Maximum_RawData!$A:$A,0)+ROWS($2:17)-1))</f>
        <v>399</v>
      </c>
      <c r="M17">
        <f>IF(ROWS($2:17)&gt;COUNTIF(Maximum_RawData!$A:$A,"5_Maximum"),"",INDEX(Maximum_RawData!M:M,MATCH("5_Maximum",Maximum_RawData!$A:$A,0)+ROWS($2:17)-1))</f>
        <v>399</v>
      </c>
      <c r="N17">
        <f>IF(ROWS($2:17)&gt;COUNTIF(Maximum_RawData!$A:$A,"5_Maximum"),"",INDEX(Maximum_RawData!N:N,MATCH("5_Maximum",Maximum_RawData!$A:$A,0)+ROWS($2:17)-1))</f>
        <v>0.09</v>
      </c>
      <c r="O17">
        <f>IF(ROWS($2:17)&gt;COUNTIF(Maximum_RawData!$A:$A,"5_Maximum"),"",INDEX(Maximum_RawData!O:O,MATCH("5_Maximum",Maximum_RawData!$A:$A,0)+ROWS($2:17)-1))</f>
        <v>0.11</v>
      </c>
      <c r="P17">
        <f>IF(ROWS($2:17)&gt;COUNTIF(Maximum_RawData!$A:$A,"5_Maximum"),"",INDEX(Maximum_RawData!P:P,MATCH("5_Maximum",Maximum_RawData!$A:$A,0)+ROWS($2:17)-1))</f>
        <v>0.08</v>
      </c>
      <c r="Q17">
        <f>IF(ROWS($2:17)&gt;COUNTIF(Maximum_RawData!$A:$A,"5_Maximum"),"",INDEX(Maximum_RawData!Q:Q,MATCH("5_Maximum",Maximum_RawData!$A:$A,0)+ROWS($2:17)-1))</f>
        <v>0.1</v>
      </c>
      <c r="R17" t="str">
        <f>IF(ROWS($2:17)&gt;COUNTIF(Maximum_RawData!$A:$A,"5_Maximum"),"",INDEX(Maximum_RawData!R:R,MATCH("5_Maximum",Maximum_RawData!$A:$A,0)+ROWS($2:17)-1))</f>
        <v>Pass</v>
      </c>
      <c r="S17">
        <f>IF(ROWS($2:17)&gt;COUNTIF(Maximum_RawData!$A:$A,"5_Maximum"),"",INDEX(Maximum_RawData!S:S,MATCH("5_Maximum",Maximum_RawData!$A:$A,0)+ROWS($2:17)-1))</f>
        <v>0</v>
      </c>
      <c r="T17">
        <f>IF(ROWS($2:17)&gt;COUNTIF(Maximum_RawData!$A:$A,"5_Maximum"),"",INDEX(Maximum_RawData!T:T,MATCH("5_Maximum",Maximum_RawData!$A:$A,0)+ROWS($2:17)-1))</f>
        <v>0</v>
      </c>
    </row>
    <row r="18" spans="1:20">
      <c r="A18" t="str">
        <f>IF(ROWS($2:18)&gt;COUNTIF(Maximum_RawData!$A:$A,"5_Maximum"),"",INDEX(Maximum_RawData!A:A,MATCH("5_Maximum",Maximum_RawData!$A:$A,0)+ROWS($2:18)-1))</f>
        <v>5_Maximum</v>
      </c>
      <c r="B18">
        <f>IF(ROWS($2:18)&gt;COUNTIF(Maximum_RawData!$A:$A,"5_Maximum"),"",INDEX(Maximum_RawData!B:B,MATCH("5_Maximum",Maximum_RawData!$A:$A,0)+ROWS($2:18)-1))</f>
        <v>145643.065</v>
      </c>
      <c r="C18">
        <f>IF(ROWS($2:18)&gt;COUNTIF(Maximum_RawData!$A:$A,"5_Maximum"),"",INDEX(Maximum_RawData!C:C,MATCH("5_Maximum",Maximum_RawData!$A:$A,0)+ROWS($2:18)-1))</f>
        <v>57.84</v>
      </c>
      <c r="D18">
        <f>IF(ROWS($2:18)&gt;COUNTIF(Maximum_RawData!$A:$A,"5_Maximum"),"",INDEX(Maximum_RawData!D:D,MATCH("5_Maximum",Maximum_RawData!$A:$A,0)+ROWS($2:18)-1))</f>
        <v>1313.519</v>
      </c>
      <c r="E18">
        <f>IF(ROWS($2:18)&gt;COUNTIF(Maximum_RawData!$A:$A,"5_Maximum"),"",INDEX(Maximum_RawData!E:E,MATCH("5_Maximum",Maximum_RawData!$A:$A,0)+ROWS($2:18)-1))</f>
        <v>5.34</v>
      </c>
      <c r="F18">
        <f>IF(ROWS($2:18)&gt;COUNTIF(Maximum_RawData!$A:$A,"5_Maximum"),"",INDEX(Maximum_RawData!F:F,MATCH("5_Maximum",Maximum_RawData!$A:$A,0)+ROWS($2:18)-1))</f>
        <v>399</v>
      </c>
      <c r="G18">
        <f>IF(ROWS($2:18)&gt;COUNTIF(Maximum_RawData!$A:$A,"5_Maximum"),"",INDEX(Maximum_RawData!G:G,MATCH("5_Maximum",Maximum_RawData!$A:$A,0)+ROWS($2:18)-1))</f>
        <v>399</v>
      </c>
      <c r="H18">
        <f>IF(ROWS($2:18)&gt;COUNTIF(Maximum_RawData!$A:$A,"5_Maximum"),"",INDEX(Maximum_RawData!H:H,MATCH("5_Maximum",Maximum_RawData!$A:$A,0)+ROWS($2:18)-1))</f>
        <v>399</v>
      </c>
      <c r="I18">
        <f>IF(ROWS($2:18)&gt;COUNTIF(Maximum_RawData!$A:$A,"5_Maximum"),"",INDEX(Maximum_RawData!I:I,MATCH("5_Maximum",Maximum_RawData!$A:$A,0)+ROWS($2:18)-1))</f>
        <v>399</v>
      </c>
      <c r="J18">
        <f>IF(ROWS($2:18)&gt;COUNTIF(Maximum_RawData!$A:$A,"5_Maximum"),"",INDEX(Maximum_RawData!J:J,MATCH("5_Maximum",Maximum_RawData!$A:$A,0)+ROWS($2:18)-1))</f>
        <v>399</v>
      </c>
      <c r="K18">
        <f>IF(ROWS($2:18)&gt;COUNTIF(Maximum_RawData!$A:$A,"5_Maximum"),"",INDEX(Maximum_RawData!K:K,MATCH("5_Maximum",Maximum_RawData!$A:$A,0)+ROWS($2:18)-1))</f>
        <v>399</v>
      </c>
      <c r="L18">
        <f>IF(ROWS($2:18)&gt;COUNTIF(Maximum_RawData!$A:$A,"5_Maximum"),"",INDEX(Maximum_RawData!L:L,MATCH("5_Maximum",Maximum_RawData!$A:$A,0)+ROWS($2:18)-1))</f>
        <v>399</v>
      </c>
      <c r="M18">
        <f>IF(ROWS($2:18)&gt;COUNTIF(Maximum_RawData!$A:$A,"5_Maximum"),"",INDEX(Maximum_RawData!M:M,MATCH("5_Maximum",Maximum_RawData!$A:$A,0)+ROWS($2:18)-1))</f>
        <v>399</v>
      </c>
      <c r="N18">
        <f>IF(ROWS($2:18)&gt;COUNTIF(Maximum_RawData!$A:$A,"5_Maximum"),"",INDEX(Maximum_RawData!N:N,MATCH("5_Maximum",Maximum_RawData!$A:$A,0)+ROWS($2:18)-1))</f>
        <v>0.1</v>
      </c>
      <c r="O18">
        <f>IF(ROWS($2:18)&gt;COUNTIF(Maximum_RawData!$A:$A,"5_Maximum"),"",INDEX(Maximum_RawData!O:O,MATCH("5_Maximum",Maximum_RawData!$A:$A,0)+ROWS($2:18)-1))</f>
        <v>0.11</v>
      </c>
      <c r="P18">
        <f>IF(ROWS($2:18)&gt;COUNTIF(Maximum_RawData!$A:$A,"5_Maximum"),"",INDEX(Maximum_RawData!P:P,MATCH("5_Maximum",Maximum_RawData!$A:$A,0)+ROWS($2:18)-1))</f>
        <v>0.08</v>
      </c>
      <c r="Q18">
        <f>IF(ROWS($2:18)&gt;COUNTIF(Maximum_RawData!$A:$A,"5_Maximum"),"",INDEX(Maximum_RawData!Q:Q,MATCH("5_Maximum",Maximum_RawData!$A:$A,0)+ROWS($2:18)-1))</f>
        <v>0.1</v>
      </c>
      <c r="R18" t="str">
        <f>IF(ROWS($2:18)&gt;COUNTIF(Maximum_RawData!$A:$A,"5_Maximum"),"",INDEX(Maximum_RawData!R:R,MATCH("5_Maximum",Maximum_RawData!$A:$A,0)+ROWS($2:18)-1))</f>
        <v>Pass</v>
      </c>
      <c r="S18">
        <f>IF(ROWS($2:18)&gt;COUNTIF(Maximum_RawData!$A:$A,"5_Maximum"),"",INDEX(Maximum_RawData!S:S,MATCH("5_Maximum",Maximum_RawData!$A:$A,0)+ROWS($2:18)-1))</f>
        <v>0</v>
      </c>
      <c r="T18">
        <f>IF(ROWS($2:18)&gt;COUNTIF(Maximum_RawData!$A:$A,"5_Maximum"),"",INDEX(Maximum_RawData!T:T,MATCH("5_Maximum",Maximum_RawData!$A:$A,0)+ROWS($2:18)-1))</f>
        <v>0</v>
      </c>
    </row>
    <row r="19" spans="1:20">
      <c r="A19" t="str">
        <f>IF(ROWS($2:19)&gt;COUNTIF(Maximum_RawData!$A:$A,"5_Maximum"),"",INDEX(Maximum_RawData!A:A,MATCH("5_Maximum",Maximum_RawData!$A:$A,0)+ROWS($2:19)-1))</f>
        <v>5_Maximum</v>
      </c>
      <c r="B19">
        <f>IF(ROWS($2:19)&gt;COUNTIF(Maximum_RawData!$A:$A,"5_Maximum"),"",INDEX(Maximum_RawData!B:B,MATCH("5_Maximum",Maximum_RawData!$A:$A,0)+ROWS($2:19)-1))</f>
        <v>145648.06200000001</v>
      </c>
      <c r="C19">
        <f>IF(ROWS($2:19)&gt;COUNTIF(Maximum_RawData!$A:$A,"5_Maximum"),"",INDEX(Maximum_RawData!C:C,MATCH("5_Maximum",Maximum_RawData!$A:$A,0)+ROWS($2:19)-1))</f>
        <v>57.11</v>
      </c>
      <c r="D19">
        <f>IF(ROWS($2:19)&gt;COUNTIF(Maximum_RawData!$A:$A,"5_Maximum"),"",INDEX(Maximum_RawData!D:D,MATCH("5_Maximum",Maximum_RawData!$A:$A,0)+ROWS($2:19)-1))</f>
        <v>1313.4449999999999</v>
      </c>
      <c r="E19">
        <f>IF(ROWS($2:19)&gt;COUNTIF(Maximum_RawData!$A:$A,"5_Maximum"),"",INDEX(Maximum_RawData!E:E,MATCH("5_Maximum",Maximum_RawData!$A:$A,0)+ROWS($2:19)-1))</f>
        <v>5.62</v>
      </c>
      <c r="F19">
        <f>IF(ROWS($2:19)&gt;COUNTIF(Maximum_RawData!$A:$A,"5_Maximum"),"",INDEX(Maximum_RawData!F:F,MATCH("5_Maximum",Maximum_RawData!$A:$A,0)+ROWS($2:19)-1))</f>
        <v>399</v>
      </c>
      <c r="G19">
        <f>IF(ROWS($2:19)&gt;COUNTIF(Maximum_RawData!$A:$A,"5_Maximum"),"",INDEX(Maximum_RawData!G:G,MATCH("5_Maximum",Maximum_RawData!$A:$A,0)+ROWS($2:19)-1))</f>
        <v>399</v>
      </c>
      <c r="H19">
        <f>IF(ROWS($2:19)&gt;COUNTIF(Maximum_RawData!$A:$A,"5_Maximum"),"",INDEX(Maximum_RawData!H:H,MATCH("5_Maximum",Maximum_RawData!$A:$A,0)+ROWS($2:19)-1))</f>
        <v>399</v>
      </c>
      <c r="I19">
        <f>IF(ROWS($2:19)&gt;COUNTIF(Maximum_RawData!$A:$A,"5_Maximum"),"",INDEX(Maximum_RawData!I:I,MATCH("5_Maximum",Maximum_RawData!$A:$A,0)+ROWS($2:19)-1))</f>
        <v>399</v>
      </c>
      <c r="J19">
        <f>IF(ROWS($2:19)&gt;COUNTIF(Maximum_RawData!$A:$A,"5_Maximum"),"",INDEX(Maximum_RawData!J:J,MATCH("5_Maximum",Maximum_RawData!$A:$A,0)+ROWS($2:19)-1))</f>
        <v>399</v>
      </c>
      <c r="K19">
        <f>IF(ROWS($2:19)&gt;COUNTIF(Maximum_RawData!$A:$A,"5_Maximum"),"",INDEX(Maximum_RawData!K:K,MATCH("5_Maximum",Maximum_RawData!$A:$A,0)+ROWS($2:19)-1))</f>
        <v>399</v>
      </c>
      <c r="L19">
        <f>IF(ROWS($2:19)&gt;COUNTIF(Maximum_RawData!$A:$A,"5_Maximum"),"",INDEX(Maximum_RawData!L:L,MATCH("5_Maximum",Maximum_RawData!$A:$A,0)+ROWS($2:19)-1))</f>
        <v>399</v>
      </c>
      <c r="M19">
        <f>IF(ROWS($2:19)&gt;COUNTIF(Maximum_RawData!$A:$A,"5_Maximum"),"",INDEX(Maximum_RawData!M:M,MATCH("5_Maximum",Maximum_RawData!$A:$A,0)+ROWS($2:19)-1))</f>
        <v>399</v>
      </c>
      <c r="N19">
        <f>IF(ROWS($2:19)&gt;COUNTIF(Maximum_RawData!$A:$A,"5_Maximum"),"",INDEX(Maximum_RawData!N:N,MATCH("5_Maximum",Maximum_RawData!$A:$A,0)+ROWS($2:19)-1))</f>
        <v>0.1</v>
      </c>
      <c r="O19">
        <f>IF(ROWS($2:19)&gt;COUNTIF(Maximum_RawData!$A:$A,"5_Maximum"),"",INDEX(Maximum_RawData!O:O,MATCH("5_Maximum",Maximum_RawData!$A:$A,0)+ROWS($2:19)-1))</f>
        <v>0.11</v>
      </c>
      <c r="P19">
        <f>IF(ROWS($2:19)&gt;COUNTIF(Maximum_RawData!$A:$A,"5_Maximum"),"",INDEX(Maximum_RawData!P:P,MATCH("5_Maximum",Maximum_RawData!$A:$A,0)+ROWS($2:19)-1))</f>
        <v>0.08</v>
      </c>
      <c r="Q19">
        <f>IF(ROWS($2:19)&gt;COUNTIF(Maximum_RawData!$A:$A,"5_Maximum"),"",INDEX(Maximum_RawData!Q:Q,MATCH("5_Maximum",Maximum_RawData!$A:$A,0)+ROWS($2:19)-1))</f>
        <v>0.1</v>
      </c>
      <c r="R19" t="str">
        <f>IF(ROWS($2:19)&gt;COUNTIF(Maximum_RawData!$A:$A,"5_Maximum"),"",INDEX(Maximum_RawData!R:R,MATCH("5_Maximum",Maximum_RawData!$A:$A,0)+ROWS($2:19)-1))</f>
        <v>Pass</v>
      </c>
      <c r="S19">
        <f>IF(ROWS($2:19)&gt;COUNTIF(Maximum_RawData!$A:$A,"5_Maximum"),"",INDEX(Maximum_RawData!S:S,MATCH("5_Maximum",Maximum_RawData!$A:$A,0)+ROWS($2:19)-1))</f>
        <v>0</v>
      </c>
      <c r="T19">
        <f>IF(ROWS($2:19)&gt;COUNTIF(Maximum_RawData!$A:$A,"5_Maximum"),"",INDEX(Maximum_RawData!T:T,MATCH("5_Maximum",Maximum_RawData!$A:$A,0)+ROWS($2:19)-1))</f>
        <v>0</v>
      </c>
    </row>
    <row r="20" spans="1:20">
      <c r="A20" t="str">
        <f>IF(ROWS($2:20)&gt;COUNTIF(Maximum_RawData!$A:$A,"5_Maximum"),"",INDEX(Maximum_RawData!A:A,MATCH("5_Maximum",Maximum_RawData!$A:$A,0)+ROWS($2:20)-1))</f>
        <v>5_Maximum</v>
      </c>
      <c r="B20">
        <f>IF(ROWS($2:20)&gt;COUNTIF(Maximum_RawData!$A:$A,"5_Maximum"),"",INDEX(Maximum_RawData!B:B,MATCH("5_Maximum",Maximum_RawData!$A:$A,0)+ROWS($2:20)-1))</f>
        <v>145653.06400000001</v>
      </c>
      <c r="C20">
        <f>IF(ROWS($2:20)&gt;COUNTIF(Maximum_RawData!$A:$A,"5_Maximum"),"",INDEX(Maximum_RawData!C:C,MATCH("5_Maximum",Maximum_RawData!$A:$A,0)+ROWS($2:20)-1))</f>
        <v>56.35</v>
      </c>
      <c r="D20">
        <f>IF(ROWS($2:20)&gt;COUNTIF(Maximum_RawData!$A:$A,"5_Maximum"),"",INDEX(Maximum_RawData!D:D,MATCH("5_Maximum",Maximum_RawData!$A:$A,0)+ROWS($2:20)-1))</f>
        <v>1313.373</v>
      </c>
      <c r="E20">
        <f>IF(ROWS($2:20)&gt;COUNTIF(Maximum_RawData!$A:$A,"5_Maximum"),"",INDEX(Maximum_RawData!E:E,MATCH("5_Maximum",Maximum_RawData!$A:$A,0)+ROWS($2:20)-1))</f>
        <v>5.91</v>
      </c>
      <c r="F20">
        <f>IF(ROWS($2:20)&gt;COUNTIF(Maximum_RawData!$A:$A,"5_Maximum"),"",INDEX(Maximum_RawData!F:F,MATCH("5_Maximum",Maximum_RawData!$A:$A,0)+ROWS($2:20)-1))</f>
        <v>399</v>
      </c>
      <c r="G20">
        <f>IF(ROWS($2:20)&gt;COUNTIF(Maximum_RawData!$A:$A,"5_Maximum"),"",INDEX(Maximum_RawData!G:G,MATCH("5_Maximum",Maximum_RawData!$A:$A,0)+ROWS($2:20)-1))</f>
        <v>399</v>
      </c>
      <c r="H20">
        <f>IF(ROWS($2:20)&gt;COUNTIF(Maximum_RawData!$A:$A,"5_Maximum"),"",INDEX(Maximum_RawData!H:H,MATCH("5_Maximum",Maximum_RawData!$A:$A,0)+ROWS($2:20)-1))</f>
        <v>399</v>
      </c>
      <c r="I20">
        <f>IF(ROWS($2:20)&gt;COUNTIF(Maximum_RawData!$A:$A,"5_Maximum"),"",INDEX(Maximum_RawData!I:I,MATCH("5_Maximum",Maximum_RawData!$A:$A,0)+ROWS($2:20)-1))</f>
        <v>399</v>
      </c>
      <c r="J20">
        <f>IF(ROWS($2:20)&gt;COUNTIF(Maximum_RawData!$A:$A,"5_Maximum"),"",INDEX(Maximum_RawData!J:J,MATCH("5_Maximum",Maximum_RawData!$A:$A,0)+ROWS($2:20)-1))</f>
        <v>399</v>
      </c>
      <c r="K20">
        <f>IF(ROWS($2:20)&gt;COUNTIF(Maximum_RawData!$A:$A,"5_Maximum"),"",INDEX(Maximum_RawData!K:K,MATCH("5_Maximum",Maximum_RawData!$A:$A,0)+ROWS($2:20)-1))</f>
        <v>399</v>
      </c>
      <c r="L20">
        <f>IF(ROWS($2:20)&gt;COUNTIF(Maximum_RawData!$A:$A,"5_Maximum"),"",INDEX(Maximum_RawData!L:L,MATCH("5_Maximum",Maximum_RawData!$A:$A,0)+ROWS($2:20)-1))</f>
        <v>399</v>
      </c>
      <c r="M20">
        <f>IF(ROWS($2:20)&gt;COUNTIF(Maximum_RawData!$A:$A,"5_Maximum"),"",INDEX(Maximum_RawData!M:M,MATCH("5_Maximum",Maximum_RawData!$A:$A,0)+ROWS($2:20)-1))</f>
        <v>399</v>
      </c>
      <c r="N20">
        <f>IF(ROWS($2:20)&gt;COUNTIF(Maximum_RawData!$A:$A,"5_Maximum"),"",INDEX(Maximum_RawData!N:N,MATCH("5_Maximum",Maximum_RawData!$A:$A,0)+ROWS($2:20)-1))</f>
        <v>0.09</v>
      </c>
      <c r="O20">
        <f>IF(ROWS($2:20)&gt;COUNTIF(Maximum_RawData!$A:$A,"5_Maximum"),"",INDEX(Maximum_RawData!O:O,MATCH("5_Maximum",Maximum_RawData!$A:$A,0)+ROWS($2:20)-1))</f>
        <v>0.11</v>
      </c>
      <c r="P20">
        <f>IF(ROWS($2:20)&gt;COUNTIF(Maximum_RawData!$A:$A,"5_Maximum"),"",INDEX(Maximum_RawData!P:P,MATCH("5_Maximum",Maximum_RawData!$A:$A,0)+ROWS($2:20)-1))</f>
        <v>0.08</v>
      </c>
      <c r="Q20">
        <f>IF(ROWS($2:20)&gt;COUNTIF(Maximum_RawData!$A:$A,"5_Maximum"),"",INDEX(Maximum_RawData!Q:Q,MATCH("5_Maximum",Maximum_RawData!$A:$A,0)+ROWS($2:20)-1))</f>
        <v>0.1</v>
      </c>
      <c r="R20" t="str">
        <f>IF(ROWS($2:20)&gt;COUNTIF(Maximum_RawData!$A:$A,"5_Maximum"),"",INDEX(Maximum_RawData!R:R,MATCH("5_Maximum",Maximum_RawData!$A:$A,0)+ROWS($2:20)-1))</f>
        <v>Pass</v>
      </c>
      <c r="S20">
        <f>IF(ROWS($2:20)&gt;COUNTIF(Maximum_RawData!$A:$A,"5_Maximum"),"",INDEX(Maximum_RawData!S:S,MATCH("5_Maximum",Maximum_RawData!$A:$A,0)+ROWS($2:20)-1))</f>
        <v>0</v>
      </c>
      <c r="T20">
        <f>IF(ROWS($2:20)&gt;COUNTIF(Maximum_RawData!$A:$A,"5_Maximum"),"",INDEX(Maximum_RawData!T:T,MATCH("5_Maximum",Maximum_RawData!$A:$A,0)+ROWS($2:20)-1))</f>
        <v>0</v>
      </c>
    </row>
    <row r="21" spans="1:20">
      <c r="A21" t="str">
        <f>IF(ROWS($2:21)&gt;COUNTIF(Maximum_RawData!$A:$A,"5_Maximum"),"",INDEX(Maximum_RawData!A:A,MATCH("5_Maximum",Maximum_RawData!$A:$A,0)+ROWS($2:21)-1))</f>
        <v>5_Maximum</v>
      </c>
      <c r="B21">
        <f>IF(ROWS($2:21)&gt;COUNTIF(Maximum_RawData!$A:$A,"5_Maximum"),"",INDEX(Maximum_RawData!B:B,MATCH("5_Maximum",Maximum_RawData!$A:$A,0)+ROWS($2:21)-1))</f>
        <v>145658.06299999999</v>
      </c>
      <c r="C21">
        <f>IF(ROWS($2:21)&gt;COUNTIF(Maximum_RawData!$A:$A,"5_Maximum"),"",INDEX(Maximum_RawData!C:C,MATCH("5_Maximum",Maximum_RawData!$A:$A,0)+ROWS($2:21)-1))</f>
        <v>55.61</v>
      </c>
      <c r="D21">
        <f>IF(ROWS($2:21)&gt;COUNTIF(Maximum_RawData!$A:$A,"5_Maximum"),"",INDEX(Maximum_RawData!D:D,MATCH("5_Maximum",Maximum_RawData!$A:$A,0)+ROWS($2:21)-1))</f>
        <v>1313.3009999999999</v>
      </c>
      <c r="E21">
        <f>IF(ROWS($2:21)&gt;COUNTIF(Maximum_RawData!$A:$A,"5_Maximum"),"",INDEX(Maximum_RawData!E:E,MATCH("5_Maximum",Maximum_RawData!$A:$A,0)+ROWS($2:21)-1))</f>
        <v>6.13</v>
      </c>
      <c r="F21">
        <f>IF(ROWS($2:21)&gt;COUNTIF(Maximum_RawData!$A:$A,"5_Maximum"),"",INDEX(Maximum_RawData!F:F,MATCH("5_Maximum",Maximum_RawData!$A:$A,0)+ROWS($2:21)-1))</f>
        <v>399</v>
      </c>
      <c r="G21">
        <f>IF(ROWS($2:21)&gt;COUNTIF(Maximum_RawData!$A:$A,"5_Maximum"),"",INDEX(Maximum_RawData!G:G,MATCH("5_Maximum",Maximum_RawData!$A:$A,0)+ROWS($2:21)-1))</f>
        <v>399</v>
      </c>
      <c r="H21">
        <f>IF(ROWS($2:21)&gt;COUNTIF(Maximum_RawData!$A:$A,"5_Maximum"),"",INDEX(Maximum_RawData!H:H,MATCH("5_Maximum",Maximum_RawData!$A:$A,0)+ROWS($2:21)-1))</f>
        <v>399</v>
      </c>
      <c r="I21">
        <f>IF(ROWS($2:21)&gt;COUNTIF(Maximum_RawData!$A:$A,"5_Maximum"),"",INDEX(Maximum_RawData!I:I,MATCH("5_Maximum",Maximum_RawData!$A:$A,0)+ROWS($2:21)-1))</f>
        <v>399</v>
      </c>
      <c r="J21">
        <f>IF(ROWS($2:21)&gt;COUNTIF(Maximum_RawData!$A:$A,"5_Maximum"),"",INDEX(Maximum_RawData!J:J,MATCH("5_Maximum",Maximum_RawData!$A:$A,0)+ROWS($2:21)-1))</f>
        <v>399</v>
      </c>
      <c r="K21">
        <f>IF(ROWS($2:21)&gt;COUNTIF(Maximum_RawData!$A:$A,"5_Maximum"),"",INDEX(Maximum_RawData!K:K,MATCH("5_Maximum",Maximum_RawData!$A:$A,0)+ROWS($2:21)-1))</f>
        <v>399</v>
      </c>
      <c r="L21">
        <f>IF(ROWS($2:21)&gt;COUNTIF(Maximum_RawData!$A:$A,"5_Maximum"),"",INDEX(Maximum_RawData!L:L,MATCH("5_Maximum",Maximum_RawData!$A:$A,0)+ROWS($2:21)-1))</f>
        <v>399</v>
      </c>
      <c r="M21">
        <f>IF(ROWS($2:21)&gt;COUNTIF(Maximum_RawData!$A:$A,"5_Maximum"),"",INDEX(Maximum_RawData!M:M,MATCH("5_Maximum",Maximum_RawData!$A:$A,0)+ROWS($2:21)-1))</f>
        <v>399</v>
      </c>
      <c r="N21">
        <f>IF(ROWS($2:21)&gt;COUNTIF(Maximum_RawData!$A:$A,"5_Maximum"),"",INDEX(Maximum_RawData!N:N,MATCH("5_Maximum",Maximum_RawData!$A:$A,0)+ROWS($2:21)-1))</f>
        <v>0.1</v>
      </c>
      <c r="O21">
        <f>IF(ROWS($2:21)&gt;COUNTIF(Maximum_RawData!$A:$A,"5_Maximum"),"",INDEX(Maximum_RawData!O:O,MATCH("5_Maximum",Maximum_RawData!$A:$A,0)+ROWS($2:21)-1))</f>
        <v>0.11</v>
      </c>
      <c r="P21">
        <f>IF(ROWS($2:21)&gt;COUNTIF(Maximum_RawData!$A:$A,"5_Maximum"),"",INDEX(Maximum_RawData!P:P,MATCH("5_Maximum",Maximum_RawData!$A:$A,0)+ROWS($2:21)-1))</f>
        <v>0.08</v>
      </c>
      <c r="Q21">
        <f>IF(ROWS($2:21)&gt;COUNTIF(Maximum_RawData!$A:$A,"5_Maximum"),"",INDEX(Maximum_RawData!Q:Q,MATCH("5_Maximum",Maximum_RawData!$A:$A,0)+ROWS($2:21)-1))</f>
        <v>0.1</v>
      </c>
      <c r="R21" t="str">
        <f>IF(ROWS($2:21)&gt;COUNTIF(Maximum_RawData!$A:$A,"5_Maximum"),"",INDEX(Maximum_RawData!R:R,MATCH("5_Maximum",Maximum_RawData!$A:$A,0)+ROWS($2:21)-1))</f>
        <v>Pass</v>
      </c>
      <c r="S21">
        <f>IF(ROWS($2:21)&gt;COUNTIF(Maximum_RawData!$A:$A,"5_Maximum"),"",INDEX(Maximum_RawData!S:S,MATCH("5_Maximum",Maximum_RawData!$A:$A,0)+ROWS($2:21)-1))</f>
        <v>0</v>
      </c>
      <c r="T21">
        <f>IF(ROWS($2:21)&gt;COUNTIF(Maximum_RawData!$A:$A,"5_Maximum"),"",INDEX(Maximum_RawData!T:T,MATCH("5_Maximum",Maximum_RawData!$A:$A,0)+ROWS($2:21)-1))</f>
        <v>0</v>
      </c>
    </row>
    <row r="22" spans="1:20">
      <c r="A22" t="str">
        <f>IF(ROWS($2:22)&gt;COUNTIF(Maximum_RawData!$A:$A,"5_Maximum"),"",INDEX(Maximum_RawData!A:A,MATCH("5_Maximum",Maximum_RawData!$A:$A,0)+ROWS($2:22)-1))</f>
        <v>5_Maximum</v>
      </c>
      <c r="B22">
        <f>IF(ROWS($2:22)&gt;COUNTIF(Maximum_RawData!$A:$A,"5_Maximum"),"",INDEX(Maximum_RawData!B:B,MATCH("5_Maximum",Maximum_RawData!$A:$A,0)+ROWS($2:22)-1))</f>
        <v>145703.076</v>
      </c>
      <c r="C22">
        <f>IF(ROWS($2:22)&gt;COUNTIF(Maximum_RawData!$A:$A,"5_Maximum"),"",INDEX(Maximum_RawData!C:C,MATCH("5_Maximum",Maximum_RawData!$A:$A,0)+ROWS($2:22)-1))</f>
        <v>54.86</v>
      </c>
      <c r="D22">
        <f>IF(ROWS($2:22)&gt;COUNTIF(Maximum_RawData!$A:$A,"5_Maximum"),"",INDEX(Maximum_RawData!D:D,MATCH("5_Maximum",Maximum_RawData!$A:$A,0)+ROWS($2:22)-1))</f>
        <v>1313.2270000000001</v>
      </c>
      <c r="E22">
        <f>IF(ROWS($2:22)&gt;COUNTIF(Maximum_RawData!$A:$A,"5_Maximum"),"",INDEX(Maximum_RawData!E:E,MATCH("5_Maximum",Maximum_RawData!$A:$A,0)+ROWS($2:22)-1))</f>
        <v>6.26</v>
      </c>
      <c r="F22">
        <f>IF(ROWS($2:22)&gt;COUNTIF(Maximum_RawData!$A:$A,"5_Maximum"),"",INDEX(Maximum_RawData!F:F,MATCH("5_Maximum",Maximum_RawData!$A:$A,0)+ROWS($2:22)-1))</f>
        <v>399</v>
      </c>
      <c r="G22">
        <f>IF(ROWS($2:22)&gt;COUNTIF(Maximum_RawData!$A:$A,"5_Maximum"),"",INDEX(Maximum_RawData!G:G,MATCH("5_Maximum",Maximum_RawData!$A:$A,0)+ROWS($2:22)-1))</f>
        <v>399</v>
      </c>
      <c r="H22">
        <f>IF(ROWS($2:22)&gt;COUNTIF(Maximum_RawData!$A:$A,"5_Maximum"),"",INDEX(Maximum_RawData!H:H,MATCH("5_Maximum",Maximum_RawData!$A:$A,0)+ROWS($2:22)-1))</f>
        <v>399</v>
      </c>
      <c r="I22">
        <f>IF(ROWS($2:22)&gt;COUNTIF(Maximum_RawData!$A:$A,"5_Maximum"),"",INDEX(Maximum_RawData!I:I,MATCH("5_Maximum",Maximum_RawData!$A:$A,0)+ROWS($2:22)-1))</f>
        <v>399</v>
      </c>
      <c r="J22">
        <f>IF(ROWS($2:22)&gt;COUNTIF(Maximum_RawData!$A:$A,"5_Maximum"),"",INDEX(Maximum_RawData!J:J,MATCH("5_Maximum",Maximum_RawData!$A:$A,0)+ROWS($2:22)-1))</f>
        <v>399</v>
      </c>
      <c r="K22">
        <f>IF(ROWS($2:22)&gt;COUNTIF(Maximum_RawData!$A:$A,"5_Maximum"),"",INDEX(Maximum_RawData!K:K,MATCH("5_Maximum",Maximum_RawData!$A:$A,0)+ROWS($2:22)-1))</f>
        <v>399</v>
      </c>
      <c r="L22">
        <f>IF(ROWS($2:22)&gt;COUNTIF(Maximum_RawData!$A:$A,"5_Maximum"),"",INDEX(Maximum_RawData!L:L,MATCH("5_Maximum",Maximum_RawData!$A:$A,0)+ROWS($2:22)-1))</f>
        <v>399</v>
      </c>
      <c r="M22">
        <f>IF(ROWS($2:22)&gt;COUNTIF(Maximum_RawData!$A:$A,"5_Maximum"),"",INDEX(Maximum_RawData!M:M,MATCH("5_Maximum",Maximum_RawData!$A:$A,0)+ROWS($2:22)-1))</f>
        <v>399</v>
      </c>
      <c r="N22">
        <f>IF(ROWS($2:22)&gt;COUNTIF(Maximum_RawData!$A:$A,"5_Maximum"),"",INDEX(Maximum_RawData!N:N,MATCH("5_Maximum",Maximum_RawData!$A:$A,0)+ROWS($2:22)-1))</f>
        <v>0.1</v>
      </c>
      <c r="O22">
        <f>IF(ROWS($2:22)&gt;COUNTIF(Maximum_RawData!$A:$A,"5_Maximum"),"",INDEX(Maximum_RawData!O:O,MATCH("5_Maximum",Maximum_RawData!$A:$A,0)+ROWS($2:22)-1))</f>
        <v>0.11</v>
      </c>
      <c r="P22">
        <f>IF(ROWS($2:22)&gt;COUNTIF(Maximum_RawData!$A:$A,"5_Maximum"),"",INDEX(Maximum_RawData!P:P,MATCH("5_Maximum",Maximum_RawData!$A:$A,0)+ROWS($2:22)-1))</f>
        <v>0.08</v>
      </c>
      <c r="Q22">
        <f>IF(ROWS($2:22)&gt;COUNTIF(Maximum_RawData!$A:$A,"5_Maximum"),"",INDEX(Maximum_RawData!Q:Q,MATCH("5_Maximum",Maximum_RawData!$A:$A,0)+ROWS($2:22)-1))</f>
        <v>0.1</v>
      </c>
      <c r="R22" t="str">
        <f>IF(ROWS($2:22)&gt;COUNTIF(Maximum_RawData!$A:$A,"5_Maximum"),"",INDEX(Maximum_RawData!R:R,MATCH("5_Maximum",Maximum_RawData!$A:$A,0)+ROWS($2:22)-1))</f>
        <v>Pass</v>
      </c>
      <c r="S22">
        <f>IF(ROWS($2:22)&gt;COUNTIF(Maximum_RawData!$A:$A,"5_Maximum"),"",INDEX(Maximum_RawData!S:S,MATCH("5_Maximum",Maximum_RawData!$A:$A,0)+ROWS($2:22)-1))</f>
        <v>0</v>
      </c>
      <c r="T22">
        <f>IF(ROWS($2:22)&gt;COUNTIF(Maximum_RawData!$A:$A,"5_Maximum"),"",INDEX(Maximum_RawData!T:T,MATCH("5_Maximum",Maximum_RawData!$A:$A,0)+ROWS($2:22)-1))</f>
        <v>0</v>
      </c>
    </row>
    <row r="23" spans="1:20">
      <c r="A23" t="str">
        <f>IF(ROWS($2:23)&gt;COUNTIF(Maximum_RawData!$A:$A,"5_Maximum"),"",INDEX(Maximum_RawData!A:A,MATCH("5_Maximum",Maximum_RawData!$A:$A,0)+ROWS($2:23)-1))</f>
        <v>5_Maximum</v>
      </c>
      <c r="B23">
        <f>IF(ROWS($2:23)&gt;COUNTIF(Maximum_RawData!$A:$A,"5_Maximum"),"",INDEX(Maximum_RawData!B:B,MATCH("5_Maximum",Maximum_RawData!$A:$A,0)+ROWS($2:23)-1))</f>
        <v>145708.07199999999</v>
      </c>
      <c r="C23">
        <f>IF(ROWS($2:23)&gt;COUNTIF(Maximum_RawData!$A:$A,"5_Maximum"),"",INDEX(Maximum_RawData!C:C,MATCH("5_Maximum",Maximum_RawData!$A:$A,0)+ROWS($2:23)-1))</f>
        <v>54.1</v>
      </c>
      <c r="D23">
        <f>IF(ROWS($2:23)&gt;COUNTIF(Maximum_RawData!$A:$A,"5_Maximum"),"",INDEX(Maximum_RawData!D:D,MATCH("5_Maximum",Maximum_RawData!$A:$A,0)+ROWS($2:23)-1))</f>
        <v>1313.1489999999999</v>
      </c>
      <c r="E23">
        <f>IF(ROWS($2:23)&gt;COUNTIF(Maximum_RawData!$A:$A,"5_Maximum"),"",INDEX(Maximum_RawData!E:E,MATCH("5_Maximum",Maximum_RawData!$A:$A,0)+ROWS($2:23)-1))</f>
        <v>6.51</v>
      </c>
      <c r="F23">
        <f>IF(ROWS($2:23)&gt;COUNTIF(Maximum_RawData!$A:$A,"5_Maximum"),"",INDEX(Maximum_RawData!F:F,MATCH("5_Maximum",Maximum_RawData!$A:$A,0)+ROWS($2:23)-1))</f>
        <v>399</v>
      </c>
      <c r="G23">
        <f>IF(ROWS($2:23)&gt;COUNTIF(Maximum_RawData!$A:$A,"5_Maximum"),"",INDEX(Maximum_RawData!G:G,MATCH("5_Maximum",Maximum_RawData!$A:$A,0)+ROWS($2:23)-1))</f>
        <v>399</v>
      </c>
      <c r="H23">
        <f>IF(ROWS($2:23)&gt;COUNTIF(Maximum_RawData!$A:$A,"5_Maximum"),"",INDEX(Maximum_RawData!H:H,MATCH("5_Maximum",Maximum_RawData!$A:$A,0)+ROWS($2:23)-1))</f>
        <v>399</v>
      </c>
      <c r="I23">
        <f>IF(ROWS($2:23)&gt;COUNTIF(Maximum_RawData!$A:$A,"5_Maximum"),"",INDEX(Maximum_RawData!I:I,MATCH("5_Maximum",Maximum_RawData!$A:$A,0)+ROWS($2:23)-1))</f>
        <v>399</v>
      </c>
      <c r="J23">
        <f>IF(ROWS($2:23)&gt;COUNTIF(Maximum_RawData!$A:$A,"5_Maximum"),"",INDEX(Maximum_RawData!J:J,MATCH("5_Maximum",Maximum_RawData!$A:$A,0)+ROWS($2:23)-1))</f>
        <v>399</v>
      </c>
      <c r="K23">
        <f>IF(ROWS($2:23)&gt;COUNTIF(Maximum_RawData!$A:$A,"5_Maximum"),"",INDEX(Maximum_RawData!K:K,MATCH("5_Maximum",Maximum_RawData!$A:$A,0)+ROWS($2:23)-1))</f>
        <v>399</v>
      </c>
      <c r="L23">
        <f>IF(ROWS($2:23)&gt;COUNTIF(Maximum_RawData!$A:$A,"5_Maximum"),"",INDEX(Maximum_RawData!L:L,MATCH("5_Maximum",Maximum_RawData!$A:$A,0)+ROWS($2:23)-1))</f>
        <v>399</v>
      </c>
      <c r="M23">
        <f>IF(ROWS($2:23)&gt;COUNTIF(Maximum_RawData!$A:$A,"5_Maximum"),"",INDEX(Maximum_RawData!M:M,MATCH("5_Maximum",Maximum_RawData!$A:$A,0)+ROWS($2:23)-1))</f>
        <v>399</v>
      </c>
      <c r="N23">
        <f>IF(ROWS($2:23)&gt;COUNTIF(Maximum_RawData!$A:$A,"5_Maximum"),"",INDEX(Maximum_RawData!N:N,MATCH("5_Maximum",Maximum_RawData!$A:$A,0)+ROWS($2:23)-1))</f>
        <v>0.1</v>
      </c>
      <c r="O23">
        <f>IF(ROWS($2:23)&gt;COUNTIF(Maximum_RawData!$A:$A,"5_Maximum"),"",INDEX(Maximum_RawData!O:O,MATCH("5_Maximum",Maximum_RawData!$A:$A,0)+ROWS($2:23)-1))</f>
        <v>0.11</v>
      </c>
      <c r="P23">
        <f>IF(ROWS($2:23)&gt;COUNTIF(Maximum_RawData!$A:$A,"5_Maximum"),"",INDEX(Maximum_RawData!P:P,MATCH("5_Maximum",Maximum_RawData!$A:$A,0)+ROWS($2:23)-1))</f>
        <v>0.08</v>
      </c>
      <c r="Q23">
        <f>IF(ROWS($2:23)&gt;COUNTIF(Maximum_RawData!$A:$A,"5_Maximum"),"",INDEX(Maximum_RawData!Q:Q,MATCH("5_Maximum",Maximum_RawData!$A:$A,0)+ROWS($2:23)-1))</f>
        <v>0.1</v>
      </c>
      <c r="R23" t="str">
        <f>IF(ROWS($2:23)&gt;COUNTIF(Maximum_RawData!$A:$A,"5_Maximum"),"",INDEX(Maximum_RawData!R:R,MATCH("5_Maximum",Maximum_RawData!$A:$A,0)+ROWS($2:23)-1))</f>
        <v>Pass</v>
      </c>
      <c r="S23">
        <f>IF(ROWS($2:23)&gt;COUNTIF(Maximum_RawData!$A:$A,"5_Maximum"),"",INDEX(Maximum_RawData!S:S,MATCH("5_Maximum",Maximum_RawData!$A:$A,0)+ROWS($2:23)-1))</f>
        <v>0</v>
      </c>
      <c r="T23">
        <f>IF(ROWS($2:23)&gt;COUNTIF(Maximum_RawData!$A:$A,"5_Maximum"),"",INDEX(Maximum_RawData!T:T,MATCH("5_Maximum",Maximum_RawData!$A:$A,0)+ROWS($2:23)-1))</f>
        <v>0</v>
      </c>
    </row>
    <row r="24" spans="1:20">
      <c r="A24" t="str">
        <f>IF(ROWS($2:24)&gt;COUNTIF(Maximum_RawData!$A:$A,"5_Maximum"),"",INDEX(Maximum_RawData!A:A,MATCH("5_Maximum",Maximum_RawData!$A:$A,0)+ROWS($2:24)-1))</f>
        <v>5_Maximum</v>
      </c>
      <c r="B24">
        <f>IF(ROWS($2:24)&gt;COUNTIF(Maximum_RawData!$A:$A,"5_Maximum"),"",INDEX(Maximum_RawData!B:B,MATCH("5_Maximum",Maximum_RawData!$A:$A,0)+ROWS($2:24)-1))</f>
        <v>145713.06400000001</v>
      </c>
      <c r="C24">
        <f>IF(ROWS($2:24)&gt;COUNTIF(Maximum_RawData!$A:$A,"5_Maximum"),"",INDEX(Maximum_RawData!C:C,MATCH("5_Maximum",Maximum_RawData!$A:$A,0)+ROWS($2:24)-1))</f>
        <v>53.36</v>
      </c>
      <c r="D24">
        <f>IF(ROWS($2:24)&gt;COUNTIF(Maximum_RawData!$A:$A,"5_Maximum"),"",INDEX(Maximum_RawData!D:D,MATCH("5_Maximum",Maximum_RawData!$A:$A,0)+ROWS($2:24)-1))</f>
        <v>1313.077</v>
      </c>
      <c r="E24">
        <f>IF(ROWS($2:24)&gt;COUNTIF(Maximum_RawData!$A:$A,"5_Maximum"),"",INDEX(Maximum_RawData!E:E,MATCH("5_Maximum",Maximum_RawData!$A:$A,0)+ROWS($2:24)-1))</f>
        <v>6.62</v>
      </c>
      <c r="F24">
        <f>IF(ROWS($2:24)&gt;COUNTIF(Maximum_RawData!$A:$A,"5_Maximum"),"",INDEX(Maximum_RawData!F:F,MATCH("5_Maximum",Maximum_RawData!$A:$A,0)+ROWS($2:24)-1))</f>
        <v>399</v>
      </c>
      <c r="G24">
        <f>IF(ROWS($2:24)&gt;COUNTIF(Maximum_RawData!$A:$A,"5_Maximum"),"",INDEX(Maximum_RawData!G:G,MATCH("5_Maximum",Maximum_RawData!$A:$A,0)+ROWS($2:24)-1))</f>
        <v>399</v>
      </c>
      <c r="H24">
        <f>IF(ROWS($2:24)&gt;COUNTIF(Maximum_RawData!$A:$A,"5_Maximum"),"",INDEX(Maximum_RawData!H:H,MATCH("5_Maximum",Maximum_RawData!$A:$A,0)+ROWS($2:24)-1))</f>
        <v>399</v>
      </c>
      <c r="I24">
        <f>IF(ROWS($2:24)&gt;COUNTIF(Maximum_RawData!$A:$A,"5_Maximum"),"",INDEX(Maximum_RawData!I:I,MATCH("5_Maximum",Maximum_RawData!$A:$A,0)+ROWS($2:24)-1))</f>
        <v>399</v>
      </c>
      <c r="J24">
        <f>IF(ROWS($2:24)&gt;COUNTIF(Maximum_RawData!$A:$A,"5_Maximum"),"",INDEX(Maximum_RawData!J:J,MATCH("5_Maximum",Maximum_RawData!$A:$A,0)+ROWS($2:24)-1))</f>
        <v>399</v>
      </c>
      <c r="K24">
        <f>IF(ROWS($2:24)&gt;COUNTIF(Maximum_RawData!$A:$A,"5_Maximum"),"",INDEX(Maximum_RawData!K:K,MATCH("5_Maximum",Maximum_RawData!$A:$A,0)+ROWS($2:24)-1))</f>
        <v>399</v>
      </c>
      <c r="L24">
        <f>IF(ROWS($2:24)&gt;COUNTIF(Maximum_RawData!$A:$A,"5_Maximum"),"",INDEX(Maximum_RawData!L:L,MATCH("5_Maximum",Maximum_RawData!$A:$A,0)+ROWS($2:24)-1))</f>
        <v>399</v>
      </c>
      <c r="M24">
        <f>IF(ROWS($2:24)&gt;COUNTIF(Maximum_RawData!$A:$A,"5_Maximum"),"",INDEX(Maximum_RawData!M:M,MATCH("5_Maximum",Maximum_RawData!$A:$A,0)+ROWS($2:24)-1))</f>
        <v>399</v>
      </c>
      <c r="N24">
        <f>IF(ROWS($2:24)&gt;COUNTIF(Maximum_RawData!$A:$A,"5_Maximum"),"",INDEX(Maximum_RawData!N:N,MATCH("5_Maximum",Maximum_RawData!$A:$A,0)+ROWS($2:24)-1))</f>
        <v>0.1</v>
      </c>
      <c r="O24">
        <f>IF(ROWS($2:24)&gt;COUNTIF(Maximum_RawData!$A:$A,"5_Maximum"),"",INDEX(Maximum_RawData!O:O,MATCH("5_Maximum",Maximum_RawData!$A:$A,0)+ROWS($2:24)-1))</f>
        <v>0.11</v>
      </c>
      <c r="P24">
        <f>IF(ROWS($2:24)&gt;COUNTIF(Maximum_RawData!$A:$A,"5_Maximum"),"",INDEX(Maximum_RawData!P:P,MATCH("5_Maximum",Maximum_RawData!$A:$A,0)+ROWS($2:24)-1))</f>
        <v>0.08</v>
      </c>
      <c r="Q24">
        <f>IF(ROWS($2:24)&gt;COUNTIF(Maximum_RawData!$A:$A,"5_Maximum"),"",INDEX(Maximum_RawData!Q:Q,MATCH("5_Maximum",Maximum_RawData!$A:$A,0)+ROWS($2:24)-1))</f>
        <v>0.1</v>
      </c>
      <c r="R24" t="str">
        <f>IF(ROWS($2:24)&gt;COUNTIF(Maximum_RawData!$A:$A,"5_Maximum"),"",INDEX(Maximum_RawData!R:R,MATCH("5_Maximum",Maximum_RawData!$A:$A,0)+ROWS($2:24)-1))</f>
        <v>Pass</v>
      </c>
      <c r="S24">
        <f>IF(ROWS($2:24)&gt;COUNTIF(Maximum_RawData!$A:$A,"5_Maximum"),"",INDEX(Maximum_RawData!S:S,MATCH("5_Maximum",Maximum_RawData!$A:$A,0)+ROWS($2:24)-1))</f>
        <v>0</v>
      </c>
      <c r="T24">
        <f>IF(ROWS($2:24)&gt;COUNTIF(Maximum_RawData!$A:$A,"5_Maximum"),"",INDEX(Maximum_RawData!T:T,MATCH("5_Maximum",Maximum_RawData!$A:$A,0)+ROWS($2:24)-1))</f>
        <v>0</v>
      </c>
    </row>
    <row r="25" spans="1:20">
      <c r="A25" t="str">
        <f>IF(ROWS($2:25)&gt;COUNTIF(Maximum_RawData!$A:$A,"5_Maximum"),"",INDEX(Maximum_RawData!A:A,MATCH("5_Maximum",Maximum_RawData!$A:$A,0)+ROWS($2:25)-1))</f>
        <v>5_Maximum</v>
      </c>
      <c r="B25">
        <f>IF(ROWS($2:25)&gt;COUNTIF(Maximum_RawData!$A:$A,"5_Maximum"),"",INDEX(Maximum_RawData!B:B,MATCH("5_Maximum",Maximum_RawData!$A:$A,0)+ROWS($2:25)-1))</f>
        <v>145718.065</v>
      </c>
      <c r="C25">
        <f>IF(ROWS($2:25)&gt;COUNTIF(Maximum_RawData!$A:$A,"5_Maximum"),"",INDEX(Maximum_RawData!C:C,MATCH("5_Maximum",Maximum_RawData!$A:$A,0)+ROWS($2:25)-1))</f>
        <v>52.6</v>
      </c>
      <c r="D25">
        <f>IF(ROWS($2:25)&gt;COUNTIF(Maximum_RawData!$A:$A,"5_Maximum"),"",INDEX(Maximum_RawData!D:D,MATCH("5_Maximum",Maximum_RawData!$A:$A,0)+ROWS($2:25)-1))</f>
        <v>1313.0050000000001</v>
      </c>
      <c r="E25">
        <f>IF(ROWS($2:25)&gt;COUNTIF(Maximum_RawData!$A:$A,"5_Maximum"),"",INDEX(Maximum_RawData!E:E,MATCH("5_Maximum",Maximum_RawData!$A:$A,0)+ROWS($2:25)-1))</f>
        <v>6.79</v>
      </c>
      <c r="F25">
        <f>IF(ROWS($2:25)&gt;COUNTIF(Maximum_RawData!$A:$A,"5_Maximum"),"",INDEX(Maximum_RawData!F:F,MATCH("5_Maximum",Maximum_RawData!$A:$A,0)+ROWS($2:25)-1))</f>
        <v>399</v>
      </c>
      <c r="G25">
        <f>IF(ROWS($2:25)&gt;COUNTIF(Maximum_RawData!$A:$A,"5_Maximum"),"",INDEX(Maximum_RawData!G:G,MATCH("5_Maximum",Maximum_RawData!$A:$A,0)+ROWS($2:25)-1))</f>
        <v>399</v>
      </c>
      <c r="H25">
        <f>IF(ROWS($2:25)&gt;COUNTIF(Maximum_RawData!$A:$A,"5_Maximum"),"",INDEX(Maximum_RawData!H:H,MATCH("5_Maximum",Maximum_RawData!$A:$A,0)+ROWS($2:25)-1))</f>
        <v>399</v>
      </c>
      <c r="I25">
        <f>IF(ROWS($2:25)&gt;COUNTIF(Maximum_RawData!$A:$A,"5_Maximum"),"",INDEX(Maximum_RawData!I:I,MATCH("5_Maximum",Maximum_RawData!$A:$A,0)+ROWS($2:25)-1))</f>
        <v>399</v>
      </c>
      <c r="J25">
        <f>IF(ROWS($2:25)&gt;COUNTIF(Maximum_RawData!$A:$A,"5_Maximum"),"",INDEX(Maximum_RawData!J:J,MATCH("5_Maximum",Maximum_RawData!$A:$A,0)+ROWS($2:25)-1))</f>
        <v>399</v>
      </c>
      <c r="K25">
        <f>IF(ROWS($2:25)&gt;COUNTIF(Maximum_RawData!$A:$A,"5_Maximum"),"",INDEX(Maximum_RawData!K:K,MATCH("5_Maximum",Maximum_RawData!$A:$A,0)+ROWS($2:25)-1))</f>
        <v>399</v>
      </c>
      <c r="L25">
        <f>IF(ROWS($2:25)&gt;COUNTIF(Maximum_RawData!$A:$A,"5_Maximum"),"",INDEX(Maximum_RawData!L:L,MATCH("5_Maximum",Maximum_RawData!$A:$A,0)+ROWS($2:25)-1))</f>
        <v>399</v>
      </c>
      <c r="M25">
        <f>IF(ROWS($2:25)&gt;COUNTIF(Maximum_RawData!$A:$A,"5_Maximum"),"",INDEX(Maximum_RawData!M:M,MATCH("5_Maximum",Maximum_RawData!$A:$A,0)+ROWS($2:25)-1))</f>
        <v>399</v>
      </c>
      <c r="N25">
        <f>IF(ROWS($2:25)&gt;COUNTIF(Maximum_RawData!$A:$A,"5_Maximum"),"",INDEX(Maximum_RawData!N:N,MATCH("5_Maximum",Maximum_RawData!$A:$A,0)+ROWS($2:25)-1))</f>
        <v>0.09</v>
      </c>
      <c r="O25">
        <f>IF(ROWS($2:25)&gt;COUNTIF(Maximum_RawData!$A:$A,"5_Maximum"),"",INDEX(Maximum_RawData!O:O,MATCH("5_Maximum",Maximum_RawData!$A:$A,0)+ROWS($2:25)-1))</f>
        <v>0.11</v>
      </c>
      <c r="P25">
        <f>IF(ROWS($2:25)&gt;COUNTIF(Maximum_RawData!$A:$A,"5_Maximum"),"",INDEX(Maximum_RawData!P:P,MATCH("5_Maximum",Maximum_RawData!$A:$A,0)+ROWS($2:25)-1))</f>
        <v>0.08</v>
      </c>
      <c r="Q25">
        <f>IF(ROWS($2:25)&gt;COUNTIF(Maximum_RawData!$A:$A,"5_Maximum"),"",INDEX(Maximum_RawData!Q:Q,MATCH("5_Maximum",Maximum_RawData!$A:$A,0)+ROWS($2:25)-1))</f>
        <v>0.1</v>
      </c>
      <c r="R25" t="str">
        <f>IF(ROWS($2:25)&gt;COUNTIF(Maximum_RawData!$A:$A,"5_Maximum"),"",INDEX(Maximum_RawData!R:R,MATCH("5_Maximum",Maximum_RawData!$A:$A,0)+ROWS($2:25)-1))</f>
        <v>Pass</v>
      </c>
      <c r="S25">
        <f>IF(ROWS($2:25)&gt;COUNTIF(Maximum_RawData!$A:$A,"5_Maximum"),"",INDEX(Maximum_RawData!S:S,MATCH("5_Maximum",Maximum_RawData!$A:$A,0)+ROWS($2:25)-1))</f>
        <v>0</v>
      </c>
      <c r="T25">
        <f>IF(ROWS($2:25)&gt;COUNTIF(Maximum_RawData!$A:$A,"5_Maximum"),"",INDEX(Maximum_RawData!T:T,MATCH("5_Maximum",Maximum_RawData!$A:$A,0)+ROWS($2:25)-1))</f>
        <v>0</v>
      </c>
    </row>
    <row r="26" spans="1:20">
      <c r="A26" t="str">
        <f>IF(ROWS($2:26)&gt;COUNTIF(Maximum_RawData!$A:$A,"5_Maximum"),"",INDEX(Maximum_RawData!A:A,MATCH("5_Maximum",Maximum_RawData!$A:$A,0)+ROWS($2:26)-1))</f>
        <v>5_Maximum</v>
      </c>
      <c r="B26">
        <f>IF(ROWS($2:26)&gt;COUNTIF(Maximum_RawData!$A:$A,"5_Maximum"),"",INDEX(Maximum_RawData!B:B,MATCH("5_Maximum",Maximum_RawData!$A:$A,0)+ROWS($2:26)-1))</f>
        <v>145723.068</v>
      </c>
      <c r="C26">
        <f>IF(ROWS($2:26)&gt;COUNTIF(Maximum_RawData!$A:$A,"5_Maximum"),"",INDEX(Maximum_RawData!C:C,MATCH("5_Maximum",Maximum_RawData!$A:$A,0)+ROWS($2:26)-1))</f>
        <v>51.88</v>
      </c>
      <c r="D26">
        <f>IF(ROWS($2:26)&gt;COUNTIF(Maximum_RawData!$A:$A,"5_Maximum"),"",INDEX(Maximum_RawData!D:D,MATCH("5_Maximum",Maximum_RawData!$A:$A,0)+ROWS($2:26)-1))</f>
        <v>1312.942</v>
      </c>
      <c r="E26">
        <f>IF(ROWS($2:26)&gt;COUNTIF(Maximum_RawData!$A:$A,"5_Maximum"),"",INDEX(Maximum_RawData!E:E,MATCH("5_Maximum",Maximum_RawData!$A:$A,0)+ROWS($2:26)-1))</f>
        <v>6.93</v>
      </c>
      <c r="F26">
        <f>IF(ROWS($2:26)&gt;COUNTIF(Maximum_RawData!$A:$A,"5_Maximum"),"",INDEX(Maximum_RawData!F:F,MATCH("5_Maximum",Maximum_RawData!$A:$A,0)+ROWS($2:26)-1))</f>
        <v>399</v>
      </c>
      <c r="G26">
        <f>IF(ROWS($2:26)&gt;COUNTIF(Maximum_RawData!$A:$A,"5_Maximum"),"",INDEX(Maximum_RawData!G:G,MATCH("5_Maximum",Maximum_RawData!$A:$A,0)+ROWS($2:26)-1))</f>
        <v>399</v>
      </c>
      <c r="H26">
        <f>IF(ROWS($2:26)&gt;COUNTIF(Maximum_RawData!$A:$A,"5_Maximum"),"",INDEX(Maximum_RawData!H:H,MATCH("5_Maximum",Maximum_RawData!$A:$A,0)+ROWS($2:26)-1))</f>
        <v>399</v>
      </c>
      <c r="I26">
        <f>IF(ROWS($2:26)&gt;COUNTIF(Maximum_RawData!$A:$A,"5_Maximum"),"",INDEX(Maximum_RawData!I:I,MATCH("5_Maximum",Maximum_RawData!$A:$A,0)+ROWS($2:26)-1))</f>
        <v>399</v>
      </c>
      <c r="J26">
        <f>IF(ROWS($2:26)&gt;COUNTIF(Maximum_RawData!$A:$A,"5_Maximum"),"",INDEX(Maximum_RawData!J:J,MATCH("5_Maximum",Maximum_RawData!$A:$A,0)+ROWS($2:26)-1))</f>
        <v>399</v>
      </c>
      <c r="K26">
        <f>IF(ROWS($2:26)&gt;COUNTIF(Maximum_RawData!$A:$A,"5_Maximum"),"",INDEX(Maximum_RawData!K:K,MATCH("5_Maximum",Maximum_RawData!$A:$A,0)+ROWS($2:26)-1))</f>
        <v>399</v>
      </c>
      <c r="L26">
        <f>IF(ROWS($2:26)&gt;COUNTIF(Maximum_RawData!$A:$A,"5_Maximum"),"",INDEX(Maximum_RawData!L:L,MATCH("5_Maximum",Maximum_RawData!$A:$A,0)+ROWS($2:26)-1))</f>
        <v>399</v>
      </c>
      <c r="M26">
        <f>IF(ROWS($2:26)&gt;COUNTIF(Maximum_RawData!$A:$A,"5_Maximum"),"",INDEX(Maximum_RawData!M:M,MATCH("5_Maximum",Maximum_RawData!$A:$A,0)+ROWS($2:26)-1))</f>
        <v>399</v>
      </c>
      <c r="N26">
        <f>IF(ROWS($2:26)&gt;COUNTIF(Maximum_RawData!$A:$A,"5_Maximum"),"",INDEX(Maximum_RawData!N:N,MATCH("5_Maximum",Maximum_RawData!$A:$A,0)+ROWS($2:26)-1))</f>
        <v>0.09</v>
      </c>
      <c r="O26">
        <f>IF(ROWS($2:26)&gt;COUNTIF(Maximum_RawData!$A:$A,"5_Maximum"),"",INDEX(Maximum_RawData!O:O,MATCH("5_Maximum",Maximum_RawData!$A:$A,0)+ROWS($2:26)-1))</f>
        <v>0.11</v>
      </c>
      <c r="P26">
        <f>IF(ROWS($2:26)&gt;COUNTIF(Maximum_RawData!$A:$A,"5_Maximum"),"",INDEX(Maximum_RawData!P:P,MATCH("5_Maximum",Maximum_RawData!$A:$A,0)+ROWS($2:26)-1))</f>
        <v>0.08</v>
      </c>
      <c r="Q26">
        <f>IF(ROWS($2:26)&gt;COUNTIF(Maximum_RawData!$A:$A,"5_Maximum"),"",INDEX(Maximum_RawData!Q:Q,MATCH("5_Maximum",Maximum_RawData!$A:$A,0)+ROWS($2:26)-1))</f>
        <v>0.1</v>
      </c>
      <c r="R26" t="str">
        <f>IF(ROWS($2:26)&gt;COUNTIF(Maximum_RawData!$A:$A,"5_Maximum"),"",INDEX(Maximum_RawData!R:R,MATCH("5_Maximum",Maximum_RawData!$A:$A,0)+ROWS($2:26)-1))</f>
        <v>Pass</v>
      </c>
      <c r="S26">
        <f>IF(ROWS($2:26)&gt;COUNTIF(Maximum_RawData!$A:$A,"5_Maximum"),"",INDEX(Maximum_RawData!S:S,MATCH("5_Maximum",Maximum_RawData!$A:$A,0)+ROWS($2:26)-1))</f>
        <v>0</v>
      </c>
      <c r="T26">
        <f>IF(ROWS($2:26)&gt;COUNTIF(Maximum_RawData!$A:$A,"5_Maximum"),"",INDEX(Maximum_RawData!T:T,MATCH("5_Maximum",Maximum_RawData!$A:$A,0)+ROWS($2:26)-1))</f>
        <v>0</v>
      </c>
    </row>
    <row r="27" spans="1:20">
      <c r="A27" t="str">
        <f>IF(ROWS($2:27)&gt;COUNTIF(Maximum_RawData!$A:$A,"5_Maximum"),"",INDEX(Maximum_RawData!A:A,MATCH("5_Maximum",Maximum_RawData!$A:$A,0)+ROWS($2:27)-1))</f>
        <v>5_Maximum</v>
      </c>
      <c r="B27">
        <f>IF(ROWS($2:27)&gt;COUNTIF(Maximum_RawData!$A:$A,"5_Maximum"),"",INDEX(Maximum_RawData!B:B,MATCH("5_Maximum",Maximum_RawData!$A:$A,0)+ROWS($2:27)-1))</f>
        <v>145728.068</v>
      </c>
      <c r="C27">
        <f>IF(ROWS($2:27)&gt;COUNTIF(Maximum_RawData!$A:$A,"5_Maximum"),"",INDEX(Maximum_RawData!C:C,MATCH("5_Maximum",Maximum_RawData!$A:$A,0)+ROWS($2:27)-1))</f>
        <v>51.12</v>
      </c>
      <c r="D27">
        <f>IF(ROWS($2:27)&gt;COUNTIF(Maximum_RawData!$A:$A,"5_Maximum"),"",INDEX(Maximum_RawData!D:D,MATCH("5_Maximum",Maximum_RawData!$A:$A,0)+ROWS($2:27)-1))</f>
        <v>1312.8620000000001</v>
      </c>
      <c r="E27">
        <f>IF(ROWS($2:27)&gt;COUNTIF(Maximum_RawData!$A:$A,"5_Maximum"),"",INDEX(Maximum_RawData!E:E,MATCH("5_Maximum",Maximum_RawData!$A:$A,0)+ROWS($2:27)-1))</f>
        <v>7.13</v>
      </c>
      <c r="F27">
        <f>IF(ROWS($2:27)&gt;COUNTIF(Maximum_RawData!$A:$A,"5_Maximum"),"",INDEX(Maximum_RawData!F:F,MATCH("5_Maximum",Maximum_RawData!$A:$A,0)+ROWS($2:27)-1))</f>
        <v>399</v>
      </c>
      <c r="G27">
        <f>IF(ROWS($2:27)&gt;COUNTIF(Maximum_RawData!$A:$A,"5_Maximum"),"",INDEX(Maximum_RawData!G:G,MATCH("5_Maximum",Maximum_RawData!$A:$A,0)+ROWS($2:27)-1))</f>
        <v>399</v>
      </c>
      <c r="H27">
        <f>IF(ROWS($2:27)&gt;COUNTIF(Maximum_RawData!$A:$A,"5_Maximum"),"",INDEX(Maximum_RawData!H:H,MATCH("5_Maximum",Maximum_RawData!$A:$A,0)+ROWS($2:27)-1))</f>
        <v>399</v>
      </c>
      <c r="I27">
        <f>IF(ROWS($2:27)&gt;COUNTIF(Maximum_RawData!$A:$A,"5_Maximum"),"",INDEX(Maximum_RawData!I:I,MATCH("5_Maximum",Maximum_RawData!$A:$A,0)+ROWS($2:27)-1))</f>
        <v>399</v>
      </c>
      <c r="J27">
        <f>IF(ROWS($2:27)&gt;COUNTIF(Maximum_RawData!$A:$A,"5_Maximum"),"",INDEX(Maximum_RawData!J:J,MATCH("5_Maximum",Maximum_RawData!$A:$A,0)+ROWS($2:27)-1))</f>
        <v>399</v>
      </c>
      <c r="K27">
        <f>IF(ROWS($2:27)&gt;COUNTIF(Maximum_RawData!$A:$A,"5_Maximum"),"",INDEX(Maximum_RawData!K:K,MATCH("5_Maximum",Maximum_RawData!$A:$A,0)+ROWS($2:27)-1))</f>
        <v>399</v>
      </c>
      <c r="L27">
        <f>IF(ROWS($2:27)&gt;COUNTIF(Maximum_RawData!$A:$A,"5_Maximum"),"",INDEX(Maximum_RawData!L:L,MATCH("5_Maximum",Maximum_RawData!$A:$A,0)+ROWS($2:27)-1))</f>
        <v>399</v>
      </c>
      <c r="M27">
        <f>IF(ROWS($2:27)&gt;COUNTIF(Maximum_RawData!$A:$A,"5_Maximum"),"",INDEX(Maximum_RawData!M:M,MATCH("5_Maximum",Maximum_RawData!$A:$A,0)+ROWS($2:27)-1))</f>
        <v>399</v>
      </c>
      <c r="N27">
        <f>IF(ROWS($2:27)&gt;COUNTIF(Maximum_RawData!$A:$A,"5_Maximum"),"",INDEX(Maximum_RawData!N:N,MATCH("5_Maximum",Maximum_RawData!$A:$A,0)+ROWS($2:27)-1))</f>
        <v>0.11</v>
      </c>
      <c r="O27">
        <f>IF(ROWS($2:27)&gt;COUNTIF(Maximum_RawData!$A:$A,"5_Maximum"),"",INDEX(Maximum_RawData!O:O,MATCH("5_Maximum",Maximum_RawData!$A:$A,0)+ROWS($2:27)-1))</f>
        <v>0.11</v>
      </c>
      <c r="P27">
        <f>IF(ROWS($2:27)&gt;COUNTIF(Maximum_RawData!$A:$A,"5_Maximum"),"",INDEX(Maximum_RawData!P:P,MATCH("5_Maximum",Maximum_RawData!$A:$A,0)+ROWS($2:27)-1))</f>
        <v>0.08</v>
      </c>
      <c r="Q27">
        <f>IF(ROWS($2:27)&gt;COUNTIF(Maximum_RawData!$A:$A,"5_Maximum"),"",INDEX(Maximum_RawData!Q:Q,MATCH("5_Maximum",Maximum_RawData!$A:$A,0)+ROWS($2:27)-1))</f>
        <v>0.1</v>
      </c>
      <c r="R27" t="str">
        <f>IF(ROWS($2:27)&gt;COUNTIF(Maximum_RawData!$A:$A,"5_Maximum"),"",INDEX(Maximum_RawData!R:R,MATCH("5_Maximum",Maximum_RawData!$A:$A,0)+ROWS($2:27)-1))</f>
        <v>Pass</v>
      </c>
      <c r="S27">
        <f>IF(ROWS($2:27)&gt;COUNTIF(Maximum_RawData!$A:$A,"5_Maximum"),"",INDEX(Maximum_RawData!S:S,MATCH("5_Maximum",Maximum_RawData!$A:$A,0)+ROWS($2:27)-1))</f>
        <v>0</v>
      </c>
      <c r="T27">
        <f>IF(ROWS($2:27)&gt;COUNTIF(Maximum_RawData!$A:$A,"5_Maximum"),"",INDEX(Maximum_RawData!T:T,MATCH("5_Maximum",Maximum_RawData!$A:$A,0)+ROWS($2:27)-1))</f>
        <v>0</v>
      </c>
    </row>
    <row r="28" spans="1:20">
      <c r="A28" t="str">
        <f>IF(ROWS($2:28)&gt;COUNTIF(Maximum_RawData!$A:$A,"5_Maximum"),"",INDEX(Maximum_RawData!A:A,MATCH("5_Maximum",Maximum_RawData!$A:$A,0)+ROWS($2:28)-1))</f>
        <v>5_Maximum</v>
      </c>
      <c r="B28">
        <f>IF(ROWS($2:28)&gt;COUNTIF(Maximum_RawData!$A:$A,"5_Maximum"),"",INDEX(Maximum_RawData!B:B,MATCH("5_Maximum",Maximum_RawData!$A:$A,0)+ROWS($2:28)-1))</f>
        <v>145733.071</v>
      </c>
      <c r="C28">
        <f>IF(ROWS($2:28)&gt;COUNTIF(Maximum_RawData!$A:$A,"5_Maximum"),"",INDEX(Maximum_RawData!C:C,MATCH("5_Maximum",Maximum_RawData!$A:$A,0)+ROWS($2:28)-1))</f>
        <v>50.38</v>
      </c>
      <c r="D28">
        <f>IF(ROWS($2:28)&gt;COUNTIF(Maximum_RawData!$A:$A,"5_Maximum"),"",INDEX(Maximum_RawData!D:D,MATCH("5_Maximum",Maximum_RawData!$A:$A,0)+ROWS($2:28)-1))</f>
        <v>1312.798</v>
      </c>
      <c r="E28">
        <f>IF(ROWS($2:28)&gt;COUNTIF(Maximum_RawData!$A:$A,"5_Maximum"),"",INDEX(Maximum_RawData!E:E,MATCH("5_Maximum",Maximum_RawData!$A:$A,0)+ROWS($2:28)-1))</f>
        <v>7.3</v>
      </c>
      <c r="F28">
        <f>IF(ROWS($2:28)&gt;COUNTIF(Maximum_RawData!$A:$A,"5_Maximum"),"",INDEX(Maximum_RawData!F:F,MATCH("5_Maximum",Maximum_RawData!$A:$A,0)+ROWS($2:28)-1))</f>
        <v>399</v>
      </c>
      <c r="G28">
        <f>IF(ROWS($2:28)&gt;COUNTIF(Maximum_RawData!$A:$A,"5_Maximum"),"",INDEX(Maximum_RawData!G:G,MATCH("5_Maximum",Maximum_RawData!$A:$A,0)+ROWS($2:28)-1))</f>
        <v>399</v>
      </c>
      <c r="H28">
        <f>IF(ROWS($2:28)&gt;COUNTIF(Maximum_RawData!$A:$A,"5_Maximum"),"",INDEX(Maximum_RawData!H:H,MATCH("5_Maximum",Maximum_RawData!$A:$A,0)+ROWS($2:28)-1))</f>
        <v>399</v>
      </c>
      <c r="I28">
        <f>IF(ROWS($2:28)&gt;COUNTIF(Maximum_RawData!$A:$A,"5_Maximum"),"",INDEX(Maximum_RawData!I:I,MATCH("5_Maximum",Maximum_RawData!$A:$A,0)+ROWS($2:28)-1))</f>
        <v>399</v>
      </c>
      <c r="J28">
        <f>IF(ROWS($2:28)&gt;COUNTIF(Maximum_RawData!$A:$A,"5_Maximum"),"",INDEX(Maximum_RawData!J:J,MATCH("5_Maximum",Maximum_RawData!$A:$A,0)+ROWS($2:28)-1))</f>
        <v>399</v>
      </c>
      <c r="K28">
        <f>IF(ROWS($2:28)&gt;COUNTIF(Maximum_RawData!$A:$A,"5_Maximum"),"",INDEX(Maximum_RawData!K:K,MATCH("5_Maximum",Maximum_RawData!$A:$A,0)+ROWS($2:28)-1))</f>
        <v>399</v>
      </c>
      <c r="L28">
        <f>IF(ROWS($2:28)&gt;COUNTIF(Maximum_RawData!$A:$A,"5_Maximum"),"",INDEX(Maximum_RawData!L:L,MATCH("5_Maximum",Maximum_RawData!$A:$A,0)+ROWS($2:28)-1))</f>
        <v>399</v>
      </c>
      <c r="M28">
        <f>IF(ROWS($2:28)&gt;COUNTIF(Maximum_RawData!$A:$A,"5_Maximum"),"",INDEX(Maximum_RawData!M:M,MATCH("5_Maximum",Maximum_RawData!$A:$A,0)+ROWS($2:28)-1))</f>
        <v>399</v>
      </c>
      <c r="N28">
        <f>IF(ROWS($2:28)&gt;COUNTIF(Maximum_RawData!$A:$A,"5_Maximum"),"",INDEX(Maximum_RawData!N:N,MATCH("5_Maximum",Maximum_RawData!$A:$A,0)+ROWS($2:28)-1))</f>
        <v>0.09</v>
      </c>
      <c r="O28">
        <f>IF(ROWS($2:28)&gt;COUNTIF(Maximum_RawData!$A:$A,"5_Maximum"),"",INDEX(Maximum_RawData!O:O,MATCH("5_Maximum",Maximum_RawData!$A:$A,0)+ROWS($2:28)-1))</f>
        <v>0.11</v>
      </c>
      <c r="P28">
        <f>IF(ROWS($2:28)&gt;COUNTIF(Maximum_RawData!$A:$A,"5_Maximum"),"",INDEX(Maximum_RawData!P:P,MATCH("5_Maximum",Maximum_RawData!$A:$A,0)+ROWS($2:28)-1))</f>
        <v>0.08</v>
      </c>
      <c r="Q28">
        <f>IF(ROWS($2:28)&gt;COUNTIF(Maximum_RawData!$A:$A,"5_Maximum"),"",INDEX(Maximum_RawData!Q:Q,MATCH("5_Maximum",Maximum_RawData!$A:$A,0)+ROWS($2:28)-1))</f>
        <v>0.1</v>
      </c>
      <c r="R28" t="str">
        <f>IF(ROWS($2:28)&gt;COUNTIF(Maximum_RawData!$A:$A,"5_Maximum"),"",INDEX(Maximum_RawData!R:R,MATCH("5_Maximum",Maximum_RawData!$A:$A,0)+ROWS($2:28)-1))</f>
        <v>Pass</v>
      </c>
      <c r="S28">
        <f>IF(ROWS($2:28)&gt;COUNTIF(Maximum_RawData!$A:$A,"5_Maximum"),"",INDEX(Maximum_RawData!S:S,MATCH("5_Maximum",Maximum_RawData!$A:$A,0)+ROWS($2:28)-1))</f>
        <v>0</v>
      </c>
      <c r="T28">
        <f>IF(ROWS($2:28)&gt;COUNTIF(Maximum_RawData!$A:$A,"5_Maximum"),"",INDEX(Maximum_RawData!T:T,MATCH("5_Maximum",Maximum_RawData!$A:$A,0)+ROWS($2:28)-1))</f>
        <v>0</v>
      </c>
    </row>
    <row r="29" spans="1:20">
      <c r="A29" t="str">
        <f>IF(ROWS($2:29)&gt;COUNTIF(Maximum_RawData!$A:$A,"5_Maximum"),"",INDEX(Maximum_RawData!A:A,MATCH("5_Maximum",Maximum_RawData!$A:$A,0)+ROWS($2:29)-1))</f>
        <v>5_Maximum</v>
      </c>
      <c r="B29">
        <f>IF(ROWS($2:29)&gt;COUNTIF(Maximum_RawData!$A:$A,"5_Maximum"),"",INDEX(Maximum_RawData!B:B,MATCH("5_Maximum",Maximum_RawData!$A:$A,0)+ROWS($2:29)-1))</f>
        <v>145738.07500000001</v>
      </c>
      <c r="C29">
        <f>IF(ROWS($2:29)&gt;COUNTIF(Maximum_RawData!$A:$A,"5_Maximum"),"",INDEX(Maximum_RawData!C:C,MATCH("5_Maximum",Maximum_RawData!$A:$A,0)+ROWS($2:29)-1))</f>
        <v>49.64</v>
      </c>
      <c r="D29">
        <f>IF(ROWS($2:29)&gt;COUNTIF(Maximum_RawData!$A:$A,"5_Maximum"),"",INDEX(Maximum_RawData!D:D,MATCH("5_Maximum",Maximum_RawData!$A:$A,0)+ROWS($2:29)-1))</f>
        <v>1312.7260000000001</v>
      </c>
      <c r="E29">
        <f>IF(ROWS($2:29)&gt;COUNTIF(Maximum_RawData!$A:$A,"5_Maximum"),"",INDEX(Maximum_RawData!E:E,MATCH("5_Maximum",Maximum_RawData!$A:$A,0)+ROWS($2:29)-1))</f>
        <v>7.41</v>
      </c>
      <c r="F29">
        <f>IF(ROWS($2:29)&gt;COUNTIF(Maximum_RawData!$A:$A,"5_Maximum"),"",INDEX(Maximum_RawData!F:F,MATCH("5_Maximum",Maximum_RawData!$A:$A,0)+ROWS($2:29)-1))</f>
        <v>399</v>
      </c>
      <c r="G29">
        <f>IF(ROWS($2:29)&gt;COUNTIF(Maximum_RawData!$A:$A,"5_Maximum"),"",INDEX(Maximum_RawData!G:G,MATCH("5_Maximum",Maximum_RawData!$A:$A,0)+ROWS($2:29)-1))</f>
        <v>399</v>
      </c>
      <c r="H29">
        <f>IF(ROWS($2:29)&gt;COUNTIF(Maximum_RawData!$A:$A,"5_Maximum"),"",INDEX(Maximum_RawData!H:H,MATCH("5_Maximum",Maximum_RawData!$A:$A,0)+ROWS($2:29)-1))</f>
        <v>399</v>
      </c>
      <c r="I29">
        <f>IF(ROWS($2:29)&gt;COUNTIF(Maximum_RawData!$A:$A,"5_Maximum"),"",INDEX(Maximum_RawData!I:I,MATCH("5_Maximum",Maximum_RawData!$A:$A,0)+ROWS($2:29)-1))</f>
        <v>399</v>
      </c>
      <c r="J29">
        <f>IF(ROWS($2:29)&gt;COUNTIF(Maximum_RawData!$A:$A,"5_Maximum"),"",INDEX(Maximum_RawData!J:J,MATCH("5_Maximum",Maximum_RawData!$A:$A,0)+ROWS($2:29)-1))</f>
        <v>399</v>
      </c>
      <c r="K29">
        <f>IF(ROWS($2:29)&gt;COUNTIF(Maximum_RawData!$A:$A,"5_Maximum"),"",INDEX(Maximum_RawData!K:K,MATCH("5_Maximum",Maximum_RawData!$A:$A,0)+ROWS($2:29)-1))</f>
        <v>399</v>
      </c>
      <c r="L29">
        <f>IF(ROWS($2:29)&gt;COUNTIF(Maximum_RawData!$A:$A,"5_Maximum"),"",INDEX(Maximum_RawData!L:L,MATCH("5_Maximum",Maximum_RawData!$A:$A,0)+ROWS($2:29)-1))</f>
        <v>399</v>
      </c>
      <c r="M29">
        <f>IF(ROWS($2:29)&gt;COUNTIF(Maximum_RawData!$A:$A,"5_Maximum"),"",INDEX(Maximum_RawData!M:M,MATCH("5_Maximum",Maximum_RawData!$A:$A,0)+ROWS($2:29)-1))</f>
        <v>399</v>
      </c>
      <c r="N29">
        <f>IF(ROWS($2:29)&gt;COUNTIF(Maximum_RawData!$A:$A,"5_Maximum"),"",INDEX(Maximum_RawData!N:N,MATCH("5_Maximum",Maximum_RawData!$A:$A,0)+ROWS($2:29)-1))</f>
        <v>0.1</v>
      </c>
      <c r="O29">
        <f>IF(ROWS($2:29)&gt;COUNTIF(Maximum_RawData!$A:$A,"5_Maximum"),"",INDEX(Maximum_RawData!O:O,MATCH("5_Maximum",Maximum_RawData!$A:$A,0)+ROWS($2:29)-1))</f>
        <v>0.11</v>
      </c>
      <c r="P29">
        <f>IF(ROWS($2:29)&gt;COUNTIF(Maximum_RawData!$A:$A,"5_Maximum"),"",INDEX(Maximum_RawData!P:P,MATCH("5_Maximum",Maximum_RawData!$A:$A,0)+ROWS($2:29)-1))</f>
        <v>0.08</v>
      </c>
      <c r="Q29">
        <f>IF(ROWS($2:29)&gt;COUNTIF(Maximum_RawData!$A:$A,"5_Maximum"),"",INDEX(Maximum_RawData!Q:Q,MATCH("5_Maximum",Maximum_RawData!$A:$A,0)+ROWS($2:29)-1))</f>
        <v>0.1</v>
      </c>
      <c r="R29" t="str">
        <f>IF(ROWS($2:29)&gt;COUNTIF(Maximum_RawData!$A:$A,"5_Maximum"),"",INDEX(Maximum_RawData!R:R,MATCH("5_Maximum",Maximum_RawData!$A:$A,0)+ROWS($2:29)-1))</f>
        <v>Pass</v>
      </c>
      <c r="S29">
        <f>IF(ROWS($2:29)&gt;COUNTIF(Maximum_RawData!$A:$A,"5_Maximum"),"",INDEX(Maximum_RawData!S:S,MATCH("5_Maximum",Maximum_RawData!$A:$A,0)+ROWS($2:29)-1))</f>
        <v>0</v>
      </c>
      <c r="T29">
        <f>IF(ROWS($2:29)&gt;COUNTIF(Maximum_RawData!$A:$A,"5_Maximum"),"",INDEX(Maximum_RawData!T:T,MATCH("5_Maximum",Maximum_RawData!$A:$A,0)+ROWS($2:29)-1))</f>
        <v>0</v>
      </c>
    </row>
    <row r="30" spans="1:20">
      <c r="A30" t="str">
        <f>IF(ROWS($2:30)&gt;COUNTIF(Maximum_RawData!$A:$A,"5_Maximum"),"",INDEX(Maximum_RawData!A:A,MATCH("5_Maximum",Maximum_RawData!$A:$A,0)+ROWS($2:30)-1))</f>
        <v>5_Maximum</v>
      </c>
      <c r="B30">
        <f>IF(ROWS($2:30)&gt;COUNTIF(Maximum_RawData!$A:$A,"5_Maximum"),"",INDEX(Maximum_RawData!B:B,MATCH("5_Maximum",Maximum_RawData!$A:$A,0)+ROWS($2:30)-1))</f>
        <v>145743.07500000001</v>
      </c>
      <c r="C30">
        <f>IF(ROWS($2:30)&gt;COUNTIF(Maximum_RawData!$A:$A,"5_Maximum"),"",INDEX(Maximum_RawData!C:C,MATCH("5_Maximum",Maximum_RawData!$A:$A,0)+ROWS($2:30)-1))</f>
        <v>48.91</v>
      </c>
      <c r="D30">
        <f>IF(ROWS($2:30)&gt;COUNTIF(Maximum_RawData!$A:$A,"5_Maximum"),"",INDEX(Maximum_RawData!D:D,MATCH("5_Maximum",Maximum_RawData!$A:$A,0)+ROWS($2:30)-1))</f>
        <v>1312.653</v>
      </c>
      <c r="E30">
        <f>IF(ROWS($2:30)&gt;COUNTIF(Maximum_RawData!$A:$A,"5_Maximum"),"",INDEX(Maximum_RawData!E:E,MATCH("5_Maximum",Maximum_RawData!$A:$A,0)+ROWS($2:30)-1))</f>
        <v>6.73</v>
      </c>
      <c r="F30">
        <f>IF(ROWS($2:30)&gt;COUNTIF(Maximum_RawData!$A:$A,"5_Maximum"),"",INDEX(Maximum_RawData!F:F,MATCH("5_Maximum",Maximum_RawData!$A:$A,0)+ROWS($2:30)-1))</f>
        <v>399</v>
      </c>
      <c r="G30">
        <f>IF(ROWS($2:30)&gt;COUNTIF(Maximum_RawData!$A:$A,"5_Maximum"),"",INDEX(Maximum_RawData!G:G,MATCH("5_Maximum",Maximum_RawData!$A:$A,0)+ROWS($2:30)-1))</f>
        <v>399</v>
      </c>
      <c r="H30">
        <f>IF(ROWS($2:30)&gt;COUNTIF(Maximum_RawData!$A:$A,"5_Maximum"),"",INDEX(Maximum_RawData!H:H,MATCH("5_Maximum",Maximum_RawData!$A:$A,0)+ROWS($2:30)-1))</f>
        <v>399</v>
      </c>
      <c r="I30">
        <f>IF(ROWS($2:30)&gt;COUNTIF(Maximum_RawData!$A:$A,"5_Maximum"),"",INDEX(Maximum_RawData!I:I,MATCH("5_Maximum",Maximum_RawData!$A:$A,0)+ROWS($2:30)-1))</f>
        <v>399</v>
      </c>
      <c r="J30">
        <f>IF(ROWS($2:30)&gt;COUNTIF(Maximum_RawData!$A:$A,"5_Maximum"),"",INDEX(Maximum_RawData!J:J,MATCH("5_Maximum",Maximum_RawData!$A:$A,0)+ROWS($2:30)-1))</f>
        <v>399</v>
      </c>
      <c r="K30">
        <f>IF(ROWS($2:30)&gt;COUNTIF(Maximum_RawData!$A:$A,"5_Maximum"),"",INDEX(Maximum_RawData!K:K,MATCH("5_Maximum",Maximum_RawData!$A:$A,0)+ROWS($2:30)-1))</f>
        <v>399</v>
      </c>
      <c r="L30">
        <f>IF(ROWS($2:30)&gt;COUNTIF(Maximum_RawData!$A:$A,"5_Maximum"),"",INDEX(Maximum_RawData!L:L,MATCH("5_Maximum",Maximum_RawData!$A:$A,0)+ROWS($2:30)-1))</f>
        <v>399</v>
      </c>
      <c r="M30">
        <f>IF(ROWS($2:30)&gt;COUNTIF(Maximum_RawData!$A:$A,"5_Maximum"),"",INDEX(Maximum_RawData!M:M,MATCH("5_Maximum",Maximum_RawData!$A:$A,0)+ROWS($2:30)-1))</f>
        <v>399</v>
      </c>
      <c r="N30">
        <f>IF(ROWS($2:30)&gt;COUNTIF(Maximum_RawData!$A:$A,"5_Maximum"),"",INDEX(Maximum_RawData!N:N,MATCH("5_Maximum",Maximum_RawData!$A:$A,0)+ROWS($2:30)-1))</f>
        <v>0.1</v>
      </c>
      <c r="O30">
        <f>IF(ROWS($2:30)&gt;COUNTIF(Maximum_RawData!$A:$A,"5_Maximum"),"",INDEX(Maximum_RawData!O:O,MATCH("5_Maximum",Maximum_RawData!$A:$A,0)+ROWS($2:30)-1))</f>
        <v>0.11</v>
      </c>
      <c r="P30">
        <f>IF(ROWS($2:30)&gt;COUNTIF(Maximum_RawData!$A:$A,"5_Maximum"),"",INDEX(Maximum_RawData!P:P,MATCH("5_Maximum",Maximum_RawData!$A:$A,0)+ROWS($2:30)-1))</f>
        <v>0.08</v>
      </c>
      <c r="Q30">
        <f>IF(ROWS($2:30)&gt;COUNTIF(Maximum_RawData!$A:$A,"5_Maximum"),"",INDEX(Maximum_RawData!Q:Q,MATCH("5_Maximum",Maximum_RawData!$A:$A,0)+ROWS($2:30)-1))</f>
        <v>0.1</v>
      </c>
      <c r="R30" t="str">
        <f>IF(ROWS($2:30)&gt;COUNTIF(Maximum_RawData!$A:$A,"5_Maximum"),"",INDEX(Maximum_RawData!R:R,MATCH("5_Maximum",Maximum_RawData!$A:$A,0)+ROWS($2:30)-1))</f>
        <v>Pass</v>
      </c>
      <c r="S30">
        <f>IF(ROWS($2:30)&gt;COUNTIF(Maximum_RawData!$A:$A,"5_Maximum"),"",INDEX(Maximum_RawData!S:S,MATCH("5_Maximum",Maximum_RawData!$A:$A,0)+ROWS($2:30)-1))</f>
        <v>0</v>
      </c>
      <c r="T30">
        <f>IF(ROWS($2:30)&gt;COUNTIF(Maximum_RawData!$A:$A,"5_Maximum"),"",INDEX(Maximum_RawData!T:T,MATCH("5_Maximum",Maximum_RawData!$A:$A,0)+ROWS($2:30)-1))</f>
        <v>0</v>
      </c>
    </row>
    <row r="31" spans="1:20">
      <c r="A31" t="str">
        <f>IF(ROWS($2:31)&gt;COUNTIF(Maximum_RawData!$A:$A,"5_Maximum"),"",INDEX(Maximum_RawData!A:A,MATCH("5_Maximum",Maximum_RawData!$A:$A,0)+ROWS($2:31)-1))</f>
        <v>5_Maximum</v>
      </c>
      <c r="B31">
        <f>IF(ROWS($2:31)&gt;COUNTIF(Maximum_RawData!$A:$A,"5_Maximum"),"",INDEX(Maximum_RawData!B:B,MATCH("5_Maximum",Maximum_RawData!$A:$A,0)+ROWS($2:31)-1))</f>
        <v>145748.07199999999</v>
      </c>
      <c r="C31">
        <f>IF(ROWS($2:31)&gt;COUNTIF(Maximum_RawData!$A:$A,"5_Maximum"),"",INDEX(Maximum_RawData!C:C,MATCH("5_Maximum",Maximum_RawData!$A:$A,0)+ROWS($2:31)-1))</f>
        <v>48.15</v>
      </c>
      <c r="D31">
        <f>IF(ROWS($2:31)&gt;COUNTIF(Maximum_RawData!$A:$A,"5_Maximum"),"",INDEX(Maximum_RawData!D:D,MATCH("5_Maximum",Maximum_RawData!$A:$A,0)+ROWS($2:31)-1))</f>
        <v>1312.5820000000001</v>
      </c>
      <c r="E31">
        <f>IF(ROWS($2:31)&gt;COUNTIF(Maximum_RawData!$A:$A,"5_Maximum"),"",INDEX(Maximum_RawData!E:E,MATCH("5_Maximum",Maximum_RawData!$A:$A,0)+ROWS($2:31)-1))</f>
        <v>6.91</v>
      </c>
      <c r="F31">
        <f>IF(ROWS($2:31)&gt;COUNTIF(Maximum_RawData!$A:$A,"5_Maximum"),"",INDEX(Maximum_RawData!F:F,MATCH("5_Maximum",Maximum_RawData!$A:$A,0)+ROWS($2:31)-1))</f>
        <v>399</v>
      </c>
      <c r="G31">
        <f>IF(ROWS($2:31)&gt;COUNTIF(Maximum_RawData!$A:$A,"5_Maximum"),"",INDEX(Maximum_RawData!G:G,MATCH("5_Maximum",Maximum_RawData!$A:$A,0)+ROWS($2:31)-1))</f>
        <v>399</v>
      </c>
      <c r="H31">
        <f>IF(ROWS($2:31)&gt;COUNTIF(Maximum_RawData!$A:$A,"5_Maximum"),"",INDEX(Maximum_RawData!H:H,MATCH("5_Maximum",Maximum_RawData!$A:$A,0)+ROWS($2:31)-1))</f>
        <v>399</v>
      </c>
      <c r="I31">
        <f>IF(ROWS($2:31)&gt;COUNTIF(Maximum_RawData!$A:$A,"5_Maximum"),"",INDEX(Maximum_RawData!I:I,MATCH("5_Maximum",Maximum_RawData!$A:$A,0)+ROWS($2:31)-1))</f>
        <v>399</v>
      </c>
      <c r="J31">
        <f>IF(ROWS($2:31)&gt;COUNTIF(Maximum_RawData!$A:$A,"5_Maximum"),"",INDEX(Maximum_RawData!J:J,MATCH("5_Maximum",Maximum_RawData!$A:$A,0)+ROWS($2:31)-1))</f>
        <v>399</v>
      </c>
      <c r="K31">
        <f>IF(ROWS($2:31)&gt;COUNTIF(Maximum_RawData!$A:$A,"5_Maximum"),"",INDEX(Maximum_RawData!K:K,MATCH("5_Maximum",Maximum_RawData!$A:$A,0)+ROWS($2:31)-1))</f>
        <v>399</v>
      </c>
      <c r="L31">
        <f>IF(ROWS($2:31)&gt;COUNTIF(Maximum_RawData!$A:$A,"5_Maximum"),"",INDEX(Maximum_RawData!L:L,MATCH("5_Maximum",Maximum_RawData!$A:$A,0)+ROWS($2:31)-1))</f>
        <v>399</v>
      </c>
      <c r="M31">
        <f>IF(ROWS($2:31)&gt;COUNTIF(Maximum_RawData!$A:$A,"5_Maximum"),"",INDEX(Maximum_RawData!M:M,MATCH("5_Maximum",Maximum_RawData!$A:$A,0)+ROWS($2:31)-1))</f>
        <v>399</v>
      </c>
      <c r="N31">
        <f>IF(ROWS($2:31)&gt;COUNTIF(Maximum_RawData!$A:$A,"5_Maximum"),"",INDEX(Maximum_RawData!N:N,MATCH("5_Maximum",Maximum_RawData!$A:$A,0)+ROWS($2:31)-1))</f>
        <v>0.09</v>
      </c>
      <c r="O31">
        <f>IF(ROWS($2:31)&gt;COUNTIF(Maximum_RawData!$A:$A,"5_Maximum"),"",INDEX(Maximum_RawData!O:O,MATCH("5_Maximum",Maximum_RawData!$A:$A,0)+ROWS($2:31)-1))</f>
        <v>0.11</v>
      </c>
      <c r="P31">
        <f>IF(ROWS($2:31)&gt;COUNTIF(Maximum_RawData!$A:$A,"5_Maximum"),"",INDEX(Maximum_RawData!P:P,MATCH("5_Maximum",Maximum_RawData!$A:$A,0)+ROWS($2:31)-1))</f>
        <v>0.08</v>
      </c>
      <c r="Q31">
        <f>IF(ROWS($2:31)&gt;COUNTIF(Maximum_RawData!$A:$A,"5_Maximum"),"",INDEX(Maximum_RawData!Q:Q,MATCH("5_Maximum",Maximum_RawData!$A:$A,0)+ROWS($2:31)-1))</f>
        <v>0.1</v>
      </c>
      <c r="R31" t="str">
        <f>IF(ROWS($2:31)&gt;COUNTIF(Maximum_RawData!$A:$A,"5_Maximum"),"",INDEX(Maximum_RawData!R:R,MATCH("5_Maximum",Maximum_RawData!$A:$A,0)+ROWS($2:31)-1))</f>
        <v>Pass</v>
      </c>
      <c r="S31">
        <f>IF(ROWS($2:31)&gt;COUNTIF(Maximum_RawData!$A:$A,"5_Maximum"),"",INDEX(Maximum_RawData!S:S,MATCH("5_Maximum",Maximum_RawData!$A:$A,0)+ROWS($2:31)-1))</f>
        <v>0</v>
      </c>
      <c r="T31">
        <f>IF(ROWS($2:31)&gt;COUNTIF(Maximum_RawData!$A:$A,"5_Maximum"),"",INDEX(Maximum_RawData!T:T,MATCH("5_Maximum",Maximum_RawData!$A:$A,0)+ROWS($2:31)-1))</f>
        <v>0</v>
      </c>
    </row>
    <row r="32" spans="1:20">
      <c r="A32" t="str">
        <f>IF(ROWS($2:32)&gt;COUNTIF(Maximum_RawData!$A:$A,"5_Maximum"),"",INDEX(Maximum_RawData!A:A,MATCH("5_Maximum",Maximum_RawData!$A:$A,0)+ROWS($2:32)-1))</f>
        <v>5_Maximum</v>
      </c>
      <c r="B32">
        <f>IF(ROWS($2:32)&gt;COUNTIF(Maximum_RawData!$A:$A,"5_Maximum"),"",INDEX(Maximum_RawData!B:B,MATCH("5_Maximum",Maximum_RawData!$A:$A,0)+ROWS($2:32)-1))</f>
        <v>145753.07500000001</v>
      </c>
      <c r="C32">
        <f>IF(ROWS($2:32)&gt;COUNTIF(Maximum_RawData!$A:$A,"5_Maximum"),"",INDEX(Maximum_RawData!C:C,MATCH("5_Maximum",Maximum_RawData!$A:$A,0)+ROWS($2:32)-1))</f>
        <v>47.4</v>
      </c>
      <c r="D32">
        <f>IF(ROWS($2:32)&gt;COUNTIF(Maximum_RawData!$A:$A,"5_Maximum"),"",INDEX(Maximum_RawData!D:D,MATCH("5_Maximum",Maximum_RawData!$A:$A,0)+ROWS($2:32)-1))</f>
        <v>1312.501</v>
      </c>
      <c r="E32">
        <f>IF(ROWS($2:32)&gt;COUNTIF(Maximum_RawData!$A:$A,"5_Maximum"),"",INDEX(Maximum_RawData!E:E,MATCH("5_Maximum",Maximum_RawData!$A:$A,0)+ROWS($2:32)-1))</f>
        <v>7.18</v>
      </c>
      <c r="F32">
        <f>IF(ROWS($2:32)&gt;COUNTIF(Maximum_RawData!$A:$A,"5_Maximum"),"",INDEX(Maximum_RawData!F:F,MATCH("5_Maximum",Maximum_RawData!$A:$A,0)+ROWS($2:32)-1))</f>
        <v>399</v>
      </c>
      <c r="G32">
        <f>IF(ROWS($2:32)&gt;COUNTIF(Maximum_RawData!$A:$A,"5_Maximum"),"",INDEX(Maximum_RawData!G:G,MATCH("5_Maximum",Maximum_RawData!$A:$A,0)+ROWS($2:32)-1))</f>
        <v>399</v>
      </c>
      <c r="H32">
        <f>IF(ROWS($2:32)&gt;COUNTIF(Maximum_RawData!$A:$A,"5_Maximum"),"",INDEX(Maximum_RawData!H:H,MATCH("5_Maximum",Maximum_RawData!$A:$A,0)+ROWS($2:32)-1))</f>
        <v>399</v>
      </c>
      <c r="I32">
        <f>IF(ROWS($2:32)&gt;COUNTIF(Maximum_RawData!$A:$A,"5_Maximum"),"",INDEX(Maximum_RawData!I:I,MATCH("5_Maximum",Maximum_RawData!$A:$A,0)+ROWS($2:32)-1))</f>
        <v>399</v>
      </c>
      <c r="J32">
        <f>IF(ROWS($2:32)&gt;COUNTIF(Maximum_RawData!$A:$A,"5_Maximum"),"",INDEX(Maximum_RawData!J:J,MATCH("5_Maximum",Maximum_RawData!$A:$A,0)+ROWS($2:32)-1))</f>
        <v>399</v>
      </c>
      <c r="K32">
        <f>IF(ROWS($2:32)&gt;COUNTIF(Maximum_RawData!$A:$A,"5_Maximum"),"",INDEX(Maximum_RawData!K:K,MATCH("5_Maximum",Maximum_RawData!$A:$A,0)+ROWS($2:32)-1))</f>
        <v>399</v>
      </c>
      <c r="L32">
        <f>IF(ROWS($2:32)&gt;COUNTIF(Maximum_RawData!$A:$A,"5_Maximum"),"",INDEX(Maximum_RawData!L:L,MATCH("5_Maximum",Maximum_RawData!$A:$A,0)+ROWS($2:32)-1))</f>
        <v>399</v>
      </c>
      <c r="M32">
        <f>IF(ROWS($2:32)&gt;COUNTIF(Maximum_RawData!$A:$A,"5_Maximum"),"",INDEX(Maximum_RawData!M:M,MATCH("5_Maximum",Maximum_RawData!$A:$A,0)+ROWS($2:32)-1))</f>
        <v>399</v>
      </c>
      <c r="N32">
        <f>IF(ROWS($2:32)&gt;COUNTIF(Maximum_RawData!$A:$A,"5_Maximum"),"",INDEX(Maximum_RawData!N:N,MATCH("5_Maximum",Maximum_RawData!$A:$A,0)+ROWS($2:32)-1))</f>
        <v>0.11</v>
      </c>
      <c r="O32">
        <f>IF(ROWS($2:32)&gt;COUNTIF(Maximum_RawData!$A:$A,"5_Maximum"),"",INDEX(Maximum_RawData!O:O,MATCH("5_Maximum",Maximum_RawData!$A:$A,0)+ROWS($2:32)-1))</f>
        <v>0.11</v>
      </c>
      <c r="P32">
        <f>IF(ROWS($2:32)&gt;COUNTIF(Maximum_RawData!$A:$A,"5_Maximum"),"",INDEX(Maximum_RawData!P:P,MATCH("5_Maximum",Maximum_RawData!$A:$A,0)+ROWS($2:32)-1))</f>
        <v>0.08</v>
      </c>
      <c r="Q32">
        <f>IF(ROWS($2:32)&gt;COUNTIF(Maximum_RawData!$A:$A,"5_Maximum"),"",INDEX(Maximum_RawData!Q:Q,MATCH("5_Maximum",Maximum_RawData!$A:$A,0)+ROWS($2:32)-1))</f>
        <v>0.1</v>
      </c>
      <c r="R32" t="str">
        <f>IF(ROWS($2:32)&gt;COUNTIF(Maximum_RawData!$A:$A,"5_Maximum"),"",INDEX(Maximum_RawData!R:R,MATCH("5_Maximum",Maximum_RawData!$A:$A,0)+ROWS($2:32)-1))</f>
        <v>Pass</v>
      </c>
      <c r="S32">
        <f>IF(ROWS($2:32)&gt;COUNTIF(Maximum_RawData!$A:$A,"5_Maximum"),"",INDEX(Maximum_RawData!S:S,MATCH("5_Maximum",Maximum_RawData!$A:$A,0)+ROWS($2:32)-1))</f>
        <v>0</v>
      </c>
      <c r="T32">
        <f>IF(ROWS($2:32)&gt;COUNTIF(Maximum_RawData!$A:$A,"5_Maximum"),"",INDEX(Maximum_RawData!T:T,MATCH("5_Maximum",Maximum_RawData!$A:$A,0)+ROWS($2:32)-1))</f>
        <v>0</v>
      </c>
    </row>
    <row r="33" spans="1:20">
      <c r="A33" t="str">
        <f>IF(ROWS($2:33)&gt;COUNTIF(Maximum_RawData!$A:$A,"5_Maximum"),"",INDEX(Maximum_RawData!A:A,MATCH("5_Maximum",Maximum_RawData!$A:$A,0)+ROWS($2:33)-1))</f>
        <v>5_Maximum</v>
      </c>
      <c r="B33">
        <f>IF(ROWS($2:33)&gt;COUNTIF(Maximum_RawData!$A:$A,"5_Maximum"),"",INDEX(Maximum_RawData!B:B,MATCH("5_Maximum",Maximum_RawData!$A:$A,0)+ROWS($2:33)-1))</f>
        <v>145758.073</v>
      </c>
      <c r="C33">
        <f>IF(ROWS($2:33)&gt;COUNTIF(Maximum_RawData!$A:$A,"5_Maximum"),"",INDEX(Maximum_RawData!C:C,MATCH("5_Maximum",Maximum_RawData!$A:$A,0)+ROWS($2:33)-1))</f>
        <v>46.65</v>
      </c>
      <c r="D33">
        <f>IF(ROWS($2:33)&gt;COUNTIF(Maximum_RawData!$A:$A,"5_Maximum"),"",INDEX(Maximum_RawData!D:D,MATCH("5_Maximum",Maximum_RawData!$A:$A,0)+ROWS($2:33)-1))</f>
        <v>1312.4359999999999</v>
      </c>
      <c r="E33">
        <f>IF(ROWS($2:33)&gt;COUNTIF(Maximum_RawData!$A:$A,"5_Maximum"),"",INDEX(Maximum_RawData!E:E,MATCH("5_Maximum",Maximum_RawData!$A:$A,0)+ROWS($2:33)-1))</f>
        <v>7.28</v>
      </c>
      <c r="F33">
        <f>IF(ROWS($2:33)&gt;COUNTIF(Maximum_RawData!$A:$A,"5_Maximum"),"",INDEX(Maximum_RawData!F:F,MATCH("5_Maximum",Maximum_RawData!$A:$A,0)+ROWS($2:33)-1))</f>
        <v>399</v>
      </c>
      <c r="G33">
        <f>IF(ROWS($2:33)&gt;COUNTIF(Maximum_RawData!$A:$A,"5_Maximum"),"",INDEX(Maximum_RawData!G:G,MATCH("5_Maximum",Maximum_RawData!$A:$A,0)+ROWS($2:33)-1))</f>
        <v>399</v>
      </c>
      <c r="H33">
        <f>IF(ROWS($2:33)&gt;COUNTIF(Maximum_RawData!$A:$A,"5_Maximum"),"",INDEX(Maximum_RawData!H:H,MATCH("5_Maximum",Maximum_RawData!$A:$A,0)+ROWS($2:33)-1))</f>
        <v>399</v>
      </c>
      <c r="I33">
        <f>IF(ROWS($2:33)&gt;COUNTIF(Maximum_RawData!$A:$A,"5_Maximum"),"",INDEX(Maximum_RawData!I:I,MATCH("5_Maximum",Maximum_RawData!$A:$A,0)+ROWS($2:33)-1))</f>
        <v>399</v>
      </c>
      <c r="J33">
        <f>IF(ROWS($2:33)&gt;COUNTIF(Maximum_RawData!$A:$A,"5_Maximum"),"",INDEX(Maximum_RawData!J:J,MATCH("5_Maximum",Maximum_RawData!$A:$A,0)+ROWS($2:33)-1))</f>
        <v>399</v>
      </c>
      <c r="K33">
        <f>IF(ROWS($2:33)&gt;COUNTIF(Maximum_RawData!$A:$A,"5_Maximum"),"",INDEX(Maximum_RawData!K:K,MATCH("5_Maximum",Maximum_RawData!$A:$A,0)+ROWS($2:33)-1))</f>
        <v>399</v>
      </c>
      <c r="L33">
        <f>IF(ROWS($2:33)&gt;COUNTIF(Maximum_RawData!$A:$A,"5_Maximum"),"",INDEX(Maximum_RawData!L:L,MATCH("5_Maximum",Maximum_RawData!$A:$A,0)+ROWS($2:33)-1))</f>
        <v>399</v>
      </c>
      <c r="M33">
        <f>IF(ROWS($2:33)&gt;COUNTIF(Maximum_RawData!$A:$A,"5_Maximum"),"",INDEX(Maximum_RawData!M:M,MATCH("5_Maximum",Maximum_RawData!$A:$A,0)+ROWS($2:33)-1))</f>
        <v>399</v>
      </c>
      <c r="N33">
        <f>IF(ROWS($2:33)&gt;COUNTIF(Maximum_RawData!$A:$A,"5_Maximum"),"",INDEX(Maximum_RawData!N:N,MATCH("5_Maximum",Maximum_RawData!$A:$A,0)+ROWS($2:33)-1))</f>
        <v>0.09</v>
      </c>
      <c r="O33">
        <f>IF(ROWS($2:33)&gt;COUNTIF(Maximum_RawData!$A:$A,"5_Maximum"),"",INDEX(Maximum_RawData!O:O,MATCH("5_Maximum",Maximum_RawData!$A:$A,0)+ROWS($2:33)-1))</f>
        <v>0.11</v>
      </c>
      <c r="P33">
        <f>IF(ROWS($2:33)&gt;COUNTIF(Maximum_RawData!$A:$A,"5_Maximum"),"",INDEX(Maximum_RawData!P:P,MATCH("5_Maximum",Maximum_RawData!$A:$A,0)+ROWS($2:33)-1))</f>
        <v>0.08</v>
      </c>
      <c r="Q33">
        <f>IF(ROWS($2:33)&gt;COUNTIF(Maximum_RawData!$A:$A,"5_Maximum"),"",INDEX(Maximum_RawData!Q:Q,MATCH("5_Maximum",Maximum_RawData!$A:$A,0)+ROWS($2:33)-1))</f>
        <v>0.1</v>
      </c>
      <c r="R33" t="str">
        <f>IF(ROWS($2:33)&gt;COUNTIF(Maximum_RawData!$A:$A,"5_Maximum"),"",INDEX(Maximum_RawData!R:R,MATCH("5_Maximum",Maximum_RawData!$A:$A,0)+ROWS($2:33)-1))</f>
        <v>Pass</v>
      </c>
      <c r="S33">
        <f>IF(ROWS($2:33)&gt;COUNTIF(Maximum_RawData!$A:$A,"5_Maximum"),"",INDEX(Maximum_RawData!S:S,MATCH("5_Maximum",Maximum_RawData!$A:$A,0)+ROWS($2:33)-1))</f>
        <v>0</v>
      </c>
      <c r="T33">
        <f>IF(ROWS($2:33)&gt;COUNTIF(Maximum_RawData!$A:$A,"5_Maximum"),"",INDEX(Maximum_RawData!T:T,MATCH("5_Maximum",Maximum_RawData!$A:$A,0)+ROWS($2:33)-1))</f>
        <v>0</v>
      </c>
    </row>
    <row r="34" spans="1:20">
      <c r="A34" t="str">
        <f>IF(ROWS($2:34)&gt;COUNTIF(Maximum_RawData!$A:$A,"5_Maximum"),"",INDEX(Maximum_RawData!A:A,MATCH("5_Maximum",Maximum_RawData!$A:$A,0)+ROWS($2:34)-1))</f>
        <v>5_Maximum</v>
      </c>
      <c r="B34">
        <f>IF(ROWS($2:34)&gt;COUNTIF(Maximum_RawData!$A:$A,"5_Maximum"),"",INDEX(Maximum_RawData!B:B,MATCH("5_Maximum",Maximum_RawData!$A:$A,0)+ROWS($2:34)-1))</f>
        <v>145803.07</v>
      </c>
      <c r="C34">
        <f>IF(ROWS($2:34)&gt;COUNTIF(Maximum_RawData!$A:$A,"5_Maximum"),"",INDEX(Maximum_RawData!C:C,MATCH("5_Maximum",Maximum_RawData!$A:$A,0)+ROWS($2:34)-1))</f>
        <v>45.9</v>
      </c>
      <c r="D34">
        <f>IF(ROWS($2:34)&gt;COUNTIF(Maximum_RawData!$A:$A,"5_Maximum"),"",INDEX(Maximum_RawData!D:D,MATCH("5_Maximum",Maximum_RawData!$A:$A,0)+ROWS($2:34)-1))</f>
        <v>1312.3630000000001</v>
      </c>
      <c r="E34">
        <f>IF(ROWS($2:34)&gt;COUNTIF(Maximum_RawData!$A:$A,"5_Maximum"),"",INDEX(Maximum_RawData!E:E,MATCH("5_Maximum",Maximum_RawData!$A:$A,0)+ROWS($2:34)-1))</f>
        <v>7.53</v>
      </c>
      <c r="F34">
        <f>IF(ROWS($2:34)&gt;COUNTIF(Maximum_RawData!$A:$A,"5_Maximum"),"",INDEX(Maximum_RawData!F:F,MATCH("5_Maximum",Maximum_RawData!$A:$A,0)+ROWS($2:34)-1))</f>
        <v>399</v>
      </c>
      <c r="G34">
        <f>IF(ROWS($2:34)&gt;COUNTIF(Maximum_RawData!$A:$A,"5_Maximum"),"",INDEX(Maximum_RawData!G:G,MATCH("5_Maximum",Maximum_RawData!$A:$A,0)+ROWS($2:34)-1))</f>
        <v>399</v>
      </c>
      <c r="H34">
        <f>IF(ROWS($2:34)&gt;COUNTIF(Maximum_RawData!$A:$A,"5_Maximum"),"",INDEX(Maximum_RawData!H:H,MATCH("5_Maximum",Maximum_RawData!$A:$A,0)+ROWS($2:34)-1))</f>
        <v>399</v>
      </c>
      <c r="I34">
        <f>IF(ROWS($2:34)&gt;COUNTIF(Maximum_RawData!$A:$A,"5_Maximum"),"",INDEX(Maximum_RawData!I:I,MATCH("5_Maximum",Maximum_RawData!$A:$A,0)+ROWS($2:34)-1))</f>
        <v>399</v>
      </c>
      <c r="J34">
        <f>IF(ROWS($2:34)&gt;COUNTIF(Maximum_RawData!$A:$A,"5_Maximum"),"",INDEX(Maximum_RawData!J:J,MATCH("5_Maximum",Maximum_RawData!$A:$A,0)+ROWS($2:34)-1))</f>
        <v>399</v>
      </c>
      <c r="K34">
        <f>IF(ROWS($2:34)&gt;COUNTIF(Maximum_RawData!$A:$A,"5_Maximum"),"",INDEX(Maximum_RawData!K:K,MATCH("5_Maximum",Maximum_RawData!$A:$A,0)+ROWS($2:34)-1))</f>
        <v>399</v>
      </c>
      <c r="L34">
        <f>IF(ROWS($2:34)&gt;COUNTIF(Maximum_RawData!$A:$A,"5_Maximum"),"",INDEX(Maximum_RawData!L:L,MATCH("5_Maximum",Maximum_RawData!$A:$A,0)+ROWS($2:34)-1))</f>
        <v>399</v>
      </c>
      <c r="M34">
        <f>IF(ROWS($2:34)&gt;COUNTIF(Maximum_RawData!$A:$A,"5_Maximum"),"",INDEX(Maximum_RawData!M:M,MATCH("5_Maximum",Maximum_RawData!$A:$A,0)+ROWS($2:34)-1))</f>
        <v>399</v>
      </c>
      <c r="N34">
        <f>IF(ROWS($2:34)&gt;COUNTIF(Maximum_RawData!$A:$A,"5_Maximum"),"",INDEX(Maximum_RawData!N:N,MATCH("5_Maximum",Maximum_RawData!$A:$A,0)+ROWS($2:34)-1))</f>
        <v>0.1</v>
      </c>
      <c r="O34">
        <f>IF(ROWS($2:34)&gt;COUNTIF(Maximum_RawData!$A:$A,"5_Maximum"),"",INDEX(Maximum_RawData!O:O,MATCH("5_Maximum",Maximum_RawData!$A:$A,0)+ROWS($2:34)-1))</f>
        <v>0.11</v>
      </c>
      <c r="P34">
        <f>IF(ROWS($2:34)&gt;COUNTIF(Maximum_RawData!$A:$A,"5_Maximum"),"",INDEX(Maximum_RawData!P:P,MATCH("5_Maximum",Maximum_RawData!$A:$A,0)+ROWS($2:34)-1))</f>
        <v>0.08</v>
      </c>
      <c r="Q34">
        <f>IF(ROWS($2:34)&gt;COUNTIF(Maximum_RawData!$A:$A,"5_Maximum"),"",INDEX(Maximum_RawData!Q:Q,MATCH("5_Maximum",Maximum_RawData!$A:$A,0)+ROWS($2:34)-1))</f>
        <v>0.1</v>
      </c>
      <c r="R34" t="str">
        <f>IF(ROWS($2:34)&gt;COUNTIF(Maximum_RawData!$A:$A,"5_Maximum"),"",INDEX(Maximum_RawData!R:R,MATCH("5_Maximum",Maximum_RawData!$A:$A,0)+ROWS($2:34)-1))</f>
        <v>Pass</v>
      </c>
      <c r="S34">
        <f>IF(ROWS($2:34)&gt;COUNTIF(Maximum_RawData!$A:$A,"5_Maximum"),"",INDEX(Maximum_RawData!S:S,MATCH("5_Maximum",Maximum_RawData!$A:$A,0)+ROWS($2:34)-1))</f>
        <v>0</v>
      </c>
      <c r="T34">
        <f>IF(ROWS($2:34)&gt;COUNTIF(Maximum_RawData!$A:$A,"5_Maximum"),"",INDEX(Maximum_RawData!T:T,MATCH("5_Maximum",Maximum_RawData!$A:$A,0)+ROWS($2:34)-1))</f>
        <v>0</v>
      </c>
    </row>
    <row r="35" spans="1:20">
      <c r="A35" t="str">
        <f>IF(ROWS($2:35)&gt;COUNTIF(Maximum_RawData!$A:$A,"5_Maximum"),"",INDEX(Maximum_RawData!A:A,MATCH("5_Maximum",Maximum_RawData!$A:$A,0)+ROWS($2:35)-1))</f>
        <v>5_Maximum</v>
      </c>
      <c r="B35">
        <f>IF(ROWS($2:35)&gt;COUNTIF(Maximum_RawData!$A:$A,"5_Maximum"),"",INDEX(Maximum_RawData!B:B,MATCH("5_Maximum",Maximum_RawData!$A:$A,0)+ROWS($2:35)-1))</f>
        <v>145808.08100000001</v>
      </c>
      <c r="C35">
        <f>IF(ROWS($2:35)&gt;COUNTIF(Maximum_RawData!$A:$A,"5_Maximum"),"",INDEX(Maximum_RawData!C:C,MATCH("5_Maximum",Maximum_RawData!$A:$A,0)+ROWS($2:35)-1))</f>
        <v>45.17</v>
      </c>
      <c r="D35">
        <f>IF(ROWS($2:35)&gt;COUNTIF(Maximum_RawData!$A:$A,"5_Maximum"),"",INDEX(Maximum_RawData!D:D,MATCH("5_Maximum",Maximum_RawData!$A:$A,0)+ROWS($2:35)-1))</f>
        <v>1312.2909999999999</v>
      </c>
      <c r="E35">
        <f>IF(ROWS($2:35)&gt;COUNTIF(Maximum_RawData!$A:$A,"5_Maximum"),"",INDEX(Maximum_RawData!E:E,MATCH("5_Maximum",Maximum_RawData!$A:$A,0)+ROWS($2:35)-1))</f>
        <v>7.69</v>
      </c>
      <c r="F35">
        <f>IF(ROWS($2:35)&gt;COUNTIF(Maximum_RawData!$A:$A,"5_Maximum"),"",INDEX(Maximum_RawData!F:F,MATCH("5_Maximum",Maximum_RawData!$A:$A,0)+ROWS($2:35)-1))</f>
        <v>399</v>
      </c>
      <c r="G35">
        <f>IF(ROWS($2:35)&gt;COUNTIF(Maximum_RawData!$A:$A,"5_Maximum"),"",INDEX(Maximum_RawData!G:G,MATCH("5_Maximum",Maximum_RawData!$A:$A,0)+ROWS($2:35)-1))</f>
        <v>399</v>
      </c>
      <c r="H35">
        <f>IF(ROWS($2:35)&gt;COUNTIF(Maximum_RawData!$A:$A,"5_Maximum"),"",INDEX(Maximum_RawData!H:H,MATCH("5_Maximum",Maximum_RawData!$A:$A,0)+ROWS($2:35)-1))</f>
        <v>399</v>
      </c>
      <c r="I35">
        <f>IF(ROWS($2:35)&gt;COUNTIF(Maximum_RawData!$A:$A,"5_Maximum"),"",INDEX(Maximum_RawData!I:I,MATCH("5_Maximum",Maximum_RawData!$A:$A,0)+ROWS($2:35)-1))</f>
        <v>399</v>
      </c>
      <c r="J35">
        <f>IF(ROWS($2:35)&gt;COUNTIF(Maximum_RawData!$A:$A,"5_Maximum"),"",INDEX(Maximum_RawData!J:J,MATCH("5_Maximum",Maximum_RawData!$A:$A,0)+ROWS($2:35)-1))</f>
        <v>399</v>
      </c>
      <c r="K35">
        <f>IF(ROWS($2:35)&gt;COUNTIF(Maximum_RawData!$A:$A,"5_Maximum"),"",INDEX(Maximum_RawData!K:K,MATCH("5_Maximum",Maximum_RawData!$A:$A,0)+ROWS($2:35)-1))</f>
        <v>399</v>
      </c>
      <c r="L35">
        <f>IF(ROWS($2:35)&gt;COUNTIF(Maximum_RawData!$A:$A,"5_Maximum"),"",INDEX(Maximum_RawData!L:L,MATCH("5_Maximum",Maximum_RawData!$A:$A,0)+ROWS($2:35)-1))</f>
        <v>399</v>
      </c>
      <c r="M35">
        <f>IF(ROWS($2:35)&gt;COUNTIF(Maximum_RawData!$A:$A,"5_Maximum"),"",INDEX(Maximum_RawData!M:M,MATCH("5_Maximum",Maximum_RawData!$A:$A,0)+ROWS($2:35)-1))</f>
        <v>399</v>
      </c>
      <c r="N35">
        <f>IF(ROWS($2:35)&gt;COUNTIF(Maximum_RawData!$A:$A,"5_Maximum"),"",INDEX(Maximum_RawData!N:N,MATCH("5_Maximum",Maximum_RawData!$A:$A,0)+ROWS($2:35)-1))</f>
        <v>0.1</v>
      </c>
      <c r="O35">
        <f>IF(ROWS($2:35)&gt;COUNTIF(Maximum_RawData!$A:$A,"5_Maximum"),"",INDEX(Maximum_RawData!O:O,MATCH("5_Maximum",Maximum_RawData!$A:$A,0)+ROWS($2:35)-1))</f>
        <v>0.11</v>
      </c>
      <c r="P35">
        <f>IF(ROWS($2:35)&gt;COUNTIF(Maximum_RawData!$A:$A,"5_Maximum"),"",INDEX(Maximum_RawData!P:P,MATCH("5_Maximum",Maximum_RawData!$A:$A,0)+ROWS($2:35)-1))</f>
        <v>0.08</v>
      </c>
      <c r="Q35">
        <f>IF(ROWS($2:35)&gt;COUNTIF(Maximum_RawData!$A:$A,"5_Maximum"),"",INDEX(Maximum_RawData!Q:Q,MATCH("5_Maximum",Maximum_RawData!$A:$A,0)+ROWS($2:35)-1))</f>
        <v>0.1</v>
      </c>
      <c r="R35" t="str">
        <f>IF(ROWS($2:35)&gt;COUNTIF(Maximum_RawData!$A:$A,"5_Maximum"),"",INDEX(Maximum_RawData!R:R,MATCH("5_Maximum",Maximum_RawData!$A:$A,0)+ROWS($2:35)-1))</f>
        <v>Pass</v>
      </c>
      <c r="S35">
        <f>IF(ROWS($2:35)&gt;COUNTIF(Maximum_RawData!$A:$A,"5_Maximum"),"",INDEX(Maximum_RawData!S:S,MATCH("5_Maximum",Maximum_RawData!$A:$A,0)+ROWS($2:35)-1))</f>
        <v>0</v>
      </c>
      <c r="T35">
        <f>IF(ROWS($2:35)&gt;COUNTIF(Maximum_RawData!$A:$A,"5_Maximum"),"",INDEX(Maximum_RawData!T:T,MATCH("5_Maximum",Maximum_RawData!$A:$A,0)+ROWS($2:35)-1))</f>
        <v>0</v>
      </c>
    </row>
    <row r="36" spans="1:20">
      <c r="A36" t="str">
        <f>IF(ROWS($2:36)&gt;COUNTIF(Maximum_RawData!$A:$A,"5_Maximum"),"",INDEX(Maximum_RawData!A:A,MATCH("5_Maximum",Maximum_RawData!$A:$A,0)+ROWS($2:36)-1))</f>
        <v>5_Maximum</v>
      </c>
      <c r="B36">
        <f>IF(ROWS($2:36)&gt;COUNTIF(Maximum_RawData!$A:$A,"5_Maximum"),"",INDEX(Maximum_RawData!B:B,MATCH("5_Maximum",Maximum_RawData!$A:$A,0)+ROWS($2:36)-1))</f>
        <v>145813.07399999999</v>
      </c>
      <c r="C36">
        <f>IF(ROWS($2:36)&gt;COUNTIF(Maximum_RawData!$A:$A,"5_Maximum"),"",INDEX(Maximum_RawData!C:C,MATCH("5_Maximum",Maximum_RawData!$A:$A,0)+ROWS($2:36)-1))</f>
        <v>44.44</v>
      </c>
      <c r="D36">
        <f>IF(ROWS($2:36)&gt;COUNTIF(Maximum_RawData!$A:$A,"5_Maximum"),"",INDEX(Maximum_RawData!D:D,MATCH("5_Maximum",Maximum_RawData!$A:$A,0)+ROWS($2:36)-1))</f>
        <v>1312.211</v>
      </c>
      <c r="E36">
        <f>IF(ROWS($2:36)&gt;COUNTIF(Maximum_RawData!$A:$A,"5_Maximum"),"",INDEX(Maximum_RawData!E:E,MATCH("5_Maximum",Maximum_RawData!$A:$A,0)+ROWS($2:36)-1))</f>
        <v>8.0399999999999991</v>
      </c>
      <c r="F36">
        <f>IF(ROWS($2:36)&gt;COUNTIF(Maximum_RawData!$A:$A,"5_Maximum"),"",INDEX(Maximum_RawData!F:F,MATCH("5_Maximum",Maximum_RawData!$A:$A,0)+ROWS($2:36)-1))</f>
        <v>399</v>
      </c>
      <c r="G36">
        <f>IF(ROWS($2:36)&gt;COUNTIF(Maximum_RawData!$A:$A,"5_Maximum"),"",INDEX(Maximum_RawData!G:G,MATCH("5_Maximum",Maximum_RawData!$A:$A,0)+ROWS($2:36)-1))</f>
        <v>399</v>
      </c>
      <c r="H36">
        <f>IF(ROWS($2:36)&gt;COUNTIF(Maximum_RawData!$A:$A,"5_Maximum"),"",INDEX(Maximum_RawData!H:H,MATCH("5_Maximum",Maximum_RawData!$A:$A,0)+ROWS($2:36)-1))</f>
        <v>399</v>
      </c>
      <c r="I36">
        <f>IF(ROWS($2:36)&gt;COUNTIF(Maximum_RawData!$A:$A,"5_Maximum"),"",INDEX(Maximum_RawData!I:I,MATCH("5_Maximum",Maximum_RawData!$A:$A,0)+ROWS($2:36)-1))</f>
        <v>399</v>
      </c>
      <c r="J36">
        <f>IF(ROWS($2:36)&gt;COUNTIF(Maximum_RawData!$A:$A,"5_Maximum"),"",INDEX(Maximum_RawData!J:J,MATCH("5_Maximum",Maximum_RawData!$A:$A,0)+ROWS($2:36)-1))</f>
        <v>399</v>
      </c>
      <c r="K36">
        <f>IF(ROWS($2:36)&gt;COUNTIF(Maximum_RawData!$A:$A,"5_Maximum"),"",INDEX(Maximum_RawData!K:K,MATCH("5_Maximum",Maximum_RawData!$A:$A,0)+ROWS($2:36)-1))</f>
        <v>399</v>
      </c>
      <c r="L36">
        <f>IF(ROWS($2:36)&gt;COUNTIF(Maximum_RawData!$A:$A,"5_Maximum"),"",INDEX(Maximum_RawData!L:L,MATCH("5_Maximum",Maximum_RawData!$A:$A,0)+ROWS($2:36)-1))</f>
        <v>399</v>
      </c>
      <c r="M36">
        <f>IF(ROWS($2:36)&gt;COUNTIF(Maximum_RawData!$A:$A,"5_Maximum"),"",INDEX(Maximum_RawData!M:M,MATCH("5_Maximum",Maximum_RawData!$A:$A,0)+ROWS($2:36)-1))</f>
        <v>399</v>
      </c>
      <c r="N36">
        <f>IF(ROWS($2:36)&gt;COUNTIF(Maximum_RawData!$A:$A,"5_Maximum"),"",INDEX(Maximum_RawData!N:N,MATCH("5_Maximum",Maximum_RawData!$A:$A,0)+ROWS($2:36)-1))</f>
        <v>0.11</v>
      </c>
      <c r="O36">
        <f>IF(ROWS($2:36)&gt;COUNTIF(Maximum_RawData!$A:$A,"5_Maximum"),"",INDEX(Maximum_RawData!O:O,MATCH("5_Maximum",Maximum_RawData!$A:$A,0)+ROWS($2:36)-1))</f>
        <v>0.11</v>
      </c>
      <c r="P36">
        <f>IF(ROWS($2:36)&gt;COUNTIF(Maximum_RawData!$A:$A,"5_Maximum"),"",INDEX(Maximum_RawData!P:P,MATCH("5_Maximum",Maximum_RawData!$A:$A,0)+ROWS($2:36)-1))</f>
        <v>0.08</v>
      </c>
      <c r="Q36">
        <f>IF(ROWS($2:36)&gt;COUNTIF(Maximum_RawData!$A:$A,"5_Maximum"),"",INDEX(Maximum_RawData!Q:Q,MATCH("5_Maximum",Maximum_RawData!$A:$A,0)+ROWS($2:36)-1))</f>
        <v>0.1</v>
      </c>
      <c r="R36" t="str">
        <f>IF(ROWS($2:36)&gt;COUNTIF(Maximum_RawData!$A:$A,"5_Maximum"),"",INDEX(Maximum_RawData!R:R,MATCH("5_Maximum",Maximum_RawData!$A:$A,0)+ROWS($2:36)-1))</f>
        <v>Pass</v>
      </c>
      <c r="S36">
        <f>IF(ROWS($2:36)&gt;COUNTIF(Maximum_RawData!$A:$A,"5_Maximum"),"",INDEX(Maximum_RawData!S:S,MATCH("5_Maximum",Maximum_RawData!$A:$A,0)+ROWS($2:36)-1))</f>
        <v>0</v>
      </c>
      <c r="T36">
        <f>IF(ROWS($2:36)&gt;COUNTIF(Maximum_RawData!$A:$A,"5_Maximum"),"",INDEX(Maximum_RawData!T:T,MATCH("5_Maximum",Maximum_RawData!$A:$A,0)+ROWS($2:36)-1))</f>
        <v>0</v>
      </c>
    </row>
    <row r="37" spans="1:20">
      <c r="A37" t="str">
        <f>IF(ROWS($2:37)&gt;COUNTIF(Maximum_RawData!$A:$A,"5_Maximum"),"",INDEX(Maximum_RawData!A:A,MATCH("5_Maximum",Maximum_RawData!$A:$A,0)+ROWS($2:37)-1))</f>
        <v>5_Maximum</v>
      </c>
      <c r="B37">
        <f>IF(ROWS($2:37)&gt;COUNTIF(Maximum_RawData!$A:$A,"5_Maximum"),"",INDEX(Maximum_RawData!B:B,MATCH("5_Maximum",Maximum_RawData!$A:$A,0)+ROWS($2:37)-1))</f>
        <v>145818.076</v>
      </c>
      <c r="C37">
        <f>IF(ROWS($2:37)&gt;COUNTIF(Maximum_RawData!$A:$A,"5_Maximum"),"",INDEX(Maximum_RawData!C:C,MATCH("5_Maximum",Maximum_RawData!$A:$A,0)+ROWS($2:37)-1))</f>
        <v>43.72</v>
      </c>
      <c r="D37">
        <f>IF(ROWS($2:37)&gt;COUNTIF(Maximum_RawData!$A:$A,"5_Maximum"),"",INDEX(Maximum_RawData!D:D,MATCH("5_Maximum",Maximum_RawData!$A:$A,0)+ROWS($2:37)-1))</f>
        <v>1312.145</v>
      </c>
      <c r="E37">
        <f>IF(ROWS($2:37)&gt;COUNTIF(Maximum_RawData!$A:$A,"5_Maximum"),"",INDEX(Maximum_RawData!E:E,MATCH("5_Maximum",Maximum_RawData!$A:$A,0)+ROWS($2:37)-1))</f>
        <v>8.2799999999999994</v>
      </c>
      <c r="F37">
        <f>IF(ROWS($2:37)&gt;COUNTIF(Maximum_RawData!$A:$A,"5_Maximum"),"",INDEX(Maximum_RawData!F:F,MATCH("5_Maximum",Maximum_RawData!$A:$A,0)+ROWS($2:37)-1))</f>
        <v>399</v>
      </c>
      <c r="G37">
        <f>IF(ROWS($2:37)&gt;COUNTIF(Maximum_RawData!$A:$A,"5_Maximum"),"",INDEX(Maximum_RawData!G:G,MATCH("5_Maximum",Maximum_RawData!$A:$A,0)+ROWS($2:37)-1))</f>
        <v>399</v>
      </c>
      <c r="H37">
        <f>IF(ROWS($2:37)&gt;COUNTIF(Maximum_RawData!$A:$A,"5_Maximum"),"",INDEX(Maximum_RawData!H:H,MATCH("5_Maximum",Maximum_RawData!$A:$A,0)+ROWS($2:37)-1))</f>
        <v>399</v>
      </c>
      <c r="I37">
        <f>IF(ROWS($2:37)&gt;COUNTIF(Maximum_RawData!$A:$A,"5_Maximum"),"",INDEX(Maximum_RawData!I:I,MATCH("5_Maximum",Maximum_RawData!$A:$A,0)+ROWS($2:37)-1))</f>
        <v>399</v>
      </c>
      <c r="J37">
        <f>IF(ROWS($2:37)&gt;COUNTIF(Maximum_RawData!$A:$A,"5_Maximum"),"",INDEX(Maximum_RawData!J:J,MATCH("5_Maximum",Maximum_RawData!$A:$A,0)+ROWS($2:37)-1))</f>
        <v>399</v>
      </c>
      <c r="K37">
        <f>IF(ROWS($2:37)&gt;COUNTIF(Maximum_RawData!$A:$A,"5_Maximum"),"",INDEX(Maximum_RawData!K:K,MATCH("5_Maximum",Maximum_RawData!$A:$A,0)+ROWS($2:37)-1))</f>
        <v>399</v>
      </c>
      <c r="L37">
        <f>IF(ROWS($2:37)&gt;COUNTIF(Maximum_RawData!$A:$A,"5_Maximum"),"",INDEX(Maximum_RawData!L:L,MATCH("5_Maximum",Maximum_RawData!$A:$A,0)+ROWS($2:37)-1))</f>
        <v>399</v>
      </c>
      <c r="M37">
        <f>IF(ROWS($2:37)&gt;COUNTIF(Maximum_RawData!$A:$A,"5_Maximum"),"",INDEX(Maximum_RawData!M:M,MATCH("5_Maximum",Maximum_RawData!$A:$A,0)+ROWS($2:37)-1))</f>
        <v>399</v>
      </c>
      <c r="N37">
        <f>IF(ROWS($2:37)&gt;COUNTIF(Maximum_RawData!$A:$A,"5_Maximum"),"",INDEX(Maximum_RawData!N:N,MATCH("5_Maximum",Maximum_RawData!$A:$A,0)+ROWS($2:37)-1))</f>
        <v>0.09</v>
      </c>
      <c r="O37">
        <f>IF(ROWS($2:37)&gt;COUNTIF(Maximum_RawData!$A:$A,"5_Maximum"),"",INDEX(Maximum_RawData!O:O,MATCH("5_Maximum",Maximum_RawData!$A:$A,0)+ROWS($2:37)-1))</f>
        <v>0.11</v>
      </c>
      <c r="P37">
        <f>IF(ROWS($2:37)&gt;COUNTIF(Maximum_RawData!$A:$A,"5_Maximum"),"",INDEX(Maximum_RawData!P:P,MATCH("5_Maximum",Maximum_RawData!$A:$A,0)+ROWS($2:37)-1))</f>
        <v>0.08</v>
      </c>
      <c r="Q37">
        <f>IF(ROWS($2:37)&gt;COUNTIF(Maximum_RawData!$A:$A,"5_Maximum"),"",INDEX(Maximum_RawData!Q:Q,MATCH("5_Maximum",Maximum_RawData!$A:$A,0)+ROWS($2:37)-1))</f>
        <v>0.1</v>
      </c>
      <c r="R37" t="str">
        <f>IF(ROWS($2:37)&gt;COUNTIF(Maximum_RawData!$A:$A,"5_Maximum"),"",INDEX(Maximum_RawData!R:R,MATCH("5_Maximum",Maximum_RawData!$A:$A,0)+ROWS($2:37)-1))</f>
        <v>Pass</v>
      </c>
      <c r="S37">
        <f>IF(ROWS($2:37)&gt;COUNTIF(Maximum_RawData!$A:$A,"5_Maximum"),"",INDEX(Maximum_RawData!S:S,MATCH("5_Maximum",Maximum_RawData!$A:$A,0)+ROWS($2:37)-1))</f>
        <v>0</v>
      </c>
      <c r="T37">
        <f>IF(ROWS($2:37)&gt;COUNTIF(Maximum_RawData!$A:$A,"5_Maximum"),"",INDEX(Maximum_RawData!T:T,MATCH("5_Maximum",Maximum_RawData!$A:$A,0)+ROWS($2:37)-1))</f>
        <v>0</v>
      </c>
    </row>
    <row r="38" spans="1:20">
      <c r="A38" t="str">
        <f>IF(ROWS($2:38)&gt;COUNTIF(Maximum_RawData!$A:$A,"5_Maximum"),"",INDEX(Maximum_RawData!A:A,MATCH("5_Maximum",Maximum_RawData!$A:$A,0)+ROWS($2:38)-1))</f>
        <v>5_Maximum</v>
      </c>
      <c r="B38">
        <f>IF(ROWS($2:38)&gt;COUNTIF(Maximum_RawData!$A:$A,"5_Maximum"),"",INDEX(Maximum_RawData!B:B,MATCH("5_Maximum",Maximum_RawData!$A:$A,0)+ROWS($2:38)-1))</f>
        <v>145823.079</v>
      </c>
      <c r="C38">
        <f>IF(ROWS($2:38)&gt;COUNTIF(Maximum_RawData!$A:$A,"5_Maximum"),"",INDEX(Maximum_RawData!C:C,MATCH("5_Maximum",Maximum_RawData!$A:$A,0)+ROWS($2:38)-1))</f>
        <v>42.98</v>
      </c>
      <c r="D38">
        <f>IF(ROWS($2:38)&gt;COUNTIF(Maximum_RawData!$A:$A,"5_Maximum"),"",INDEX(Maximum_RawData!D:D,MATCH("5_Maximum",Maximum_RawData!$A:$A,0)+ROWS($2:38)-1))</f>
        <v>1312.0719999999999</v>
      </c>
      <c r="E38">
        <f>IF(ROWS($2:38)&gt;COUNTIF(Maximum_RawData!$A:$A,"5_Maximum"),"",INDEX(Maximum_RawData!E:E,MATCH("5_Maximum",Maximum_RawData!$A:$A,0)+ROWS($2:38)-1))</f>
        <v>8.4600000000000009</v>
      </c>
      <c r="F38">
        <f>IF(ROWS($2:38)&gt;COUNTIF(Maximum_RawData!$A:$A,"5_Maximum"),"",INDEX(Maximum_RawData!F:F,MATCH("5_Maximum",Maximum_RawData!$A:$A,0)+ROWS($2:38)-1))</f>
        <v>399</v>
      </c>
      <c r="G38">
        <f>IF(ROWS($2:38)&gt;COUNTIF(Maximum_RawData!$A:$A,"5_Maximum"),"",INDEX(Maximum_RawData!G:G,MATCH("5_Maximum",Maximum_RawData!$A:$A,0)+ROWS($2:38)-1))</f>
        <v>399</v>
      </c>
      <c r="H38">
        <f>IF(ROWS($2:38)&gt;COUNTIF(Maximum_RawData!$A:$A,"5_Maximum"),"",INDEX(Maximum_RawData!H:H,MATCH("5_Maximum",Maximum_RawData!$A:$A,0)+ROWS($2:38)-1))</f>
        <v>399</v>
      </c>
      <c r="I38">
        <f>IF(ROWS($2:38)&gt;COUNTIF(Maximum_RawData!$A:$A,"5_Maximum"),"",INDEX(Maximum_RawData!I:I,MATCH("5_Maximum",Maximum_RawData!$A:$A,0)+ROWS($2:38)-1))</f>
        <v>399</v>
      </c>
      <c r="J38">
        <f>IF(ROWS($2:38)&gt;COUNTIF(Maximum_RawData!$A:$A,"5_Maximum"),"",INDEX(Maximum_RawData!J:J,MATCH("5_Maximum",Maximum_RawData!$A:$A,0)+ROWS($2:38)-1))</f>
        <v>399</v>
      </c>
      <c r="K38">
        <f>IF(ROWS($2:38)&gt;COUNTIF(Maximum_RawData!$A:$A,"5_Maximum"),"",INDEX(Maximum_RawData!K:K,MATCH("5_Maximum",Maximum_RawData!$A:$A,0)+ROWS($2:38)-1))</f>
        <v>399</v>
      </c>
      <c r="L38">
        <f>IF(ROWS($2:38)&gt;COUNTIF(Maximum_RawData!$A:$A,"5_Maximum"),"",INDEX(Maximum_RawData!L:L,MATCH("5_Maximum",Maximum_RawData!$A:$A,0)+ROWS($2:38)-1))</f>
        <v>399</v>
      </c>
      <c r="M38">
        <f>IF(ROWS($2:38)&gt;COUNTIF(Maximum_RawData!$A:$A,"5_Maximum"),"",INDEX(Maximum_RawData!M:M,MATCH("5_Maximum",Maximum_RawData!$A:$A,0)+ROWS($2:38)-1))</f>
        <v>399</v>
      </c>
      <c r="N38">
        <f>IF(ROWS($2:38)&gt;COUNTIF(Maximum_RawData!$A:$A,"5_Maximum"),"",INDEX(Maximum_RawData!N:N,MATCH("5_Maximum",Maximum_RawData!$A:$A,0)+ROWS($2:38)-1))</f>
        <v>0.1</v>
      </c>
      <c r="O38">
        <f>IF(ROWS($2:38)&gt;COUNTIF(Maximum_RawData!$A:$A,"5_Maximum"),"",INDEX(Maximum_RawData!O:O,MATCH("5_Maximum",Maximum_RawData!$A:$A,0)+ROWS($2:38)-1))</f>
        <v>0.11</v>
      </c>
      <c r="P38">
        <f>IF(ROWS($2:38)&gt;COUNTIF(Maximum_RawData!$A:$A,"5_Maximum"),"",INDEX(Maximum_RawData!P:P,MATCH("5_Maximum",Maximum_RawData!$A:$A,0)+ROWS($2:38)-1))</f>
        <v>0.08</v>
      </c>
      <c r="Q38">
        <f>IF(ROWS($2:38)&gt;COUNTIF(Maximum_RawData!$A:$A,"5_Maximum"),"",INDEX(Maximum_RawData!Q:Q,MATCH("5_Maximum",Maximum_RawData!$A:$A,0)+ROWS($2:38)-1))</f>
        <v>0.1</v>
      </c>
      <c r="R38" t="str">
        <f>IF(ROWS($2:38)&gt;COUNTIF(Maximum_RawData!$A:$A,"5_Maximum"),"",INDEX(Maximum_RawData!R:R,MATCH("5_Maximum",Maximum_RawData!$A:$A,0)+ROWS($2:38)-1))</f>
        <v>Pass</v>
      </c>
      <c r="S38">
        <f>IF(ROWS($2:38)&gt;COUNTIF(Maximum_RawData!$A:$A,"5_Maximum"),"",INDEX(Maximum_RawData!S:S,MATCH("5_Maximum",Maximum_RawData!$A:$A,0)+ROWS($2:38)-1))</f>
        <v>0</v>
      </c>
      <c r="T38">
        <f>IF(ROWS($2:38)&gt;COUNTIF(Maximum_RawData!$A:$A,"5_Maximum"),"",INDEX(Maximum_RawData!T:T,MATCH("5_Maximum",Maximum_RawData!$A:$A,0)+ROWS($2:38)-1))</f>
        <v>0</v>
      </c>
    </row>
    <row r="39" spans="1:20">
      <c r="A39" t="str">
        <f>IF(ROWS($2:39)&gt;COUNTIF(Maximum_RawData!$A:$A,"5_Maximum"),"",INDEX(Maximum_RawData!A:A,MATCH("5_Maximum",Maximum_RawData!$A:$A,0)+ROWS($2:39)-1))</f>
        <v>5_Maximum</v>
      </c>
      <c r="B39">
        <f>IF(ROWS($2:39)&gt;COUNTIF(Maximum_RawData!$A:$A,"5_Maximum"),"",INDEX(Maximum_RawData!B:B,MATCH("5_Maximum",Maximum_RawData!$A:$A,0)+ROWS($2:39)-1))</f>
        <v>145828.07699999999</v>
      </c>
      <c r="C39">
        <f>IF(ROWS($2:39)&gt;COUNTIF(Maximum_RawData!$A:$A,"5_Maximum"),"",INDEX(Maximum_RawData!C:C,MATCH("5_Maximum",Maximum_RawData!$A:$A,0)+ROWS($2:39)-1))</f>
        <v>42.25</v>
      </c>
      <c r="D39">
        <f>IF(ROWS($2:39)&gt;COUNTIF(Maximum_RawData!$A:$A,"5_Maximum"),"",INDEX(Maximum_RawData!D:D,MATCH("5_Maximum",Maximum_RawData!$A:$A,0)+ROWS($2:39)-1))</f>
        <v>1311.992</v>
      </c>
      <c r="E39">
        <f>IF(ROWS($2:39)&gt;COUNTIF(Maximum_RawData!$A:$A,"5_Maximum"),"",INDEX(Maximum_RawData!E:E,MATCH("5_Maximum",Maximum_RawData!$A:$A,0)+ROWS($2:39)-1))</f>
        <v>8.6999999999999993</v>
      </c>
      <c r="F39">
        <f>IF(ROWS($2:39)&gt;COUNTIF(Maximum_RawData!$A:$A,"5_Maximum"),"",INDEX(Maximum_RawData!F:F,MATCH("5_Maximum",Maximum_RawData!$A:$A,0)+ROWS($2:39)-1))</f>
        <v>399</v>
      </c>
      <c r="G39">
        <f>IF(ROWS($2:39)&gt;COUNTIF(Maximum_RawData!$A:$A,"5_Maximum"),"",INDEX(Maximum_RawData!G:G,MATCH("5_Maximum",Maximum_RawData!$A:$A,0)+ROWS($2:39)-1))</f>
        <v>399</v>
      </c>
      <c r="H39">
        <f>IF(ROWS($2:39)&gt;COUNTIF(Maximum_RawData!$A:$A,"5_Maximum"),"",INDEX(Maximum_RawData!H:H,MATCH("5_Maximum",Maximum_RawData!$A:$A,0)+ROWS($2:39)-1))</f>
        <v>399</v>
      </c>
      <c r="I39">
        <f>IF(ROWS($2:39)&gt;COUNTIF(Maximum_RawData!$A:$A,"5_Maximum"),"",INDEX(Maximum_RawData!I:I,MATCH("5_Maximum",Maximum_RawData!$A:$A,0)+ROWS($2:39)-1))</f>
        <v>399</v>
      </c>
      <c r="J39">
        <f>IF(ROWS($2:39)&gt;COUNTIF(Maximum_RawData!$A:$A,"5_Maximum"),"",INDEX(Maximum_RawData!J:J,MATCH("5_Maximum",Maximum_RawData!$A:$A,0)+ROWS($2:39)-1))</f>
        <v>399</v>
      </c>
      <c r="K39">
        <f>IF(ROWS($2:39)&gt;COUNTIF(Maximum_RawData!$A:$A,"5_Maximum"),"",INDEX(Maximum_RawData!K:K,MATCH("5_Maximum",Maximum_RawData!$A:$A,0)+ROWS($2:39)-1))</f>
        <v>399</v>
      </c>
      <c r="L39">
        <f>IF(ROWS($2:39)&gt;COUNTIF(Maximum_RawData!$A:$A,"5_Maximum"),"",INDEX(Maximum_RawData!L:L,MATCH("5_Maximum",Maximum_RawData!$A:$A,0)+ROWS($2:39)-1))</f>
        <v>399</v>
      </c>
      <c r="M39">
        <f>IF(ROWS($2:39)&gt;COUNTIF(Maximum_RawData!$A:$A,"5_Maximum"),"",INDEX(Maximum_RawData!M:M,MATCH("5_Maximum",Maximum_RawData!$A:$A,0)+ROWS($2:39)-1))</f>
        <v>399</v>
      </c>
      <c r="N39">
        <f>IF(ROWS($2:39)&gt;COUNTIF(Maximum_RawData!$A:$A,"5_Maximum"),"",INDEX(Maximum_RawData!N:N,MATCH("5_Maximum",Maximum_RawData!$A:$A,0)+ROWS($2:39)-1))</f>
        <v>0.11</v>
      </c>
      <c r="O39">
        <f>IF(ROWS($2:39)&gt;COUNTIF(Maximum_RawData!$A:$A,"5_Maximum"),"",INDEX(Maximum_RawData!O:O,MATCH("5_Maximum",Maximum_RawData!$A:$A,0)+ROWS($2:39)-1))</f>
        <v>0.11</v>
      </c>
      <c r="P39">
        <f>IF(ROWS($2:39)&gt;COUNTIF(Maximum_RawData!$A:$A,"5_Maximum"),"",INDEX(Maximum_RawData!P:P,MATCH("5_Maximum",Maximum_RawData!$A:$A,0)+ROWS($2:39)-1))</f>
        <v>0.08</v>
      </c>
      <c r="Q39">
        <f>IF(ROWS($2:39)&gt;COUNTIF(Maximum_RawData!$A:$A,"5_Maximum"),"",INDEX(Maximum_RawData!Q:Q,MATCH("5_Maximum",Maximum_RawData!$A:$A,0)+ROWS($2:39)-1))</f>
        <v>0.1</v>
      </c>
      <c r="R39" t="str">
        <f>IF(ROWS($2:39)&gt;COUNTIF(Maximum_RawData!$A:$A,"5_Maximum"),"",INDEX(Maximum_RawData!R:R,MATCH("5_Maximum",Maximum_RawData!$A:$A,0)+ROWS($2:39)-1))</f>
        <v>Pass</v>
      </c>
      <c r="S39">
        <f>IF(ROWS($2:39)&gt;COUNTIF(Maximum_RawData!$A:$A,"5_Maximum"),"",INDEX(Maximum_RawData!S:S,MATCH("5_Maximum",Maximum_RawData!$A:$A,0)+ROWS($2:39)-1))</f>
        <v>0</v>
      </c>
      <c r="T39">
        <f>IF(ROWS($2:39)&gt;COUNTIF(Maximum_RawData!$A:$A,"5_Maximum"),"",INDEX(Maximum_RawData!T:T,MATCH("5_Maximum",Maximum_RawData!$A:$A,0)+ROWS($2:39)-1))</f>
        <v>0</v>
      </c>
    </row>
    <row r="40" spans="1:20">
      <c r="A40" t="str">
        <f>IF(ROWS($2:40)&gt;COUNTIF(Maximum_RawData!$A:$A,"5_Maximum"),"",INDEX(Maximum_RawData!A:A,MATCH("5_Maximum",Maximum_RawData!$A:$A,0)+ROWS($2:40)-1))</f>
        <v>5_Maximum</v>
      </c>
      <c r="B40">
        <f>IF(ROWS($2:40)&gt;COUNTIF(Maximum_RawData!$A:$A,"5_Maximum"),"",INDEX(Maximum_RawData!B:B,MATCH("5_Maximum",Maximum_RawData!$A:$A,0)+ROWS($2:40)-1))</f>
        <v>145833.087</v>
      </c>
      <c r="C40">
        <f>IF(ROWS($2:40)&gt;COUNTIF(Maximum_RawData!$A:$A,"5_Maximum"),"",INDEX(Maximum_RawData!C:C,MATCH("5_Maximum",Maximum_RawData!$A:$A,0)+ROWS($2:40)-1))</f>
        <v>41.5</v>
      </c>
      <c r="D40">
        <f>IF(ROWS($2:40)&gt;COUNTIF(Maximum_RawData!$A:$A,"5_Maximum"),"",INDEX(Maximum_RawData!D:D,MATCH("5_Maximum",Maximum_RawData!$A:$A,0)+ROWS($2:40)-1))</f>
        <v>1311.9269999999999</v>
      </c>
      <c r="E40">
        <f>IF(ROWS($2:40)&gt;COUNTIF(Maximum_RawData!$A:$A,"5_Maximum"),"",INDEX(Maximum_RawData!E:E,MATCH("5_Maximum",Maximum_RawData!$A:$A,0)+ROWS($2:40)-1))</f>
        <v>8.75</v>
      </c>
      <c r="F40">
        <f>IF(ROWS($2:40)&gt;COUNTIF(Maximum_RawData!$A:$A,"5_Maximum"),"",INDEX(Maximum_RawData!F:F,MATCH("5_Maximum",Maximum_RawData!$A:$A,0)+ROWS($2:40)-1))</f>
        <v>399</v>
      </c>
      <c r="G40">
        <f>IF(ROWS($2:40)&gt;COUNTIF(Maximum_RawData!$A:$A,"5_Maximum"),"",INDEX(Maximum_RawData!G:G,MATCH("5_Maximum",Maximum_RawData!$A:$A,0)+ROWS($2:40)-1))</f>
        <v>399</v>
      </c>
      <c r="H40">
        <f>IF(ROWS($2:40)&gt;COUNTIF(Maximum_RawData!$A:$A,"5_Maximum"),"",INDEX(Maximum_RawData!H:H,MATCH("5_Maximum",Maximum_RawData!$A:$A,0)+ROWS($2:40)-1))</f>
        <v>399</v>
      </c>
      <c r="I40">
        <f>IF(ROWS($2:40)&gt;COUNTIF(Maximum_RawData!$A:$A,"5_Maximum"),"",INDEX(Maximum_RawData!I:I,MATCH("5_Maximum",Maximum_RawData!$A:$A,0)+ROWS($2:40)-1))</f>
        <v>399</v>
      </c>
      <c r="J40">
        <f>IF(ROWS($2:40)&gt;COUNTIF(Maximum_RawData!$A:$A,"5_Maximum"),"",INDEX(Maximum_RawData!J:J,MATCH("5_Maximum",Maximum_RawData!$A:$A,0)+ROWS($2:40)-1))</f>
        <v>399</v>
      </c>
      <c r="K40">
        <f>IF(ROWS($2:40)&gt;COUNTIF(Maximum_RawData!$A:$A,"5_Maximum"),"",INDEX(Maximum_RawData!K:K,MATCH("5_Maximum",Maximum_RawData!$A:$A,0)+ROWS($2:40)-1))</f>
        <v>399</v>
      </c>
      <c r="L40">
        <f>IF(ROWS($2:40)&gt;COUNTIF(Maximum_RawData!$A:$A,"5_Maximum"),"",INDEX(Maximum_RawData!L:L,MATCH("5_Maximum",Maximum_RawData!$A:$A,0)+ROWS($2:40)-1))</f>
        <v>399</v>
      </c>
      <c r="M40">
        <f>IF(ROWS($2:40)&gt;COUNTIF(Maximum_RawData!$A:$A,"5_Maximum"),"",INDEX(Maximum_RawData!M:M,MATCH("5_Maximum",Maximum_RawData!$A:$A,0)+ROWS($2:40)-1))</f>
        <v>399</v>
      </c>
      <c r="N40">
        <f>IF(ROWS($2:40)&gt;COUNTIF(Maximum_RawData!$A:$A,"5_Maximum"),"",INDEX(Maximum_RawData!N:N,MATCH("5_Maximum",Maximum_RawData!$A:$A,0)+ROWS($2:40)-1))</f>
        <v>0.09</v>
      </c>
      <c r="O40">
        <f>IF(ROWS($2:40)&gt;COUNTIF(Maximum_RawData!$A:$A,"5_Maximum"),"",INDEX(Maximum_RawData!O:O,MATCH("5_Maximum",Maximum_RawData!$A:$A,0)+ROWS($2:40)-1))</f>
        <v>0.11</v>
      </c>
      <c r="P40">
        <f>IF(ROWS($2:40)&gt;COUNTIF(Maximum_RawData!$A:$A,"5_Maximum"),"",INDEX(Maximum_RawData!P:P,MATCH("5_Maximum",Maximum_RawData!$A:$A,0)+ROWS($2:40)-1))</f>
        <v>0.08</v>
      </c>
      <c r="Q40">
        <f>IF(ROWS($2:40)&gt;COUNTIF(Maximum_RawData!$A:$A,"5_Maximum"),"",INDEX(Maximum_RawData!Q:Q,MATCH("5_Maximum",Maximum_RawData!$A:$A,0)+ROWS($2:40)-1))</f>
        <v>0.1</v>
      </c>
      <c r="R40" t="str">
        <f>IF(ROWS($2:40)&gt;COUNTIF(Maximum_RawData!$A:$A,"5_Maximum"),"",INDEX(Maximum_RawData!R:R,MATCH("5_Maximum",Maximum_RawData!$A:$A,0)+ROWS($2:40)-1))</f>
        <v>Pass</v>
      </c>
      <c r="S40">
        <f>IF(ROWS($2:40)&gt;COUNTIF(Maximum_RawData!$A:$A,"5_Maximum"),"",INDEX(Maximum_RawData!S:S,MATCH("5_Maximum",Maximum_RawData!$A:$A,0)+ROWS($2:40)-1))</f>
        <v>0</v>
      </c>
      <c r="T40">
        <f>IF(ROWS($2:40)&gt;COUNTIF(Maximum_RawData!$A:$A,"5_Maximum"),"",INDEX(Maximum_RawData!T:T,MATCH("5_Maximum",Maximum_RawData!$A:$A,0)+ROWS($2:40)-1))</f>
        <v>0</v>
      </c>
    </row>
    <row r="41" spans="1:20">
      <c r="A41" t="str">
        <f>IF(ROWS($2:41)&gt;COUNTIF(Maximum_RawData!$A:$A,"5_Maximum"),"",INDEX(Maximum_RawData!A:A,MATCH("5_Maximum",Maximum_RawData!$A:$A,0)+ROWS($2:41)-1))</f>
        <v>5_Maximum</v>
      </c>
      <c r="B41">
        <f>IF(ROWS($2:41)&gt;COUNTIF(Maximum_RawData!$A:$A,"5_Maximum"),"",INDEX(Maximum_RawData!B:B,MATCH("5_Maximum",Maximum_RawData!$A:$A,0)+ROWS($2:41)-1))</f>
        <v>145838.08199999999</v>
      </c>
      <c r="C41">
        <f>IF(ROWS($2:41)&gt;COUNTIF(Maximum_RawData!$A:$A,"5_Maximum"),"",INDEX(Maximum_RawData!C:C,MATCH("5_Maximum",Maximum_RawData!$A:$A,0)+ROWS($2:41)-1))</f>
        <v>40.74</v>
      </c>
      <c r="D41">
        <f>IF(ROWS($2:41)&gt;COUNTIF(Maximum_RawData!$A:$A,"5_Maximum"),"",INDEX(Maximum_RawData!D:D,MATCH("5_Maximum",Maximum_RawData!$A:$A,0)+ROWS($2:41)-1))</f>
        <v>1311.854</v>
      </c>
      <c r="E41">
        <f>IF(ROWS($2:41)&gt;COUNTIF(Maximum_RawData!$A:$A,"5_Maximum"),"",INDEX(Maximum_RawData!E:E,MATCH("5_Maximum",Maximum_RawData!$A:$A,0)+ROWS($2:41)-1))</f>
        <v>8.85</v>
      </c>
      <c r="F41">
        <f>IF(ROWS($2:41)&gt;COUNTIF(Maximum_RawData!$A:$A,"5_Maximum"),"",INDEX(Maximum_RawData!F:F,MATCH("5_Maximum",Maximum_RawData!$A:$A,0)+ROWS($2:41)-1))</f>
        <v>399</v>
      </c>
      <c r="G41">
        <f>IF(ROWS($2:41)&gt;COUNTIF(Maximum_RawData!$A:$A,"5_Maximum"),"",INDEX(Maximum_RawData!G:G,MATCH("5_Maximum",Maximum_RawData!$A:$A,0)+ROWS($2:41)-1))</f>
        <v>399</v>
      </c>
      <c r="H41">
        <f>IF(ROWS($2:41)&gt;COUNTIF(Maximum_RawData!$A:$A,"5_Maximum"),"",INDEX(Maximum_RawData!H:H,MATCH("5_Maximum",Maximum_RawData!$A:$A,0)+ROWS($2:41)-1))</f>
        <v>399</v>
      </c>
      <c r="I41">
        <f>IF(ROWS($2:41)&gt;COUNTIF(Maximum_RawData!$A:$A,"5_Maximum"),"",INDEX(Maximum_RawData!I:I,MATCH("5_Maximum",Maximum_RawData!$A:$A,0)+ROWS($2:41)-1))</f>
        <v>399</v>
      </c>
      <c r="J41">
        <f>IF(ROWS($2:41)&gt;COUNTIF(Maximum_RawData!$A:$A,"5_Maximum"),"",INDEX(Maximum_RawData!J:J,MATCH("5_Maximum",Maximum_RawData!$A:$A,0)+ROWS($2:41)-1))</f>
        <v>399</v>
      </c>
      <c r="K41">
        <f>IF(ROWS($2:41)&gt;COUNTIF(Maximum_RawData!$A:$A,"5_Maximum"),"",INDEX(Maximum_RawData!K:K,MATCH("5_Maximum",Maximum_RawData!$A:$A,0)+ROWS($2:41)-1))</f>
        <v>399</v>
      </c>
      <c r="L41">
        <f>IF(ROWS($2:41)&gt;COUNTIF(Maximum_RawData!$A:$A,"5_Maximum"),"",INDEX(Maximum_RawData!L:L,MATCH("5_Maximum",Maximum_RawData!$A:$A,0)+ROWS($2:41)-1))</f>
        <v>399</v>
      </c>
      <c r="M41">
        <f>IF(ROWS($2:41)&gt;COUNTIF(Maximum_RawData!$A:$A,"5_Maximum"),"",INDEX(Maximum_RawData!M:M,MATCH("5_Maximum",Maximum_RawData!$A:$A,0)+ROWS($2:41)-1))</f>
        <v>399</v>
      </c>
      <c r="N41">
        <f>IF(ROWS($2:41)&gt;COUNTIF(Maximum_RawData!$A:$A,"5_Maximum"),"",INDEX(Maximum_RawData!N:N,MATCH("5_Maximum",Maximum_RawData!$A:$A,0)+ROWS($2:41)-1))</f>
        <v>0.1</v>
      </c>
      <c r="O41">
        <f>IF(ROWS($2:41)&gt;COUNTIF(Maximum_RawData!$A:$A,"5_Maximum"),"",INDEX(Maximum_RawData!O:O,MATCH("5_Maximum",Maximum_RawData!$A:$A,0)+ROWS($2:41)-1))</f>
        <v>0.11</v>
      </c>
      <c r="P41">
        <f>IF(ROWS($2:41)&gt;COUNTIF(Maximum_RawData!$A:$A,"5_Maximum"),"",INDEX(Maximum_RawData!P:P,MATCH("5_Maximum",Maximum_RawData!$A:$A,0)+ROWS($2:41)-1))</f>
        <v>0.08</v>
      </c>
      <c r="Q41">
        <f>IF(ROWS($2:41)&gt;COUNTIF(Maximum_RawData!$A:$A,"5_Maximum"),"",INDEX(Maximum_RawData!Q:Q,MATCH("5_Maximum",Maximum_RawData!$A:$A,0)+ROWS($2:41)-1))</f>
        <v>0.1</v>
      </c>
      <c r="R41" t="str">
        <f>IF(ROWS($2:41)&gt;COUNTIF(Maximum_RawData!$A:$A,"5_Maximum"),"",INDEX(Maximum_RawData!R:R,MATCH("5_Maximum",Maximum_RawData!$A:$A,0)+ROWS($2:41)-1))</f>
        <v>Pass</v>
      </c>
      <c r="S41">
        <f>IF(ROWS($2:41)&gt;COUNTIF(Maximum_RawData!$A:$A,"5_Maximum"),"",INDEX(Maximum_RawData!S:S,MATCH("5_Maximum",Maximum_RawData!$A:$A,0)+ROWS($2:41)-1))</f>
        <v>0</v>
      </c>
      <c r="T41">
        <f>IF(ROWS($2:41)&gt;COUNTIF(Maximum_RawData!$A:$A,"5_Maximum"),"",INDEX(Maximum_RawData!T:T,MATCH("5_Maximum",Maximum_RawData!$A:$A,0)+ROWS($2:41)-1))</f>
        <v>0</v>
      </c>
    </row>
    <row r="42" spans="1:20">
      <c r="A42" t="str">
        <f>IF(ROWS($2:42)&gt;COUNTIF(Maximum_RawData!$A:$A,"5_Maximum"),"",INDEX(Maximum_RawData!A:A,MATCH("5_Maximum",Maximum_RawData!$A:$A,0)+ROWS($2:42)-1))</f>
        <v>5_Maximum</v>
      </c>
      <c r="B42">
        <f>IF(ROWS($2:42)&gt;COUNTIF(Maximum_RawData!$A:$A,"5_Maximum"),"",INDEX(Maximum_RawData!B:B,MATCH("5_Maximum",Maximum_RawData!$A:$A,0)+ROWS($2:42)-1))</f>
        <v>145843.08600000001</v>
      </c>
      <c r="C42">
        <f>IF(ROWS($2:42)&gt;COUNTIF(Maximum_RawData!$A:$A,"5_Maximum"),"",INDEX(Maximum_RawData!C:C,MATCH("5_Maximum",Maximum_RawData!$A:$A,0)+ROWS($2:42)-1))</f>
        <v>40</v>
      </c>
      <c r="D42">
        <f>IF(ROWS($2:42)&gt;COUNTIF(Maximum_RawData!$A:$A,"5_Maximum"),"",INDEX(Maximum_RawData!D:D,MATCH("5_Maximum",Maximum_RawData!$A:$A,0)+ROWS($2:42)-1))</f>
        <v>1311.7809999999999</v>
      </c>
      <c r="E42">
        <f>IF(ROWS($2:42)&gt;COUNTIF(Maximum_RawData!$A:$A,"5_Maximum"),"",INDEX(Maximum_RawData!E:E,MATCH("5_Maximum",Maximum_RawData!$A:$A,0)+ROWS($2:42)-1))</f>
        <v>8.9700000000000006</v>
      </c>
      <c r="F42">
        <f>IF(ROWS($2:42)&gt;COUNTIF(Maximum_RawData!$A:$A,"5_Maximum"),"",INDEX(Maximum_RawData!F:F,MATCH("5_Maximum",Maximum_RawData!$A:$A,0)+ROWS($2:42)-1))</f>
        <v>399</v>
      </c>
      <c r="G42">
        <f>IF(ROWS($2:42)&gt;COUNTIF(Maximum_RawData!$A:$A,"5_Maximum"),"",INDEX(Maximum_RawData!G:G,MATCH("5_Maximum",Maximum_RawData!$A:$A,0)+ROWS($2:42)-1))</f>
        <v>399</v>
      </c>
      <c r="H42">
        <f>IF(ROWS($2:42)&gt;COUNTIF(Maximum_RawData!$A:$A,"5_Maximum"),"",INDEX(Maximum_RawData!H:H,MATCH("5_Maximum",Maximum_RawData!$A:$A,0)+ROWS($2:42)-1))</f>
        <v>399</v>
      </c>
      <c r="I42">
        <f>IF(ROWS($2:42)&gt;COUNTIF(Maximum_RawData!$A:$A,"5_Maximum"),"",INDEX(Maximum_RawData!I:I,MATCH("5_Maximum",Maximum_RawData!$A:$A,0)+ROWS($2:42)-1))</f>
        <v>399</v>
      </c>
      <c r="J42">
        <f>IF(ROWS($2:42)&gt;COUNTIF(Maximum_RawData!$A:$A,"5_Maximum"),"",INDEX(Maximum_RawData!J:J,MATCH("5_Maximum",Maximum_RawData!$A:$A,0)+ROWS($2:42)-1))</f>
        <v>399</v>
      </c>
      <c r="K42">
        <f>IF(ROWS($2:42)&gt;COUNTIF(Maximum_RawData!$A:$A,"5_Maximum"),"",INDEX(Maximum_RawData!K:K,MATCH("5_Maximum",Maximum_RawData!$A:$A,0)+ROWS($2:42)-1))</f>
        <v>399</v>
      </c>
      <c r="L42">
        <f>IF(ROWS($2:42)&gt;COUNTIF(Maximum_RawData!$A:$A,"5_Maximum"),"",INDEX(Maximum_RawData!L:L,MATCH("5_Maximum",Maximum_RawData!$A:$A,0)+ROWS($2:42)-1))</f>
        <v>399</v>
      </c>
      <c r="M42">
        <f>IF(ROWS($2:42)&gt;COUNTIF(Maximum_RawData!$A:$A,"5_Maximum"),"",INDEX(Maximum_RawData!M:M,MATCH("5_Maximum",Maximum_RawData!$A:$A,0)+ROWS($2:42)-1))</f>
        <v>399</v>
      </c>
      <c r="N42">
        <f>IF(ROWS($2:42)&gt;COUNTIF(Maximum_RawData!$A:$A,"5_Maximum"),"",INDEX(Maximum_RawData!N:N,MATCH("5_Maximum",Maximum_RawData!$A:$A,0)+ROWS($2:42)-1))</f>
        <v>0.1</v>
      </c>
      <c r="O42">
        <f>IF(ROWS($2:42)&gt;COUNTIF(Maximum_RawData!$A:$A,"5_Maximum"),"",INDEX(Maximum_RawData!O:O,MATCH("5_Maximum",Maximum_RawData!$A:$A,0)+ROWS($2:42)-1))</f>
        <v>0.11</v>
      </c>
      <c r="P42">
        <f>IF(ROWS($2:42)&gt;COUNTIF(Maximum_RawData!$A:$A,"5_Maximum"),"",INDEX(Maximum_RawData!P:P,MATCH("5_Maximum",Maximum_RawData!$A:$A,0)+ROWS($2:42)-1))</f>
        <v>0.08</v>
      </c>
      <c r="Q42">
        <f>IF(ROWS($2:42)&gt;COUNTIF(Maximum_RawData!$A:$A,"5_Maximum"),"",INDEX(Maximum_RawData!Q:Q,MATCH("5_Maximum",Maximum_RawData!$A:$A,0)+ROWS($2:42)-1))</f>
        <v>0.1</v>
      </c>
      <c r="R42" t="str">
        <f>IF(ROWS($2:42)&gt;COUNTIF(Maximum_RawData!$A:$A,"5_Maximum"),"",INDEX(Maximum_RawData!R:R,MATCH("5_Maximum",Maximum_RawData!$A:$A,0)+ROWS($2:42)-1))</f>
        <v>Pass</v>
      </c>
      <c r="S42">
        <f>IF(ROWS($2:42)&gt;COUNTIF(Maximum_RawData!$A:$A,"5_Maximum"),"",INDEX(Maximum_RawData!S:S,MATCH("5_Maximum",Maximum_RawData!$A:$A,0)+ROWS($2:42)-1))</f>
        <v>0</v>
      </c>
      <c r="T42">
        <f>IF(ROWS($2:42)&gt;COUNTIF(Maximum_RawData!$A:$A,"5_Maximum"),"",INDEX(Maximum_RawData!T:T,MATCH("5_Maximum",Maximum_RawData!$A:$A,0)+ROWS($2:42)-1))</f>
        <v>0</v>
      </c>
    </row>
    <row r="43" spans="1:20">
      <c r="A43" t="str">
        <f>IF(ROWS($2:43)&gt;COUNTIF(Maximum_RawData!$A:$A,"5_Maximum"),"",INDEX(Maximum_RawData!A:A,MATCH("5_Maximum",Maximum_RawData!$A:$A,0)+ROWS($2:43)-1))</f>
        <v>5_Maximum</v>
      </c>
      <c r="B43">
        <f>IF(ROWS($2:43)&gt;COUNTIF(Maximum_RawData!$A:$A,"5_Maximum"),"",INDEX(Maximum_RawData!B:B,MATCH("5_Maximum",Maximum_RawData!$A:$A,0)+ROWS($2:43)-1))</f>
        <v>145848.084</v>
      </c>
      <c r="C43">
        <f>IF(ROWS($2:43)&gt;COUNTIF(Maximum_RawData!$A:$A,"5_Maximum"),"",INDEX(Maximum_RawData!C:C,MATCH("5_Maximum",Maximum_RawData!$A:$A,0)+ROWS($2:43)-1))</f>
        <v>39.24</v>
      </c>
      <c r="D43">
        <f>IF(ROWS($2:43)&gt;COUNTIF(Maximum_RawData!$A:$A,"5_Maximum"),"",INDEX(Maximum_RawData!D:D,MATCH("5_Maximum",Maximum_RawData!$A:$A,0)+ROWS($2:43)-1))</f>
        <v>1311.71</v>
      </c>
      <c r="E43">
        <f>IF(ROWS($2:43)&gt;COUNTIF(Maximum_RawData!$A:$A,"5_Maximum"),"",INDEX(Maximum_RawData!E:E,MATCH("5_Maximum",Maximum_RawData!$A:$A,0)+ROWS($2:43)-1))</f>
        <v>9.11</v>
      </c>
      <c r="F43">
        <f>IF(ROWS($2:43)&gt;COUNTIF(Maximum_RawData!$A:$A,"5_Maximum"),"",INDEX(Maximum_RawData!F:F,MATCH("5_Maximum",Maximum_RawData!$A:$A,0)+ROWS($2:43)-1))</f>
        <v>399</v>
      </c>
      <c r="G43">
        <f>IF(ROWS($2:43)&gt;COUNTIF(Maximum_RawData!$A:$A,"5_Maximum"),"",INDEX(Maximum_RawData!G:G,MATCH("5_Maximum",Maximum_RawData!$A:$A,0)+ROWS($2:43)-1))</f>
        <v>399</v>
      </c>
      <c r="H43">
        <f>IF(ROWS($2:43)&gt;COUNTIF(Maximum_RawData!$A:$A,"5_Maximum"),"",INDEX(Maximum_RawData!H:H,MATCH("5_Maximum",Maximum_RawData!$A:$A,0)+ROWS($2:43)-1))</f>
        <v>399</v>
      </c>
      <c r="I43">
        <f>IF(ROWS($2:43)&gt;COUNTIF(Maximum_RawData!$A:$A,"5_Maximum"),"",INDEX(Maximum_RawData!I:I,MATCH("5_Maximum",Maximum_RawData!$A:$A,0)+ROWS($2:43)-1))</f>
        <v>399</v>
      </c>
      <c r="J43">
        <f>IF(ROWS($2:43)&gt;COUNTIF(Maximum_RawData!$A:$A,"5_Maximum"),"",INDEX(Maximum_RawData!J:J,MATCH("5_Maximum",Maximum_RawData!$A:$A,0)+ROWS($2:43)-1))</f>
        <v>399</v>
      </c>
      <c r="K43">
        <f>IF(ROWS($2:43)&gt;COUNTIF(Maximum_RawData!$A:$A,"5_Maximum"),"",INDEX(Maximum_RawData!K:K,MATCH("5_Maximum",Maximum_RawData!$A:$A,0)+ROWS($2:43)-1))</f>
        <v>399</v>
      </c>
      <c r="L43">
        <f>IF(ROWS($2:43)&gt;COUNTIF(Maximum_RawData!$A:$A,"5_Maximum"),"",INDEX(Maximum_RawData!L:L,MATCH("5_Maximum",Maximum_RawData!$A:$A,0)+ROWS($2:43)-1))</f>
        <v>399</v>
      </c>
      <c r="M43">
        <f>IF(ROWS($2:43)&gt;COUNTIF(Maximum_RawData!$A:$A,"5_Maximum"),"",INDEX(Maximum_RawData!M:M,MATCH("5_Maximum",Maximum_RawData!$A:$A,0)+ROWS($2:43)-1))</f>
        <v>399</v>
      </c>
      <c r="N43">
        <f>IF(ROWS($2:43)&gt;COUNTIF(Maximum_RawData!$A:$A,"5_Maximum"),"",INDEX(Maximum_RawData!N:N,MATCH("5_Maximum",Maximum_RawData!$A:$A,0)+ROWS($2:43)-1))</f>
        <v>0.09</v>
      </c>
      <c r="O43">
        <f>IF(ROWS($2:43)&gt;COUNTIF(Maximum_RawData!$A:$A,"5_Maximum"),"",INDEX(Maximum_RawData!O:O,MATCH("5_Maximum",Maximum_RawData!$A:$A,0)+ROWS($2:43)-1))</f>
        <v>0.11</v>
      </c>
      <c r="P43">
        <f>IF(ROWS($2:43)&gt;COUNTIF(Maximum_RawData!$A:$A,"5_Maximum"),"",INDEX(Maximum_RawData!P:P,MATCH("5_Maximum",Maximum_RawData!$A:$A,0)+ROWS($2:43)-1))</f>
        <v>0.08</v>
      </c>
      <c r="Q43">
        <f>IF(ROWS($2:43)&gt;COUNTIF(Maximum_RawData!$A:$A,"5_Maximum"),"",INDEX(Maximum_RawData!Q:Q,MATCH("5_Maximum",Maximum_RawData!$A:$A,0)+ROWS($2:43)-1))</f>
        <v>0.1</v>
      </c>
      <c r="R43" t="str">
        <f>IF(ROWS($2:43)&gt;COUNTIF(Maximum_RawData!$A:$A,"5_Maximum"),"",INDEX(Maximum_RawData!R:R,MATCH("5_Maximum",Maximum_RawData!$A:$A,0)+ROWS($2:43)-1))</f>
        <v>Pass</v>
      </c>
      <c r="S43">
        <f>IF(ROWS($2:43)&gt;COUNTIF(Maximum_RawData!$A:$A,"5_Maximum"),"",INDEX(Maximum_RawData!S:S,MATCH("5_Maximum",Maximum_RawData!$A:$A,0)+ROWS($2:43)-1))</f>
        <v>0</v>
      </c>
      <c r="T43">
        <f>IF(ROWS($2:43)&gt;COUNTIF(Maximum_RawData!$A:$A,"5_Maximum"),"",INDEX(Maximum_RawData!T:T,MATCH("5_Maximum",Maximum_RawData!$A:$A,0)+ROWS($2:43)-1))</f>
        <v>0</v>
      </c>
    </row>
    <row r="44" spans="1:20">
      <c r="A44" t="str">
        <f>IF(ROWS($2:44)&gt;COUNTIF(Maximum_RawData!$A:$A,"5_Maximum"),"",INDEX(Maximum_RawData!A:A,MATCH("5_Maximum",Maximum_RawData!$A:$A,0)+ROWS($2:44)-1))</f>
        <v>5_Maximum</v>
      </c>
      <c r="B44">
        <f>IF(ROWS($2:44)&gt;COUNTIF(Maximum_RawData!$A:$A,"5_Maximum"),"",INDEX(Maximum_RawData!B:B,MATCH("5_Maximum",Maximum_RawData!$A:$A,0)+ROWS($2:44)-1))</f>
        <v>145853.08199999999</v>
      </c>
      <c r="C44">
        <f>IF(ROWS($2:44)&gt;COUNTIF(Maximum_RawData!$A:$A,"5_Maximum"),"",INDEX(Maximum_RawData!C:C,MATCH("5_Maximum",Maximum_RawData!$A:$A,0)+ROWS($2:44)-1))</f>
        <v>38.51</v>
      </c>
      <c r="D44">
        <f>IF(ROWS($2:44)&gt;COUNTIF(Maximum_RawData!$A:$A,"5_Maximum"),"",INDEX(Maximum_RawData!D:D,MATCH("5_Maximum",Maximum_RawData!$A:$A,0)+ROWS($2:44)-1))</f>
        <v>1311.636</v>
      </c>
      <c r="E44">
        <f>IF(ROWS($2:44)&gt;COUNTIF(Maximum_RawData!$A:$A,"5_Maximum"),"",INDEX(Maximum_RawData!E:E,MATCH("5_Maximum",Maximum_RawData!$A:$A,0)+ROWS($2:44)-1))</f>
        <v>9.19</v>
      </c>
      <c r="F44">
        <f>IF(ROWS($2:44)&gt;COUNTIF(Maximum_RawData!$A:$A,"5_Maximum"),"",INDEX(Maximum_RawData!F:F,MATCH("5_Maximum",Maximum_RawData!$A:$A,0)+ROWS($2:44)-1))</f>
        <v>399</v>
      </c>
      <c r="G44">
        <f>IF(ROWS($2:44)&gt;COUNTIF(Maximum_RawData!$A:$A,"5_Maximum"),"",INDEX(Maximum_RawData!G:G,MATCH("5_Maximum",Maximum_RawData!$A:$A,0)+ROWS($2:44)-1))</f>
        <v>399</v>
      </c>
      <c r="H44">
        <f>IF(ROWS($2:44)&gt;COUNTIF(Maximum_RawData!$A:$A,"5_Maximum"),"",INDEX(Maximum_RawData!H:H,MATCH("5_Maximum",Maximum_RawData!$A:$A,0)+ROWS($2:44)-1))</f>
        <v>399</v>
      </c>
      <c r="I44">
        <f>IF(ROWS($2:44)&gt;COUNTIF(Maximum_RawData!$A:$A,"5_Maximum"),"",INDEX(Maximum_RawData!I:I,MATCH("5_Maximum",Maximum_RawData!$A:$A,0)+ROWS($2:44)-1))</f>
        <v>399</v>
      </c>
      <c r="J44">
        <f>IF(ROWS($2:44)&gt;COUNTIF(Maximum_RawData!$A:$A,"5_Maximum"),"",INDEX(Maximum_RawData!J:J,MATCH("5_Maximum",Maximum_RawData!$A:$A,0)+ROWS($2:44)-1))</f>
        <v>399</v>
      </c>
      <c r="K44">
        <f>IF(ROWS($2:44)&gt;COUNTIF(Maximum_RawData!$A:$A,"5_Maximum"),"",INDEX(Maximum_RawData!K:K,MATCH("5_Maximum",Maximum_RawData!$A:$A,0)+ROWS($2:44)-1))</f>
        <v>399</v>
      </c>
      <c r="L44">
        <f>IF(ROWS($2:44)&gt;COUNTIF(Maximum_RawData!$A:$A,"5_Maximum"),"",INDEX(Maximum_RawData!L:L,MATCH("5_Maximum",Maximum_RawData!$A:$A,0)+ROWS($2:44)-1))</f>
        <v>399</v>
      </c>
      <c r="M44">
        <f>IF(ROWS($2:44)&gt;COUNTIF(Maximum_RawData!$A:$A,"5_Maximum"),"",INDEX(Maximum_RawData!M:M,MATCH("5_Maximum",Maximum_RawData!$A:$A,0)+ROWS($2:44)-1))</f>
        <v>399</v>
      </c>
      <c r="N44">
        <f>IF(ROWS($2:44)&gt;COUNTIF(Maximum_RawData!$A:$A,"5_Maximum"),"",INDEX(Maximum_RawData!N:N,MATCH("5_Maximum",Maximum_RawData!$A:$A,0)+ROWS($2:44)-1))</f>
        <v>0.1</v>
      </c>
      <c r="O44">
        <f>IF(ROWS($2:44)&gt;COUNTIF(Maximum_RawData!$A:$A,"5_Maximum"),"",INDEX(Maximum_RawData!O:O,MATCH("5_Maximum",Maximum_RawData!$A:$A,0)+ROWS($2:44)-1))</f>
        <v>0.11</v>
      </c>
      <c r="P44">
        <f>IF(ROWS($2:44)&gt;COUNTIF(Maximum_RawData!$A:$A,"5_Maximum"),"",INDEX(Maximum_RawData!P:P,MATCH("5_Maximum",Maximum_RawData!$A:$A,0)+ROWS($2:44)-1))</f>
        <v>0.08</v>
      </c>
      <c r="Q44">
        <f>IF(ROWS($2:44)&gt;COUNTIF(Maximum_RawData!$A:$A,"5_Maximum"),"",INDEX(Maximum_RawData!Q:Q,MATCH("5_Maximum",Maximum_RawData!$A:$A,0)+ROWS($2:44)-1))</f>
        <v>0.1</v>
      </c>
      <c r="R44" t="str">
        <f>IF(ROWS($2:44)&gt;COUNTIF(Maximum_RawData!$A:$A,"5_Maximum"),"",INDEX(Maximum_RawData!R:R,MATCH("5_Maximum",Maximum_RawData!$A:$A,0)+ROWS($2:44)-1))</f>
        <v>Pass</v>
      </c>
      <c r="S44">
        <f>IF(ROWS($2:44)&gt;COUNTIF(Maximum_RawData!$A:$A,"5_Maximum"),"",INDEX(Maximum_RawData!S:S,MATCH("5_Maximum",Maximum_RawData!$A:$A,0)+ROWS($2:44)-1))</f>
        <v>0</v>
      </c>
      <c r="T44">
        <f>IF(ROWS($2:44)&gt;COUNTIF(Maximum_RawData!$A:$A,"5_Maximum"),"",INDEX(Maximum_RawData!T:T,MATCH("5_Maximum",Maximum_RawData!$A:$A,0)+ROWS($2:44)-1))</f>
        <v>0</v>
      </c>
    </row>
    <row r="45" spans="1:20">
      <c r="A45" t="str">
        <f>IF(ROWS($2:45)&gt;COUNTIF(Maximum_RawData!$A:$A,"5_Maximum"),"",INDEX(Maximum_RawData!A:A,MATCH("5_Maximum",Maximum_RawData!$A:$A,0)+ROWS($2:45)-1))</f>
        <v>5_Maximum</v>
      </c>
      <c r="B45">
        <f>IF(ROWS($2:45)&gt;COUNTIF(Maximum_RawData!$A:$A,"5_Maximum"),"",INDEX(Maximum_RawData!B:B,MATCH("5_Maximum",Maximum_RawData!$A:$A,0)+ROWS($2:45)-1))</f>
        <v>145858.087</v>
      </c>
      <c r="C45">
        <f>IF(ROWS($2:45)&gt;COUNTIF(Maximum_RawData!$A:$A,"5_Maximum"),"",INDEX(Maximum_RawData!C:C,MATCH("5_Maximum",Maximum_RawData!$A:$A,0)+ROWS($2:45)-1))</f>
        <v>37.74</v>
      </c>
      <c r="D45">
        <f>IF(ROWS($2:45)&gt;COUNTIF(Maximum_RawData!$A:$A,"5_Maximum"),"",INDEX(Maximum_RawData!D:D,MATCH("5_Maximum",Maximum_RawData!$A:$A,0)+ROWS($2:45)-1))</f>
        <v>1311.558</v>
      </c>
      <c r="E45">
        <f>IF(ROWS($2:45)&gt;COUNTIF(Maximum_RawData!$A:$A,"5_Maximum"),"",INDEX(Maximum_RawData!E:E,MATCH("5_Maximum",Maximum_RawData!$A:$A,0)+ROWS($2:45)-1))</f>
        <v>9.27</v>
      </c>
      <c r="F45">
        <f>IF(ROWS($2:45)&gt;COUNTIF(Maximum_RawData!$A:$A,"5_Maximum"),"",INDEX(Maximum_RawData!F:F,MATCH("5_Maximum",Maximum_RawData!$A:$A,0)+ROWS($2:45)-1))</f>
        <v>399</v>
      </c>
      <c r="G45">
        <f>IF(ROWS($2:45)&gt;COUNTIF(Maximum_RawData!$A:$A,"5_Maximum"),"",INDEX(Maximum_RawData!G:G,MATCH("5_Maximum",Maximum_RawData!$A:$A,0)+ROWS($2:45)-1))</f>
        <v>399</v>
      </c>
      <c r="H45">
        <f>IF(ROWS($2:45)&gt;COUNTIF(Maximum_RawData!$A:$A,"5_Maximum"),"",INDEX(Maximum_RawData!H:H,MATCH("5_Maximum",Maximum_RawData!$A:$A,0)+ROWS($2:45)-1))</f>
        <v>399</v>
      </c>
      <c r="I45">
        <f>IF(ROWS($2:45)&gt;COUNTIF(Maximum_RawData!$A:$A,"5_Maximum"),"",INDEX(Maximum_RawData!I:I,MATCH("5_Maximum",Maximum_RawData!$A:$A,0)+ROWS($2:45)-1))</f>
        <v>399</v>
      </c>
      <c r="J45">
        <f>IF(ROWS($2:45)&gt;COUNTIF(Maximum_RawData!$A:$A,"5_Maximum"),"",INDEX(Maximum_RawData!J:J,MATCH("5_Maximum",Maximum_RawData!$A:$A,0)+ROWS($2:45)-1))</f>
        <v>399</v>
      </c>
      <c r="K45">
        <f>IF(ROWS($2:45)&gt;COUNTIF(Maximum_RawData!$A:$A,"5_Maximum"),"",INDEX(Maximum_RawData!K:K,MATCH("5_Maximum",Maximum_RawData!$A:$A,0)+ROWS($2:45)-1))</f>
        <v>399</v>
      </c>
      <c r="L45">
        <f>IF(ROWS($2:45)&gt;COUNTIF(Maximum_RawData!$A:$A,"5_Maximum"),"",INDEX(Maximum_RawData!L:L,MATCH("5_Maximum",Maximum_RawData!$A:$A,0)+ROWS($2:45)-1))</f>
        <v>399</v>
      </c>
      <c r="M45">
        <f>IF(ROWS($2:45)&gt;COUNTIF(Maximum_RawData!$A:$A,"5_Maximum"),"",INDEX(Maximum_RawData!M:M,MATCH("5_Maximum",Maximum_RawData!$A:$A,0)+ROWS($2:45)-1))</f>
        <v>399</v>
      </c>
      <c r="N45">
        <f>IF(ROWS($2:45)&gt;COUNTIF(Maximum_RawData!$A:$A,"5_Maximum"),"",INDEX(Maximum_RawData!N:N,MATCH("5_Maximum",Maximum_RawData!$A:$A,0)+ROWS($2:45)-1))</f>
        <v>0.1</v>
      </c>
      <c r="O45">
        <f>IF(ROWS($2:45)&gt;COUNTIF(Maximum_RawData!$A:$A,"5_Maximum"),"",INDEX(Maximum_RawData!O:O,MATCH("5_Maximum",Maximum_RawData!$A:$A,0)+ROWS($2:45)-1))</f>
        <v>0.11</v>
      </c>
      <c r="P45">
        <f>IF(ROWS($2:45)&gt;COUNTIF(Maximum_RawData!$A:$A,"5_Maximum"),"",INDEX(Maximum_RawData!P:P,MATCH("5_Maximum",Maximum_RawData!$A:$A,0)+ROWS($2:45)-1))</f>
        <v>0.08</v>
      </c>
      <c r="Q45">
        <f>IF(ROWS($2:45)&gt;COUNTIF(Maximum_RawData!$A:$A,"5_Maximum"),"",INDEX(Maximum_RawData!Q:Q,MATCH("5_Maximum",Maximum_RawData!$A:$A,0)+ROWS($2:45)-1))</f>
        <v>0.1</v>
      </c>
      <c r="R45" t="str">
        <f>IF(ROWS($2:45)&gt;COUNTIF(Maximum_RawData!$A:$A,"5_Maximum"),"",INDEX(Maximum_RawData!R:R,MATCH("5_Maximum",Maximum_RawData!$A:$A,0)+ROWS($2:45)-1))</f>
        <v>Pass</v>
      </c>
      <c r="S45">
        <f>IF(ROWS($2:45)&gt;COUNTIF(Maximum_RawData!$A:$A,"5_Maximum"),"",INDEX(Maximum_RawData!S:S,MATCH("5_Maximum",Maximum_RawData!$A:$A,0)+ROWS($2:45)-1))</f>
        <v>0</v>
      </c>
      <c r="T45">
        <f>IF(ROWS($2:45)&gt;COUNTIF(Maximum_RawData!$A:$A,"5_Maximum"),"",INDEX(Maximum_RawData!T:T,MATCH("5_Maximum",Maximum_RawData!$A:$A,0)+ROWS($2:45)-1))</f>
        <v>0</v>
      </c>
    </row>
    <row r="46" spans="1:20">
      <c r="A46" t="str">
        <f>IF(ROWS($2:46)&gt;COUNTIF(Maximum_RawData!$A:$A,"5_Maximum"),"",INDEX(Maximum_RawData!A:A,MATCH("5_Maximum",Maximum_RawData!$A:$A,0)+ROWS($2:46)-1))</f>
        <v>5_Maximum</v>
      </c>
      <c r="B46">
        <f>IF(ROWS($2:46)&gt;COUNTIF(Maximum_RawData!$A:$A,"5_Maximum"),"",INDEX(Maximum_RawData!B:B,MATCH("5_Maximum",Maximum_RawData!$A:$A,0)+ROWS($2:46)-1))</f>
        <v>145903.087</v>
      </c>
      <c r="C46">
        <f>IF(ROWS($2:46)&gt;COUNTIF(Maximum_RawData!$A:$A,"5_Maximum"),"",INDEX(Maximum_RawData!C:C,MATCH("5_Maximum",Maximum_RawData!$A:$A,0)+ROWS($2:46)-1))</f>
        <v>37.01</v>
      </c>
      <c r="D46">
        <f>IF(ROWS($2:46)&gt;COUNTIF(Maximum_RawData!$A:$A,"5_Maximum"),"",INDEX(Maximum_RawData!D:D,MATCH("5_Maximum",Maximum_RawData!$A:$A,0)+ROWS($2:46)-1))</f>
        <v>1311.4939999999999</v>
      </c>
      <c r="E46">
        <f>IF(ROWS($2:46)&gt;COUNTIF(Maximum_RawData!$A:$A,"5_Maximum"),"",INDEX(Maximum_RawData!E:E,MATCH("5_Maximum",Maximum_RawData!$A:$A,0)+ROWS($2:46)-1))</f>
        <v>9.34</v>
      </c>
      <c r="F46">
        <f>IF(ROWS($2:46)&gt;COUNTIF(Maximum_RawData!$A:$A,"5_Maximum"),"",INDEX(Maximum_RawData!F:F,MATCH("5_Maximum",Maximum_RawData!$A:$A,0)+ROWS($2:46)-1))</f>
        <v>399</v>
      </c>
      <c r="G46">
        <f>IF(ROWS($2:46)&gt;COUNTIF(Maximum_RawData!$A:$A,"5_Maximum"),"",INDEX(Maximum_RawData!G:G,MATCH("5_Maximum",Maximum_RawData!$A:$A,0)+ROWS($2:46)-1))</f>
        <v>399</v>
      </c>
      <c r="H46">
        <f>IF(ROWS($2:46)&gt;COUNTIF(Maximum_RawData!$A:$A,"5_Maximum"),"",INDEX(Maximum_RawData!H:H,MATCH("5_Maximum",Maximum_RawData!$A:$A,0)+ROWS($2:46)-1))</f>
        <v>399</v>
      </c>
      <c r="I46">
        <f>IF(ROWS($2:46)&gt;COUNTIF(Maximum_RawData!$A:$A,"5_Maximum"),"",INDEX(Maximum_RawData!I:I,MATCH("5_Maximum",Maximum_RawData!$A:$A,0)+ROWS($2:46)-1))</f>
        <v>399</v>
      </c>
      <c r="J46">
        <f>IF(ROWS($2:46)&gt;COUNTIF(Maximum_RawData!$A:$A,"5_Maximum"),"",INDEX(Maximum_RawData!J:J,MATCH("5_Maximum",Maximum_RawData!$A:$A,0)+ROWS($2:46)-1))</f>
        <v>399</v>
      </c>
      <c r="K46">
        <f>IF(ROWS($2:46)&gt;COUNTIF(Maximum_RawData!$A:$A,"5_Maximum"),"",INDEX(Maximum_RawData!K:K,MATCH("5_Maximum",Maximum_RawData!$A:$A,0)+ROWS($2:46)-1))</f>
        <v>399</v>
      </c>
      <c r="L46">
        <f>IF(ROWS($2:46)&gt;COUNTIF(Maximum_RawData!$A:$A,"5_Maximum"),"",INDEX(Maximum_RawData!L:L,MATCH("5_Maximum",Maximum_RawData!$A:$A,0)+ROWS($2:46)-1))</f>
        <v>399</v>
      </c>
      <c r="M46">
        <f>IF(ROWS($2:46)&gt;COUNTIF(Maximum_RawData!$A:$A,"5_Maximum"),"",INDEX(Maximum_RawData!M:M,MATCH("5_Maximum",Maximum_RawData!$A:$A,0)+ROWS($2:46)-1))</f>
        <v>399</v>
      </c>
      <c r="N46">
        <f>IF(ROWS($2:46)&gt;COUNTIF(Maximum_RawData!$A:$A,"5_Maximum"),"",INDEX(Maximum_RawData!N:N,MATCH("5_Maximum",Maximum_RawData!$A:$A,0)+ROWS($2:46)-1))</f>
        <v>0.09</v>
      </c>
      <c r="O46">
        <f>IF(ROWS($2:46)&gt;COUNTIF(Maximum_RawData!$A:$A,"5_Maximum"),"",INDEX(Maximum_RawData!O:O,MATCH("5_Maximum",Maximum_RawData!$A:$A,0)+ROWS($2:46)-1))</f>
        <v>0.11</v>
      </c>
      <c r="P46">
        <f>IF(ROWS($2:46)&gt;COUNTIF(Maximum_RawData!$A:$A,"5_Maximum"),"",INDEX(Maximum_RawData!P:P,MATCH("5_Maximum",Maximum_RawData!$A:$A,0)+ROWS($2:46)-1))</f>
        <v>0.08</v>
      </c>
      <c r="Q46">
        <f>IF(ROWS($2:46)&gt;COUNTIF(Maximum_RawData!$A:$A,"5_Maximum"),"",INDEX(Maximum_RawData!Q:Q,MATCH("5_Maximum",Maximum_RawData!$A:$A,0)+ROWS($2:46)-1))</f>
        <v>0.1</v>
      </c>
      <c r="R46" t="str">
        <f>IF(ROWS($2:46)&gt;COUNTIF(Maximum_RawData!$A:$A,"5_Maximum"),"",INDEX(Maximum_RawData!R:R,MATCH("5_Maximum",Maximum_RawData!$A:$A,0)+ROWS($2:46)-1))</f>
        <v>Pass</v>
      </c>
      <c r="S46">
        <f>IF(ROWS($2:46)&gt;COUNTIF(Maximum_RawData!$A:$A,"5_Maximum"),"",INDEX(Maximum_RawData!S:S,MATCH("5_Maximum",Maximum_RawData!$A:$A,0)+ROWS($2:46)-1))</f>
        <v>0</v>
      </c>
      <c r="T46">
        <f>IF(ROWS($2:46)&gt;COUNTIF(Maximum_RawData!$A:$A,"5_Maximum"),"",INDEX(Maximum_RawData!T:T,MATCH("5_Maximum",Maximum_RawData!$A:$A,0)+ROWS($2:46)-1))</f>
        <v>0</v>
      </c>
    </row>
    <row r="47" spans="1:20">
      <c r="A47" t="str">
        <f>IF(ROWS($2:47)&gt;COUNTIF(Maximum_RawData!$A:$A,"5_Maximum"),"",INDEX(Maximum_RawData!A:A,MATCH("5_Maximum",Maximum_RawData!$A:$A,0)+ROWS($2:47)-1))</f>
        <v>5_Maximum</v>
      </c>
      <c r="B47">
        <f>IF(ROWS($2:47)&gt;COUNTIF(Maximum_RawData!$A:$A,"5_Maximum"),"",INDEX(Maximum_RawData!B:B,MATCH("5_Maximum",Maximum_RawData!$A:$A,0)+ROWS($2:47)-1))</f>
        <v>145908.084</v>
      </c>
      <c r="C47">
        <f>IF(ROWS($2:47)&gt;COUNTIF(Maximum_RawData!$A:$A,"5_Maximum"),"",INDEX(Maximum_RawData!C:C,MATCH("5_Maximum",Maximum_RawData!$A:$A,0)+ROWS($2:47)-1))</f>
        <v>36.26</v>
      </c>
      <c r="D47">
        <f>IF(ROWS($2:47)&gt;COUNTIF(Maximum_RawData!$A:$A,"5_Maximum"),"",INDEX(Maximum_RawData!D:D,MATCH("5_Maximum",Maximum_RawData!$A:$A,0)+ROWS($2:47)-1))</f>
        <v>1311.421</v>
      </c>
      <c r="E47">
        <f>IF(ROWS($2:47)&gt;COUNTIF(Maximum_RawData!$A:$A,"5_Maximum"),"",INDEX(Maximum_RawData!E:E,MATCH("5_Maximum",Maximum_RawData!$A:$A,0)+ROWS($2:47)-1))</f>
        <v>9.43</v>
      </c>
      <c r="F47">
        <f>IF(ROWS($2:47)&gt;COUNTIF(Maximum_RawData!$A:$A,"5_Maximum"),"",INDEX(Maximum_RawData!F:F,MATCH("5_Maximum",Maximum_RawData!$A:$A,0)+ROWS($2:47)-1))</f>
        <v>399</v>
      </c>
      <c r="G47">
        <f>IF(ROWS($2:47)&gt;COUNTIF(Maximum_RawData!$A:$A,"5_Maximum"),"",INDEX(Maximum_RawData!G:G,MATCH("5_Maximum",Maximum_RawData!$A:$A,0)+ROWS($2:47)-1))</f>
        <v>399</v>
      </c>
      <c r="H47">
        <f>IF(ROWS($2:47)&gt;COUNTIF(Maximum_RawData!$A:$A,"5_Maximum"),"",INDEX(Maximum_RawData!H:H,MATCH("5_Maximum",Maximum_RawData!$A:$A,0)+ROWS($2:47)-1))</f>
        <v>399</v>
      </c>
      <c r="I47">
        <f>IF(ROWS($2:47)&gt;COUNTIF(Maximum_RawData!$A:$A,"5_Maximum"),"",INDEX(Maximum_RawData!I:I,MATCH("5_Maximum",Maximum_RawData!$A:$A,0)+ROWS($2:47)-1))</f>
        <v>399</v>
      </c>
      <c r="J47">
        <f>IF(ROWS($2:47)&gt;COUNTIF(Maximum_RawData!$A:$A,"5_Maximum"),"",INDEX(Maximum_RawData!J:J,MATCH("5_Maximum",Maximum_RawData!$A:$A,0)+ROWS($2:47)-1))</f>
        <v>399</v>
      </c>
      <c r="K47">
        <f>IF(ROWS($2:47)&gt;COUNTIF(Maximum_RawData!$A:$A,"5_Maximum"),"",INDEX(Maximum_RawData!K:K,MATCH("5_Maximum",Maximum_RawData!$A:$A,0)+ROWS($2:47)-1))</f>
        <v>399</v>
      </c>
      <c r="L47">
        <f>IF(ROWS($2:47)&gt;COUNTIF(Maximum_RawData!$A:$A,"5_Maximum"),"",INDEX(Maximum_RawData!L:L,MATCH("5_Maximum",Maximum_RawData!$A:$A,0)+ROWS($2:47)-1))</f>
        <v>399</v>
      </c>
      <c r="M47">
        <f>IF(ROWS($2:47)&gt;COUNTIF(Maximum_RawData!$A:$A,"5_Maximum"),"",INDEX(Maximum_RawData!M:M,MATCH("5_Maximum",Maximum_RawData!$A:$A,0)+ROWS($2:47)-1))</f>
        <v>399</v>
      </c>
      <c r="N47">
        <f>IF(ROWS($2:47)&gt;COUNTIF(Maximum_RawData!$A:$A,"5_Maximum"),"",INDEX(Maximum_RawData!N:N,MATCH("5_Maximum",Maximum_RawData!$A:$A,0)+ROWS($2:47)-1))</f>
        <v>0.1</v>
      </c>
      <c r="O47">
        <f>IF(ROWS($2:47)&gt;COUNTIF(Maximum_RawData!$A:$A,"5_Maximum"),"",INDEX(Maximum_RawData!O:O,MATCH("5_Maximum",Maximum_RawData!$A:$A,0)+ROWS($2:47)-1))</f>
        <v>0.11</v>
      </c>
      <c r="P47">
        <f>IF(ROWS($2:47)&gt;COUNTIF(Maximum_RawData!$A:$A,"5_Maximum"),"",INDEX(Maximum_RawData!P:P,MATCH("5_Maximum",Maximum_RawData!$A:$A,0)+ROWS($2:47)-1))</f>
        <v>0.08</v>
      </c>
      <c r="Q47">
        <f>IF(ROWS($2:47)&gt;COUNTIF(Maximum_RawData!$A:$A,"5_Maximum"),"",INDEX(Maximum_RawData!Q:Q,MATCH("5_Maximum",Maximum_RawData!$A:$A,0)+ROWS($2:47)-1))</f>
        <v>0.1</v>
      </c>
      <c r="R47" t="str">
        <f>IF(ROWS($2:47)&gt;COUNTIF(Maximum_RawData!$A:$A,"5_Maximum"),"",INDEX(Maximum_RawData!R:R,MATCH("5_Maximum",Maximum_RawData!$A:$A,0)+ROWS($2:47)-1))</f>
        <v>Pass</v>
      </c>
      <c r="S47">
        <f>IF(ROWS($2:47)&gt;COUNTIF(Maximum_RawData!$A:$A,"5_Maximum"),"",INDEX(Maximum_RawData!S:S,MATCH("5_Maximum",Maximum_RawData!$A:$A,0)+ROWS($2:47)-1))</f>
        <v>0</v>
      </c>
      <c r="T47">
        <f>IF(ROWS($2:47)&gt;COUNTIF(Maximum_RawData!$A:$A,"5_Maximum"),"",INDEX(Maximum_RawData!T:T,MATCH("5_Maximum",Maximum_RawData!$A:$A,0)+ROWS($2:47)-1))</f>
        <v>0</v>
      </c>
    </row>
    <row r="48" spans="1:20">
      <c r="A48" t="str">
        <f>IF(ROWS($2:48)&gt;COUNTIF(Maximum_RawData!$A:$A,"5_Maximum"),"",INDEX(Maximum_RawData!A:A,MATCH("5_Maximum",Maximum_RawData!$A:$A,0)+ROWS($2:48)-1))</f>
        <v>5_Maximum</v>
      </c>
      <c r="B48">
        <f>IF(ROWS($2:48)&gt;COUNTIF(Maximum_RawData!$A:$A,"5_Maximum"),"",INDEX(Maximum_RawData!B:B,MATCH("5_Maximum",Maximum_RawData!$A:$A,0)+ROWS($2:48)-1))</f>
        <v>145913.08799999999</v>
      </c>
      <c r="C48">
        <f>IF(ROWS($2:48)&gt;COUNTIF(Maximum_RawData!$A:$A,"5_Maximum"),"",INDEX(Maximum_RawData!C:C,MATCH("5_Maximum",Maximum_RawData!$A:$A,0)+ROWS($2:48)-1))</f>
        <v>35.53</v>
      </c>
      <c r="D48">
        <f>IF(ROWS($2:48)&gt;COUNTIF(Maximum_RawData!$A:$A,"5_Maximum"),"",INDEX(Maximum_RawData!D:D,MATCH("5_Maximum",Maximum_RawData!$A:$A,0)+ROWS($2:48)-1))</f>
        <v>1311.34</v>
      </c>
      <c r="E48">
        <f>IF(ROWS($2:48)&gt;COUNTIF(Maximum_RawData!$A:$A,"5_Maximum"),"",INDEX(Maximum_RawData!E:E,MATCH("5_Maximum",Maximum_RawData!$A:$A,0)+ROWS($2:48)-1))</f>
        <v>9.5299999999999994</v>
      </c>
      <c r="F48">
        <f>IF(ROWS($2:48)&gt;COUNTIF(Maximum_RawData!$A:$A,"5_Maximum"),"",INDEX(Maximum_RawData!F:F,MATCH("5_Maximum",Maximum_RawData!$A:$A,0)+ROWS($2:48)-1))</f>
        <v>399</v>
      </c>
      <c r="G48">
        <f>IF(ROWS($2:48)&gt;COUNTIF(Maximum_RawData!$A:$A,"5_Maximum"),"",INDEX(Maximum_RawData!G:G,MATCH("5_Maximum",Maximum_RawData!$A:$A,0)+ROWS($2:48)-1))</f>
        <v>399</v>
      </c>
      <c r="H48">
        <f>IF(ROWS($2:48)&gt;COUNTIF(Maximum_RawData!$A:$A,"5_Maximum"),"",INDEX(Maximum_RawData!H:H,MATCH("5_Maximum",Maximum_RawData!$A:$A,0)+ROWS($2:48)-1))</f>
        <v>399</v>
      </c>
      <c r="I48">
        <f>IF(ROWS($2:48)&gt;COUNTIF(Maximum_RawData!$A:$A,"5_Maximum"),"",INDEX(Maximum_RawData!I:I,MATCH("5_Maximum",Maximum_RawData!$A:$A,0)+ROWS($2:48)-1))</f>
        <v>399</v>
      </c>
      <c r="J48">
        <f>IF(ROWS($2:48)&gt;COUNTIF(Maximum_RawData!$A:$A,"5_Maximum"),"",INDEX(Maximum_RawData!J:J,MATCH("5_Maximum",Maximum_RawData!$A:$A,0)+ROWS($2:48)-1))</f>
        <v>399</v>
      </c>
      <c r="K48">
        <f>IF(ROWS($2:48)&gt;COUNTIF(Maximum_RawData!$A:$A,"5_Maximum"),"",INDEX(Maximum_RawData!K:K,MATCH("5_Maximum",Maximum_RawData!$A:$A,0)+ROWS($2:48)-1))</f>
        <v>399</v>
      </c>
      <c r="L48">
        <f>IF(ROWS($2:48)&gt;COUNTIF(Maximum_RawData!$A:$A,"5_Maximum"),"",INDEX(Maximum_RawData!L:L,MATCH("5_Maximum",Maximum_RawData!$A:$A,0)+ROWS($2:48)-1))</f>
        <v>399</v>
      </c>
      <c r="M48">
        <f>IF(ROWS($2:48)&gt;COUNTIF(Maximum_RawData!$A:$A,"5_Maximum"),"",INDEX(Maximum_RawData!M:M,MATCH("5_Maximum",Maximum_RawData!$A:$A,0)+ROWS($2:48)-1))</f>
        <v>399</v>
      </c>
      <c r="N48">
        <f>IF(ROWS($2:48)&gt;COUNTIF(Maximum_RawData!$A:$A,"5_Maximum"),"",INDEX(Maximum_RawData!N:N,MATCH("5_Maximum",Maximum_RawData!$A:$A,0)+ROWS($2:48)-1))</f>
        <v>0.11</v>
      </c>
      <c r="O48">
        <f>IF(ROWS($2:48)&gt;COUNTIF(Maximum_RawData!$A:$A,"5_Maximum"),"",INDEX(Maximum_RawData!O:O,MATCH("5_Maximum",Maximum_RawData!$A:$A,0)+ROWS($2:48)-1))</f>
        <v>0.11</v>
      </c>
      <c r="P48">
        <f>IF(ROWS($2:48)&gt;COUNTIF(Maximum_RawData!$A:$A,"5_Maximum"),"",INDEX(Maximum_RawData!P:P,MATCH("5_Maximum",Maximum_RawData!$A:$A,0)+ROWS($2:48)-1))</f>
        <v>0.08</v>
      </c>
      <c r="Q48">
        <f>IF(ROWS($2:48)&gt;COUNTIF(Maximum_RawData!$A:$A,"5_Maximum"),"",INDEX(Maximum_RawData!Q:Q,MATCH("5_Maximum",Maximum_RawData!$A:$A,0)+ROWS($2:48)-1))</f>
        <v>0.1</v>
      </c>
      <c r="R48" t="str">
        <f>IF(ROWS($2:48)&gt;COUNTIF(Maximum_RawData!$A:$A,"5_Maximum"),"",INDEX(Maximum_RawData!R:R,MATCH("5_Maximum",Maximum_RawData!$A:$A,0)+ROWS($2:48)-1))</f>
        <v>Pass</v>
      </c>
      <c r="S48">
        <f>IF(ROWS($2:48)&gt;COUNTIF(Maximum_RawData!$A:$A,"5_Maximum"),"",INDEX(Maximum_RawData!S:S,MATCH("5_Maximum",Maximum_RawData!$A:$A,0)+ROWS($2:48)-1))</f>
        <v>0</v>
      </c>
      <c r="T48">
        <f>IF(ROWS($2:48)&gt;COUNTIF(Maximum_RawData!$A:$A,"5_Maximum"),"",INDEX(Maximum_RawData!T:T,MATCH("5_Maximum",Maximum_RawData!$A:$A,0)+ROWS($2:48)-1))</f>
        <v>0</v>
      </c>
    </row>
    <row r="49" spans="1:20">
      <c r="A49" t="str">
        <f>IF(ROWS($2:49)&gt;COUNTIF(Maximum_RawData!$A:$A,"5_Maximum"),"",INDEX(Maximum_RawData!A:A,MATCH("5_Maximum",Maximum_RawData!$A:$A,0)+ROWS($2:49)-1))</f>
        <v>5_Maximum</v>
      </c>
      <c r="B49">
        <f>IF(ROWS($2:49)&gt;COUNTIF(Maximum_RawData!$A:$A,"5_Maximum"),"",INDEX(Maximum_RawData!B:B,MATCH("5_Maximum",Maximum_RawData!$A:$A,0)+ROWS($2:49)-1))</f>
        <v>145918.09299999999</v>
      </c>
      <c r="C49">
        <f>IF(ROWS($2:49)&gt;COUNTIF(Maximum_RawData!$A:$A,"5_Maximum"),"",INDEX(Maximum_RawData!C:C,MATCH("5_Maximum",Maximum_RawData!$A:$A,0)+ROWS($2:49)-1))</f>
        <v>34.78</v>
      </c>
      <c r="D49">
        <f>IF(ROWS($2:49)&gt;COUNTIF(Maximum_RawData!$A:$A,"5_Maximum"),"",INDEX(Maximum_RawData!D:D,MATCH("5_Maximum",Maximum_RawData!$A:$A,0)+ROWS($2:49)-1))</f>
        <v>1311.2760000000001</v>
      </c>
      <c r="E49">
        <f>IF(ROWS($2:49)&gt;COUNTIF(Maximum_RawData!$A:$A,"5_Maximum"),"",INDEX(Maximum_RawData!E:E,MATCH("5_Maximum",Maximum_RawData!$A:$A,0)+ROWS($2:49)-1))</f>
        <v>9.59</v>
      </c>
      <c r="F49">
        <f>IF(ROWS($2:49)&gt;COUNTIF(Maximum_RawData!$A:$A,"5_Maximum"),"",INDEX(Maximum_RawData!F:F,MATCH("5_Maximum",Maximum_RawData!$A:$A,0)+ROWS($2:49)-1))</f>
        <v>399</v>
      </c>
      <c r="G49">
        <f>IF(ROWS($2:49)&gt;COUNTIF(Maximum_RawData!$A:$A,"5_Maximum"),"",INDEX(Maximum_RawData!G:G,MATCH("5_Maximum",Maximum_RawData!$A:$A,0)+ROWS($2:49)-1))</f>
        <v>399</v>
      </c>
      <c r="H49">
        <f>IF(ROWS($2:49)&gt;COUNTIF(Maximum_RawData!$A:$A,"5_Maximum"),"",INDEX(Maximum_RawData!H:H,MATCH("5_Maximum",Maximum_RawData!$A:$A,0)+ROWS($2:49)-1))</f>
        <v>399</v>
      </c>
      <c r="I49">
        <f>IF(ROWS($2:49)&gt;COUNTIF(Maximum_RawData!$A:$A,"5_Maximum"),"",INDEX(Maximum_RawData!I:I,MATCH("5_Maximum",Maximum_RawData!$A:$A,0)+ROWS($2:49)-1))</f>
        <v>399</v>
      </c>
      <c r="J49">
        <f>IF(ROWS($2:49)&gt;COUNTIF(Maximum_RawData!$A:$A,"5_Maximum"),"",INDEX(Maximum_RawData!J:J,MATCH("5_Maximum",Maximum_RawData!$A:$A,0)+ROWS($2:49)-1))</f>
        <v>399</v>
      </c>
      <c r="K49">
        <f>IF(ROWS($2:49)&gt;COUNTIF(Maximum_RawData!$A:$A,"5_Maximum"),"",INDEX(Maximum_RawData!K:K,MATCH("5_Maximum",Maximum_RawData!$A:$A,0)+ROWS($2:49)-1))</f>
        <v>399</v>
      </c>
      <c r="L49">
        <f>IF(ROWS($2:49)&gt;COUNTIF(Maximum_RawData!$A:$A,"5_Maximum"),"",INDEX(Maximum_RawData!L:L,MATCH("5_Maximum",Maximum_RawData!$A:$A,0)+ROWS($2:49)-1))</f>
        <v>399</v>
      </c>
      <c r="M49">
        <f>IF(ROWS($2:49)&gt;COUNTIF(Maximum_RawData!$A:$A,"5_Maximum"),"",INDEX(Maximum_RawData!M:M,MATCH("5_Maximum",Maximum_RawData!$A:$A,0)+ROWS($2:49)-1))</f>
        <v>399</v>
      </c>
      <c r="N49">
        <f>IF(ROWS($2:49)&gt;COUNTIF(Maximum_RawData!$A:$A,"5_Maximum"),"",INDEX(Maximum_RawData!N:N,MATCH("5_Maximum",Maximum_RawData!$A:$A,0)+ROWS($2:49)-1))</f>
        <v>0.09</v>
      </c>
      <c r="O49">
        <f>IF(ROWS($2:49)&gt;COUNTIF(Maximum_RawData!$A:$A,"5_Maximum"),"",INDEX(Maximum_RawData!O:O,MATCH("5_Maximum",Maximum_RawData!$A:$A,0)+ROWS($2:49)-1))</f>
        <v>0.11</v>
      </c>
      <c r="P49">
        <f>IF(ROWS($2:49)&gt;COUNTIF(Maximum_RawData!$A:$A,"5_Maximum"),"",INDEX(Maximum_RawData!P:P,MATCH("5_Maximum",Maximum_RawData!$A:$A,0)+ROWS($2:49)-1))</f>
        <v>0.08</v>
      </c>
      <c r="Q49">
        <f>IF(ROWS($2:49)&gt;COUNTIF(Maximum_RawData!$A:$A,"5_Maximum"),"",INDEX(Maximum_RawData!Q:Q,MATCH("5_Maximum",Maximum_RawData!$A:$A,0)+ROWS($2:49)-1))</f>
        <v>0.1</v>
      </c>
      <c r="R49" t="str">
        <f>IF(ROWS($2:49)&gt;COUNTIF(Maximum_RawData!$A:$A,"5_Maximum"),"",INDEX(Maximum_RawData!R:R,MATCH("5_Maximum",Maximum_RawData!$A:$A,0)+ROWS($2:49)-1))</f>
        <v>Pass</v>
      </c>
      <c r="S49">
        <f>IF(ROWS($2:49)&gt;COUNTIF(Maximum_RawData!$A:$A,"5_Maximum"),"",INDEX(Maximum_RawData!S:S,MATCH("5_Maximum",Maximum_RawData!$A:$A,0)+ROWS($2:49)-1))</f>
        <v>0</v>
      </c>
      <c r="T49">
        <f>IF(ROWS($2:49)&gt;COUNTIF(Maximum_RawData!$A:$A,"5_Maximum"),"",INDEX(Maximum_RawData!T:T,MATCH("5_Maximum",Maximum_RawData!$A:$A,0)+ROWS($2:49)-1))</f>
        <v>0</v>
      </c>
    </row>
    <row r="50" spans="1:20">
      <c r="A50" t="str">
        <f>IF(ROWS($2:50)&gt;COUNTIF(Maximum_RawData!$A:$A,"5_Maximum"),"",INDEX(Maximum_RawData!A:A,MATCH("5_Maximum",Maximum_RawData!$A:$A,0)+ROWS($2:50)-1))</f>
        <v>5_Maximum</v>
      </c>
      <c r="B50">
        <f>IF(ROWS($2:50)&gt;COUNTIF(Maximum_RawData!$A:$A,"5_Maximum"),"",INDEX(Maximum_RawData!B:B,MATCH("5_Maximum",Maximum_RawData!$A:$A,0)+ROWS($2:50)-1))</f>
        <v>145923.095</v>
      </c>
      <c r="C50">
        <f>IF(ROWS($2:50)&gt;COUNTIF(Maximum_RawData!$A:$A,"5_Maximum"),"",INDEX(Maximum_RawData!C:C,MATCH("5_Maximum",Maximum_RawData!$A:$A,0)+ROWS($2:50)-1))</f>
        <v>34</v>
      </c>
      <c r="D50">
        <f>IF(ROWS($2:50)&gt;COUNTIF(Maximum_RawData!$A:$A,"5_Maximum"),"",INDEX(Maximum_RawData!D:D,MATCH("5_Maximum",Maximum_RawData!$A:$A,0)+ROWS($2:50)-1))</f>
        <v>1311.204</v>
      </c>
      <c r="E50">
        <f>IF(ROWS($2:50)&gt;COUNTIF(Maximum_RawData!$A:$A,"5_Maximum"),"",INDEX(Maximum_RawData!E:E,MATCH("5_Maximum",Maximum_RawData!$A:$A,0)+ROWS($2:50)-1))</f>
        <v>9.6199999999999992</v>
      </c>
      <c r="F50">
        <f>IF(ROWS($2:50)&gt;COUNTIF(Maximum_RawData!$A:$A,"5_Maximum"),"",INDEX(Maximum_RawData!F:F,MATCH("5_Maximum",Maximum_RawData!$A:$A,0)+ROWS($2:50)-1))</f>
        <v>399</v>
      </c>
      <c r="G50">
        <f>IF(ROWS($2:50)&gt;COUNTIF(Maximum_RawData!$A:$A,"5_Maximum"),"",INDEX(Maximum_RawData!G:G,MATCH("5_Maximum",Maximum_RawData!$A:$A,0)+ROWS($2:50)-1))</f>
        <v>399</v>
      </c>
      <c r="H50">
        <f>IF(ROWS($2:50)&gt;COUNTIF(Maximum_RawData!$A:$A,"5_Maximum"),"",INDEX(Maximum_RawData!H:H,MATCH("5_Maximum",Maximum_RawData!$A:$A,0)+ROWS($2:50)-1))</f>
        <v>399</v>
      </c>
      <c r="I50">
        <f>IF(ROWS($2:50)&gt;COUNTIF(Maximum_RawData!$A:$A,"5_Maximum"),"",INDEX(Maximum_RawData!I:I,MATCH("5_Maximum",Maximum_RawData!$A:$A,0)+ROWS($2:50)-1))</f>
        <v>399</v>
      </c>
      <c r="J50">
        <f>IF(ROWS($2:50)&gt;COUNTIF(Maximum_RawData!$A:$A,"5_Maximum"),"",INDEX(Maximum_RawData!J:J,MATCH("5_Maximum",Maximum_RawData!$A:$A,0)+ROWS($2:50)-1))</f>
        <v>399</v>
      </c>
      <c r="K50">
        <f>IF(ROWS($2:50)&gt;COUNTIF(Maximum_RawData!$A:$A,"5_Maximum"),"",INDEX(Maximum_RawData!K:K,MATCH("5_Maximum",Maximum_RawData!$A:$A,0)+ROWS($2:50)-1))</f>
        <v>399</v>
      </c>
      <c r="L50">
        <f>IF(ROWS($2:50)&gt;COUNTIF(Maximum_RawData!$A:$A,"5_Maximum"),"",INDEX(Maximum_RawData!L:L,MATCH("5_Maximum",Maximum_RawData!$A:$A,0)+ROWS($2:50)-1))</f>
        <v>399</v>
      </c>
      <c r="M50">
        <f>IF(ROWS($2:50)&gt;COUNTIF(Maximum_RawData!$A:$A,"5_Maximum"),"",INDEX(Maximum_RawData!M:M,MATCH("5_Maximum",Maximum_RawData!$A:$A,0)+ROWS($2:50)-1))</f>
        <v>399</v>
      </c>
      <c r="N50">
        <f>IF(ROWS($2:50)&gt;COUNTIF(Maximum_RawData!$A:$A,"5_Maximum"),"",INDEX(Maximum_RawData!N:N,MATCH("5_Maximum",Maximum_RawData!$A:$A,0)+ROWS($2:50)-1))</f>
        <v>0.09</v>
      </c>
      <c r="O50">
        <f>IF(ROWS($2:50)&gt;COUNTIF(Maximum_RawData!$A:$A,"5_Maximum"),"",INDEX(Maximum_RawData!O:O,MATCH("5_Maximum",Maximum_RawData!$A:$A,0)+ROWS($2:50)-1))</f>
        <v>0.11</v>
      </c>
      <c r="P50">
        <f>IF(ROWS($2:50)&gt;COUNTIF(Maximum_RawData!$A:$A,"5_Maximum"),"",INDEX(Maximum_RawData!P:P,MATCH("5_Maximum",Maximum_RawData!$A:$A,0)+ROWS($2:50)-1))</f>
        <v>0.08</v>
      </c>
      <c r="Q50">
        <f>IF(ROWS($2:50)&gt;COUNTIF(Maximum_RawData!$A:$A,"5_Maximum"),"",INDEX(Maximum_RawData!Q:Q,MATCH("5_Maximum",Maximum_RawData!$A:$A,0)+ROWS($2:50)-1))</f>
        <v>0.1</v>
      </c>
      <c r="R50" t="str">
        <f>IF(ROWS($2:50)&gt;COUNTIF(Maximum_RawData!$A:$A,"5_Maximum"),"",INDEX(Maximum_RawData!R:R,MATCH("5_Maximum",Maximum_RawData!$A:$A,0)+ROWS($2:50)-1))</f>
        <v>Pass</v>
      </c>
      <c r="S50">
        <f>IF(ROWS($2:50)&gt;COUNTIF(Maximum_RawData!$A:$A,"5_Maximum"),"",INDEX(Maximum_RawData!S:S,MATCH("5_Maximum",Maximum_RawData!$A:$A,0)+ROWS($2:50)-1))</f>
        <v>0</v>
      </c>
      <c r="T50">
        <f>IF(ROWS($2:50)&gt;COUNTIF(Maximum_RawData!$A:$A,"5_Maximum"),"",INDEX(Maximum_RawData!T:T,MATCH("5_Maximum",Maximum_RawData!$A:$A,0)+ROWS($2:50)-1))</f>
        <v>0</v>
      </c>
    </row>
    <row r="51" spans="1:20">
      <c r="A51" t="str">
        <f>IF(ROWS($2:51)&gt;COUNTIF(Maximum_RawData!$A:$A,"5_Maximum"),"",INDEX(Maximum_RawData!A:A,MATCH("5_Maximum",Maximum_RawData!$A:$A,0)+ROWS($2:51)-1))</f>
        <v>5_Maximum</v>
      </c>
      <c r="B51">
        <f>IF(ROWS($2:51)&gt;COUNTIF(Maximum_RawData!$A:$A,"5_Maximum"),"",INDEX(Maximum_RawData!B:B,MATCH("5_Maximum",Maximum_RawData!$A:$A,0)+ROWS($2:51)-1))</f>
        <v>145928.09599999999</v>
      </c>
      <c r="C51">
        <f>IF(ROWS($2:51)&gt;COUNTIF(Maximum_RawData!$A:$A,"5_Maximum"),"",INDEX(Maximum_RawData!C:C,MATCH("5_Maximum",Maximum_RawData!$A:$A,0)+ROWS($2:51)-1))</f>
        <v>33.26</v>
      </c>
      <c r="D51">
        <f>IF(ROWS($2:51)&gt;COUNTIF(Maximum_RawData!$A:$A,"5_Maximum"),"",INDEX(Maximum_RawData!D:D,MATCH("5_Maximum",Maximum_RawData!$A:$A,0)+ROWS($2:51)-1))</f>
        <v>1311.133</v>
      </c>
      <c r="E51">
        <f>IF(ROWS($2:51)&gt;COUNTIF(Maximum_RawData!$A:$A,"5_Maximum"),"",INDEX(Maximum_RawData!E:E,MATCH("5_Maximum",Maximum_RawData!$A:$A,0)+ROWS($2:51)-1))</f>
        <v>9.69</v>
      </c>
      <c r="F51">
        <f>IF(ROWS($2:51)&gt;COUNTIF(Maximum_RawData!$A:$A,"5_Maximum"),"",INDEX(Maximum_RawData!F:F,MATCH("5_Maximum",Maximum_RawData!$A:$A,0)+ROWS($2:51)-1))</f>
        <v>399</v>
      </c>
      <c r="G51">
        <f>IF(ROWS($2:51)&gt;COUNTIF(Maximum_RawData!$A:$A,"5_Maximum"),"",INDEX(Maximum_RawData!G:G,MATCH("5_Maximum",Maximum_RawData!$A:$A,0)+ROWS($2:51)-1))</f>
        <v>399</v>
      </c>
      <c r="H51">
        <f>IF(ROWS($2:51)&gt;COUNTIF(Maximum_RawData!$A:$A,"5_Maximum"),"",INDEX(Maximum_RawData!H:H,MATCH("5_Maximum",Maximum_RawData!$A:$A,0)+ROWS($2:51)-1))</f>
        <v>399</v>
      </c>
      <c r="I51">
        <f>IF(ROWS($2:51)&gt;COUNTIF(Maximum_RawData!$A:$A,"5_Maximum"),"",INDEX(Maximum_RawData!I:I,MATCH("5_Maximum",Maximum_RawData!$A:$A,0)+ROWS($2:51)-1))</f>
        <v>399</v>
      </c>
      <c r="J51">
        <f>IF(ROWS($2:51)&gt;COUNTIF(Maximum_RawData!$A:$A,"5_Maximum"),"",INDEX(Maximum_RawData!J:J,MATCH("5_Maximum",Maximum_RawData!$A:$A,0)+ROWS($2:51)-1))</f>
        <v>399</v>
      </c>
      <c r="K51">
        <f>IF(ROWS($2:51)&gt;COUNTIF(Maximum_RawData!$A:$A,"5_Maximum"),"",INDEX(Maximum_RawData!K:K,MATCH("5_Maximum",Maximum_RawData!$A:$A,0)+ROWS($2:51)-1))</f>
        <v>399</v>
      </c>
      <c r="L51">
        <f>IF(ROWS($2:51)&gt;COUNTIF(Maximum_RawData!$A:$A,"5_Maximum"),"",INDEX(Maximum_RawData!L:L,MATCH("5_Maximum",Maximum_RawData!$A:$A,0)+ROWS($2:51)-1))</f>
        <v>399</v>
      </c>
      <c r="M51">
        <f>IF(ROWS($2:51)&gt;COUNTIF(Maximum_RawData!$A:$A,"5_Maximum"),"",INDEX(Maximum_RawData!M:M,MATCH("5_Maximum",Maximum_RawData!$A:$A,0)+ROWS($2:51)-1))</f>
        <v>399</v>
      </c>
      <c r="N51">
        <f>IF(ROWS($2:51)&gt;COUNTIF(Maximum_RawData!$A:$A,"5_Maximum"),"",INDEX(Maximum_RawData!N:N,MATCH("5_Maximum",Maximum_RawData!$A:$A,0)+ROWS($2:51)-1))</f>
        <v>0.1</v>
      </c>
      <c r="O51">
        <f>IF(ROWS($2:51)&gt;COUNTIF(Maximum_RawData!$A:$A,"5_Maximum"),"",INDEX(Maximum_RawData!O:O,MATCH("5_Maximum",Maximum_RawData!$A:$A,0)+ROWS($2:51)-1))</f>
        <v>0.11</v>
      </c>
      <c r="P51">
        <f>IF(ROWS($2:51)&gt;COUNTIF(Maximum_RawData!$A:$A,"5_Maximum"),"",INDEX(Maximum_RawData!P:P,MATCH("5_Maximum",Maximum_RawData!$A:$A,0)+ROWS($2:51)-1))</f>
        <v>0.08</v>
      </c>
      <c r="Q51">
        <f>IF(ROWS($2:51)&gt;COUNTIF(Maximum_RawData!$A:$A,"5_Maximum"),"",INDEX(Maximum_RawData!Q:Q,MATCH("5_Maximum",Maximum_RawData!$A:$A,0)+ROWS($2:51)-1))</f>
        <v>0.1</v>
      </c>
      <c r="R51" t="str">
        <f>IF(ROWS($2:51)&gt;COUNTIF(Maximum_RawData!$A:$A,"5_Maximum"),"",INDEX(Maximum_RawData!R:R,MATCH("5_Maximum",Maximum_RawData!$A:$A,0)+ROWS($2:51)-1))</f>
        <v>Pass</v>
      </c>
      <c r="S51">
        <f>IF(ROWS($2:51)&gt;COUNTIF(Maximum_RawData!$A:$A,"5_Maximum"),"",INDEX(Maximum_RawData!S:S,MATCH("5_Maximum",Maximum_RawData!$A:$A,0)+ROWS($2:51)-1))</f>
        <v>0</v>
      </c>
      <c r="T51">
        <f>IF(ROWS($2:51)&gt;COUNTIF(Maximum_RawData!$A:$A,"5_Maximum"),"",INDEX(Maximum_RawData!T:T,MATCH("5_Maximum",Maximum_RawData!$A:$A,0)+ROWS($2:51)-1))</f>
        <v>0</v>
      </c>
    </row>
    <row r="52" spans="1:20">
      <c r="A52" t="str">
        <f>IF(ROWS($2:52)&gt;COUNTIF(Maximum_RawData!$A:$A,"5_Maximum"),"",INDEX(Maximum_RawData!A:A,MATCH("5_Maximum",Maximum_RawData!$A:$A,0)+ROWS($2:52)-1))</f>
        <v>5_Maximum</v>
      </c>
      <c r="B52">
        <f>IF(ROWS($2:52)&gt;COUNTIF(Maximum_RawData!$A:$A,"5_Maximum"),"",INDEX(Maximum_RawData!B:B,MATCH("5_Maximum",Maximum_RawData!$A:$A,0)+ROWS($2:52)-1))</f>
        <v>145933.095</v>
      </c>
      <c r="C52">
        <f>IF(ROWS($2:52)&gt;COUNTIF(Maximum_RawData!$A:$A,"5_Maximum"),"",INDEX(Maximum_RawData!C:C,MATCH("5_Maximum",Maximum_RawData!$A:$A,0)+ROWS($2:52)-1))</f>
        <v>32.51</v>
      </c>
      <c r="D52">
        <f>IF(ROWS($2:52)&gt;COUNTIF(Maximum_RawData!$A:$A,"5_Maximum"),"",INDEX(Maximum_RawData!D:D,MATCH("5_Maximum",Maximum_RawData!$A:$A,0)+ROWS($2:52)-1))</f>
        <v>1311.0609999999999</v>
      </c>
      <c r="E52">
        <f>IF(ROWS($2:52)&gt;COUNTIF(Maximum_RawData!$A:$A,"5_Maximum"),"",INDEX(Maximum_RawData!E:E,MATCH("5_Maximum",Maximum_RawData!$A:$A,0)+ROWS($2:52)-1))</f>
        <v>9.74</v>
      </c>
      <c r="F52">
        <f>IF(ROWS($2:52)&gt;COUNTIF(Maximum_RawData!$A:$A,"5_Maximum"),"",INDEX(Maximum_RawData!F:F,MATCH("5_Maximum",Maximum_RawData!$A:$A,0)+ROWS($2:52)-1))</f>
        <v>399</v>
      </c>
      <c r="G52">
        <f>IF(ROWS($2:52)&gt;COUNTIF(Maximum_RawData!$A:$A,"5_Maximum"),"",INDEX(Maximum_RawData!G:G,MATCH("5_Maximum",Maximum_RawData!$A:$A,0)+ROWS($2:52)-1))</f>
        <v>399</v>
      </c>
      <c r="H52">
        <f>IF(ROWS($2:52)&gt;COUNTIF(Maximum_RawData!$A:$A,"5_Maximum"),"",INDEX(Maximum_RawData!H:H,MATCH("5_Maximum",Maximum_RawData!$A:$A,0)+ROWS($2:52)-1))</f>
        <v>399</v>
      </c>
      <c r="I52">
        <f>IF(ROWS($2:52)&gt;COUNTIF(Maximum_RawData!$A:$A,"5_Maximum"),"",INDEX(Maximum_RawData!I:I,MATCH("5_Maximum",Maximum_RawData!$A:$A,0)+ROWS($2:52)-1))</f>
        <v>399</v>
      </c>
      <c r="J52">
        <f>IF(ROWS($2:52)&gt;COUNTIF(Maximum_RawData!$A:$A,"5_Maximum"),"",INDEX(Maximum_RawData!J:J,MATCH("5_Maximum",Maximum_RawData!$A:$A,0)+ROWS($2:52)-1))</f>
        <v>399</v>
      </c>
      <c r="K52">
        <f>IF(ROWS($2:52)&gt;COUNTIF(Maximum_RawData!$A:$A,"5_Maximum"),"",INDEX(Maximum_RawData!K:K,MATCH("5_Maximum",Maximum_RawData!$A:$A,0)+ROWS($2:52)-1))</f>
        <v>399</v>
      </c>
      <c r="L52">
        <f>IF(ROWS($2:52)&gt;COUNTIF(Maximum_RawData!$A:$A,"5_Maximum"),"",INDEX(Maximum_RawData!L:L,MATCH("5_Maximum",Maximum_RawData!$A:$A,0)+ROWS($2:52)-1))</f>
        <v>399</v>
      </c>
      <c r="M52">
        <f>IF(ROWS($2:52)&gt;COUNTIF(Maximum_RawData!$A:$A,"5_Maximum"),"",INDEX(Maximum_RawData!M:M,MATCH("5_Maximum",Maximum_RawData!$A:$A,0)+ROWS($2:52)-1))</f>
        <v>399</v>
      </c>
      <c r="N52">
        <f>IF(ROWS($2:52)&gt;COUNTIF(Maximum_RawData!$A:$A,"5_Maximum"),"",INDEX(Maximum_RawData!N:N,MATCH("5_Maximum",Maximum_RawData!$A:$A,0)+ROWS($2:52)-1))</f>
        <v>0.1</v>
      </c>
      <c r="O52">
        <f>IF(ROWS($2:52)&gt;COUNTIF(Maximum_RawData!$A:$A,"5_Maximum"),"",INDEX(Maximum_RawData!O:O,MATCH("5_Maximum",Maximum_RawData!$A:$A,0)+ROWS($2:52)-1))</f>
        <v>0.11</v>
      </c>
      <c r="P52">
        <f>IF(ROWS($2:52)&gt;COUNTIF(Maximum_RawData!$A:$A,"5_Maximum"),"",INDEX(Maximum_RawData!P:P,MATCH("5_Maximum",Maximum_RawData!$A:$A,0)+ROWS($2:52)-1))</f>
        <v>0.08</v>
      </c>
      <c r="Q52">
        <f>IF(ROWS($2:52)&gt;COUNTIF(Maximum_RawData!$A:$A,"5_Maximum"),"",INDEX(Maximum_RawData!Q:Q,MATCH("5_Maximum",Maximum_RawData!$A:$A,0)+ROWS($2:52)-1))</f>
        <v>0.1</v>
      </c>
      <c r="R52" t="str">
        <f>IF(ROWS($2:52)&gt;COUNTIF(Maximum_RawData!$A:$A,"5_Maximum"),"",INDEX(Maximum_RawData!R:R,MATCH("5_Maximum",Maximum_RawData!$A:$A,0)+ROWS($2:52)-1))</f>
        <v>Pass</v>
      </c>
      <c r="S52">
        <f>IF(ROWS($2:52)&gt;COUNTIF(Maximum_RawData!$A:$A,"5_Maximum"),"",INDEX(Maximum_RawData!S:S,MATCH("5_Maximum",Maximum_RawData!$A:$A,0)+ROWS($2:52)-1))</f>
        <v>0</v>
      </c>
      <c r="T52">
        <f>IF(ROWS($2:52)&gt;COUNTIF(Maximum_RawData!$A:$A,"5_Maximum"),"",INDEX(Maximum_RawData!T:T,MATCH("5_Maximum",Maximum_RawData!$A:$A,0)+ROWS($2:52)-1))</f>
        <v>0</v>
      </c>
    </row>
    <row r="53" spans="1:20">
      <c r="A53" t="str">
        <f>IF(ROWS($2:53)&gt;COUNTIF(Maximum_RawData!$A:$A,"5_Maximum"),"",INDEX(Maximum_RawData!A:A,MATCH("5_Maximum",Maximum_RawData!$A:$A,0)+ROWS($2:53)-1))</f>
        <v>5_Maximum</v>
      </c>
      <c r="B53">
        <f>IF(ROWS($2:53)&gt;COUNTIF(Maximum_RawData!$A:$A,"5_Maximum"),"",INDEX(Maximum_RawData!B:B,MATCH("5_Maximum",Maximum_RawData!$A:$A,0)+ROWS($2:53)-1))</f>
        <v>145938.098</v>
      </c>
      <c r="C53">
        <f>IF(ROWS($2:53)&gt;COUNTIF(Maximum_RawData!$A:$A,"5_Maximum"),"",INDEX(Maximum_RawData!C:C,MATCH("5_Maximum",Maximum_RawData!$A:$A,0)+ROWS($2:53)-1))</f>
        <v>31.78</v>
      </c>
      <c r="D53">
        <f>IF(ROWS($2:53)&gt;COUNTIF(Maximum_RawData!$A:$A,"5_Maximum"),"",INDEX(Maximum_RawData!D:D,MATCH("5_Maximum",Maximum_RawData!$A:$A,0)+ROWS($2:53)-1))</f>
        <v>1310.99</v>
      </c>
      <c r="E53">
        <f>IF(ROWS($2:53)&gt;COUNTIF(Maximum_RawData!$A:$A,"5_Maximum"),"",INDEX(Maximum_RawData!E:E,MATCH("5_Maximum",Maximum_RawData!$A:$A,0)+ROWS($2:53)-1))</f>
        <v>9.7799999999999994</v>
      </c>
      <c r="F53">
        <f>IF(ROWS($2:53)&gt;COUNTIF(Maximum_RawData!$A:$A,"5_Maximum"),"",INDEX(Maximum_RawData!F:F,MATCH("5_Maximum",Maximum_RawData!$A:$A,0)+ROWS($2:53)-1))</f>
        <v>399</v>
      </c>
      <c r="G53">
        <f>IF(ROWS($2:53)&gt;COUNTIF(Maximum_RawData!$A:$A,"5_Maximum"),"",INDEX(Maximum_RawData!G:G,MATCH("5_Maximum",Maximum_RawData!$A:$A,0)+ROWS($2:53)-1))</f>
        <v>399</v>
      </c>
      <c r="H53">
        <f>IF(ROWS($2:53)&gt;COUNTIF(Maximum_RawData!$A:$A,"5_Maximum"),"",INDEX(Maximum_RawData!H:H,MATCH("5_Maximum",Maximum_RawData!$A:$A,0)+ROWS($2:53)-1))</f>
        <v>399</v>
      </c>
      <c r="I53">
        <f>IF(ROWS($2:53)&gt;COUNTIF(Maximum_RawData!$A:$A,"5_Maximum"),"",INDEX(Maximum_RawData!I:I,MATCH("5_Maximum",Maximum_RawData!$A:$A,0)+ROWS($2:53)-1))</f>
        <v>399</v>
      </c>
      <c r="J53">
        <f>IF(ROWS($2:53)&gt;COUNTIF(Maximum_RawData!$A:$A,"5_Maximum"),"",INDEX(Maximum_RawData!J:J,MATCH("5_Maximum",Maximum_RawData!$A:$A,0)+ROWS($2:53)-1))</f>
        <v>399</v>
      </c>
      <c r="K53">
        <f>IF(ROWS($2:53)&gt;COUNTIF(Maximum_RawData!$A:$A,"5_Maximum"),"",INDEX(Maximum_RawData!K:K,MATCH("5_Maximum",Maximum_RawData!$A:$A,0)+ROWS($2:53)-1))</f>
        <v>399</v>
      </c>
      <c r="L53">
        <f>IF(ROWS($2:53)&gt;COUNTIF(Maximum_RawData!$A:$A,"5_Maximum"),"",INDEX(Maximum_RawData!L:L,MATCH("5_Maximum",Maximum_RawData!$A:$A,0)+ROWS($2:53)-1))</f>
        <v>399</v>
      </c>
      <c r="M53">
        <f>IF(ROWS($2:53)&gt;COUNTIF(Maximum_RawData!$A:$A,"5_Maximum"),"",INDEX(Maximum_RawData!M:M,MATCH("5_Maximum",Maximum_RawData!$A:$A,0)+ROWS($2:53)-1))</f>
        <v>399</v>
      </c>
      <c r="N53">
        <f>IF(ROWS($2:53)&gt;COUNTIF(Maximum_RawData!$A:$A,"5_Maximum"),"",INDEX(Maximum_RawData!N:N,MATCH("5_Maximum",Maximum_RawData!$A:$A,0)+ROWS($2:53)-1))</f>
        <v>0.1</v>
      </c>
      <c r="O53">
        <f>IF(ROWS($2:53)&gt;COUNTIF(Maximum_RawData!$A:$A,"5_Maximum"),"",INDEX(Maximum_RawData!O:O,MATCH("5_Maximum",Maximum_RawData!$A:$A,0)+ROWS($2:53)-1))</f>
        <v>0.11</v>
      </c>
      <c r="P53">
        <f>IF(ROWS($2:53)&gt;COUNTIF(Maximum_RawData!$A:$A,"5_Maximum"),"",INDEX(Maximum_RawData!P:P,MATCH("5_Maximum",Maximum_RawData!$A:$A,0)+ROWS($2:53)-1))</f>
        <v>0.08</v>
      </c>
      <c r="Q53">
        <f>IF(ROWS($2:53)&gt;COUNTIF(Maximum_RawData!$A:$A,"5_Maximum"),"",INDEX(Maximum_RawData!Q:Q,MATCH("5_Maximum",Maximum_RawData!$A:$A,0)+ROWS($2:53)-1))</f>
        <v>0.1</v>
      </c>
      <c r="R53" t="str">
        <f>IF(ROWS($2:53)&gt;COUNTIF(Maximum_RawData!$A:$A,"5_Maximum"),"",INDEX(Maximum_RawData!R:R,MATCH("5_Maximum",Maximum_RawData!$A:$A,0)+ROWS($2:53)-1))</f>
        <v>Pass</v>
      </c>
      <c r="S53">
        <f>IF(ROWS($2:53)&gt;COUNTIF(Maximum_RawData!$A:$A,"5_Maximum"),"",INDEX(Maximum_RawData!S:S,MATCH("5_Maximum",Maximum_RawData!$A:$A,0)+ROWS($2:53)-1))</f>
        <v>0</v>
      </c>
      <c r="T53">
        <f>IF(ROWS($2:53)&gt;COUNTIF(Maximum_RawData!$A:$A,"5_Maximum"),"",INDEX(Maximum_RawData!T:T,MATCH("5_Maximum",Maximum_RawData!$A:$A,0)+ROWS($2:53)-1))</f>
        <v>0</v>
      </c>
    </row>
    <row r="54" spans="1:20">
      <c r="A54" t="str">
        <f>IF(ROWS($2:54)&gt;COUNTIF(Maximum_RawData!$A:$A,"5_Maximum"),"",INDEX(Maximum_RawData!A:A,MATCH("5_Maximum",Maximum_RawData!$A:$A,0)+ROWS($2:54)-1))</f>
        <v>5_Maximum</v>
      </c>
      <c r="B54">
        <f>IF(ROWS($2:54)&gt;COUNTIF(Maximum_RawData!$A:$A,"5_Maximum"),"",INDEX(Maximum_RawData!B:B,MATCH("5_Maximum",Maximum_RawData!$A:$A,0)+ROWS($2:54)-1))</f>
        <v>145943.10200000001</v>
      </c>
      <c r="C54">
        <f>IF(ROWS($2:54)&gt;COUNTIF(Maximum_RawData!$A:$A,"5_Maximum"),"",INDEX(Maximum_RawData!C:C,MATCH("5_Maximum",Maximum_RawData!$A:$A,0)+ROWS($2:54)-1))</f>
        <v>31.03</v>
      </c>
      <c r="D54">
        <f>IF(ROWS($2:54)&gt;COUNTIF(Maximum_RawData!$A:$A,"5_Maximum"),"",INDEX(Maximum_RawData!D:D,MATCH("5_Maximum",Maximum_RawData!$A:$A,0)+ROWS($2:54)-1))</f>
        <v>1310.9179999999999</v>
      </c>
      <c r="E54">
        <f>IF(ROWS($2:54)&gt;COUNTIF(Maximum_RawData!$A:$A,"5_Maximum"),"",INDEX(Maximum_RawData!E:E,MATCH("5_Maximum",Maximum_RawData!$A:$A,0)+ROWS($2:54)-1))</f>
        <v>9.86</v>
      </c>
      <c r="F54">
        <f>IF(ROWS($2:54)&gt;COUNTIF(Maximum_RawData!$A:$A,"5_Maximum"),"",INDEX(Maximum_RawData!F:F,MATCH("5_Maximum",Maximum_RawData!$A:$A,0)+ROWS($2:54)-1))</f>
        <v>399</v>
      </c>
      <c r="G54">
        <f>IF(ROWS($2:54)&gt;COUNTIF(Maximum_RawData!$A:$A,"5_Maximum"),"",INDEX(Maximum_RawData!G:G,MATCH("5_Maximum",Maximum_RawData!$A:$A,0)+ROWS($2:54)-1))</f>
        <v>399</v>
      </c>
      <c r="H54">
        <f>IF(ROWS($2:54)&gt;COUNTIF(Maximum_RawData!$A:$A,"5_Maximum"),"",INDEX(Maximum_RawData!H:H,MATCH("5_Maximum",Maximum_RawData!$A:$A,0)+ROWS($2:54)-1))</f>
        <v>399</v>
      </c>
      <c r="I54">
        <f>IF(ROWS($2:54)&gt;COUNTIF(Maximum_RawData!$A:$A,"5_Maximum"),"",INDEX(Maximum_RawData!I:I,MATCH("5_Maximum",Maximum_RawData!$A:$A,0)+ROWS($2:54)-1))</f>
        <v>399</v>
      </c>
      <c r="J54">
        <f>IF(ROWS($2:54)&gt;COUNTIF(Maximum_RawData!$A:$A,"5_Maximum"),"",INDEX(Maximum_RawData!J:J,MATCH("5_Maximum",Maximum_RawData!$A:$A,0)+ROWS($2:54)-1))</f>
        <v>399</v>
      </c>
      <c r="K54">
        <f>IF(ROWS($2:54)&gt;COUNTIF(Maximum_RawData!$A:$A,"5_Maximum"),"",INDEX(Maximum_RawData!K:K,MATCH("5_Maximum",Maximum_RawData!$A:$A,0)+ROWS($2:54)-1))</f>
        <v>399</v>
      </c>
      <c r="L54">
        <f>IF(ROWS($2:54)&gt;COUNTIF(Maximum_RawData!$A:$A,"5_Maximum"),"",INDEX(Maximum_RawData!L:L,MATCH("5_Maximum",Maximum_RawData!$A:$A,0)+ROWS($2:54)-1))</f>
        <v>399</v>
      </c>
      <c r="M54">
        <f>IF(ROWS($2:54)&gt;COUNTIF(Maximum_RawData!$A:$A,"5_Maximum"),"",INDEX(Maximum_RawData!M:M,MATCH("5_Maximum",Maximum_RawData!$A:$A,0)+ROWS($2:54)-1))</f>
        <v>399</v>
      </c>
      <c r="N54">
        <f>IF(ROWS($2:54)&gt;COUNTIF(Maximum_RawData!$A:$A,"5_Maximum"),"",INDEX(Maximum_RawData!N:N,MATCH("5_Maximum",Maximum_RawData!$A:$A,0)+ROWS($2:54)-1))</f>
        <v>0.1</v>
      </c>
      <c r="O54">
        <f>IF(ROWS($2:54)&gt;COUNTIF(Maximum_RawData!$A:$A,"5_Maximum"),"",INDEX(Maximum_RawData!O:O,MATCH("5_Maximum",Maximum_RawData!$A:$A,0)+ROWS($2:54)-1))</f>
        <v>0.11</v>
      </c>
      <c r="P54">
        <f>IF(ROWS($2:54)&gt;COUNTIF(Maximum_RawData!$A:$A,"5_Maximum"),"",INDEX(Maximum_RawData!P:P,MATCH("5_Maximum",Maximum_RawData!$A:$A,0)+ROWS($2:54)-1))</f>
        <v>0.08</v>
      </c>
      <c r="Q54">
        <f>IF(ROWS($2:54)&gt;COUNTIF(Maximum_RawData!$A:$A,"5_Maximum"),"",INDEX(Maximum_RawData!Q:Q,MATCH("5_Maximum",Maximum_RawData!$A:$A,0)+ROWS($2:54)-1))</f>
        <v>0.1</v>
      </c>
      <c r="R54" t="str">
        <f>IF(ROWS($2:54)&gt;COUNTIF(Maximum_RawData!$A:$A,"5_Maximum"),"",INDEX(Maximum_RawData!R:R,MATCH("5_Maximum",Maximum_RawData!$A:$A,0)+ROWS($2:54)-1))</f>
        <v>Pass</v>
      </c>
      <c r="S54">
        <f>IF(ROWS($2:54)&gt;COUNTIF(Maximum_RawData!$A:$A,"5_Maximum"),"",INDEX(Maximum_RawData!S:S,MATCH("5_Maximum",Maximum_RawData!$A:$A,0)+ROWS($2:54)-1))</f>
        <v>0</v>
      </c>
      <c r="T54">
        <f>IF(ROWS($2:54)&gt;COUNTIF(Maximum_RawData!$A:$A,"5_Maximum"),"",INDEX(Maximum_RawData!T:T,MATCH("5_Maximum",Maximum_RawData!$A:$A,0)+ROWS($2:54)-1))</f>
        <v>0</v>
      </c>
    </row>
    <row r="55" spans="1:20">
      <c r="A55" t="str">
        <f>IF(ROWS($2:55)&gt;COUNTIF(Maximum_RawData!$A:$A,"5_Maximum"),"",INDEX(Maximum_RawData!A:A,MATCH("5_Maximum",Maximum_RawData!$A:$A,0)+ROWS($2:55)-1))</f>
        <v>5_Maximum</v>
      </c>
      <c r="B55">
        <f>IF(ROWS($2:55)&gt;COUNTIF(Maximum_RawData!$A:$A,"5_Maximum"),"",INDEX(Maximum_RawData!B:B,MATCH("5_Maximum",Maximum_RawData!$A:$A,0)+ROWS($2:55)-1))</f>
        <v>145948.101</v>
      </c>
      <c r="C55">
        <f>IF(ROWS($2:55)&gt;COUNTIF(Maximum_RawData!$A:$A,"5_Maximum"),"",INDEX(Maximum_RawData!C:C,MATCH("5_Maximum",Maximum_RawData!$A:$A,0)+ROWS($2:55)-1))</f>
        <v>30.3</v>
      </c>
      <c r="D55">
        <f>IF(ROWS($2:55)&gt;COUNTIF(Maximum_RawData!$A:$A,"5_Maximum"),"",INDEX(Maximum_RawData!D:D,MATCH("5_Maximum",Maximum_RawData!$A:$A,0)+ROWS($2:55)-1))</f>
        <v>1310.847</v>
      </c>
      <c r="E55">
        <f>IF(ROWS($2:55)&gt;COUNTIF(Maximum_RawData!$A:$A,"5_Maximum"),"",INDEX(Maximum_RawData!E:E,MATCH("5_Maximum",Maximum_RawData!$A:$A,0)+ROWS($2:55)-1))</f>
        <v>9.91</v>
      </c>
      <c r="F55">
        <f>IF(ROWS($2:55)&gt;COUNTIF(Maximum_RawData!$A:$A,"5_Maximum"),"",INDEX(Maximum_RawData!F:F,MATCH("5_Maximum",Maximum_RawData!$A:$A,0)+ROWS($2:55)-1))</f>
        <v>399</v>
      </c>
      <c r="G55">
        <f>IF(ROWS($2:55)&gt;COUNTIF(Maximum_RawData!$A:$A,"5_Maximum"),"",INDEX(Maximum_RawData!G:G,MATCH("5_Maximum",Maximum_RawData!$A:$A,0)+ROWS($2:55)-1))</f>
        <v>399</v>
      </c>
      <c r="H55">
        <f>IF(ROWS($2:55)&gt;COUNTIF(Maximum_RawData!$A:$A,"5_Maximum"),"",INDEX(Maximum_RawData!H:H,MATCH("5_Maximum",Maximum_RawData!$A:$A,0)+ROWS($2:55)-1))</f>
        <v>399</v>
      </c>
      <c r="I55">
        <f>IF(ROWS($2:55)&gt;COUNTIF(Maximum_RawData!$A:$A,"5_Maximum"),"",INDEX(Maximum_RawData!I:I,MATCH("5_Maximum",Maximum_RawData!$A:$A,0)+ROWS($2:55)-1))</f>
        <v>399</v>
      </c>
      <c r="J55">
        <f>IF(ROWS($2:55)&gt;COUNTIF(Maximum_RawData!$A:$A,"5_Maximum"),"",INDEX(Maximum_RawData!J:J,MATCH("5_Maximum",Maximum_RawData!$A:$A,0)+ROWS($2:55)-1))</f>
        <v>399</v>
      </c>
      <c r="K55">
        <f>IF(ROWS($2:55)&gt;COUNTIF(Maximum_RawData!$A:$A,"5_Maximum"),"",INDEX(Maximum_RawData!K:K,MATCH("5_Maximum",Maximum_RawData!$A:$A,0)+ROWS($2:55)-1))</f>
        <v>399</v>
      </c>
      <c r="L55">
        <f>IF(ROWS($2:55)&gt;COUNTIF(Maximum_RawData!$A:$A,"5_Maximum"),"",INDEX(Maximum_RawData!L:L,MATCH("5_Maximum",Maximum_RawData!$A:$A,0)+ROWS($2:55)-1))</f>
        <v>399</v>
      </c>
      <c r="M55">
        <f>IF(ROWS($2:55)&gt;COUNTIF(Maximum_RawData!$A:$A,"5_Maximum"),"",INDEX(Maximum_RawData!M:M,MATCH("5_Maximum",Maximum_RawData!$A:$A,0)+ROWS($2:55)-1))</f>
        <v>399</v>
      </c>
      <c r="N55">
        <f>IF(ROWS($2:55)&gt;COUNTIF(Maximum_RawData!$A:$A,"5_Maximum"),"",INDEX(Maximum_RawData!N:N,MATCH("5_Maximum",Maximum_RawData!$A:$A,0)+ROWS($2:55)-1))</f>
        <v>0.1</v>
      </c>
      <c r="O55">
        <f>IF(ROWS($2:55)&gt;COUNTIF(Maximum_RawData!$A:$A,"5_Maximum"),"",INDEX(Maximum_RawData!O:O,MATCH("5_Maximum",Maximum_RawData!$A:$A,0)+ROWS($2:55)-1))</f>
        <v>0.11</v>
      </c>
      <c r="P55">
        <f>IF(ROWS($2:55)&gt;COUNTIF(Maximum_RawData!$A:$A,"5_Maximum"),"",INDEX(Maximum_RawData!P:P,MATCH("5_Maximum",Maximum_RawData!$A:$A,0)+ROWS($2:55)-1))</f>
        <v>0.08</v>
      </c>
      <c r="Q55">
        <f>IF(ROWS($2:55)&gt;COUNTIF(Maximum_RawData!$A:$A,"5_Maximum"),"",INDEX(Maximum_RawData!Q:Q,MATCH("5_Maximum",Maximum_RawData!$A:$A,0)+ROWS($2:55)-1))</f>
        <v>0.1</v>
      </c>
      <c r="R55" t="str">
        <f>IF(ROWS($2:55)&gt;COUNTIF(Maximum_RawData!$A:$A,"5_Maximum"),"",INDEX(Maximum_RawData!R:R,MATCH("5_Maximum",Maximum_RawData!$A:$A,0)+ROWS($2:55)-1))</f>
        <v>Pass</v>
      </c>
      <c r="S55">
        <f>IF(ROWS($2:55)&gt;COUNTIF(Maximum_RawData!$A:$A,"5_Maximum"),"",INDEX(Maximum_RawData!S:S,MATCH("5_Maximum",Maximum_RawData!$A:$A,0)+ROWS($2:55)-1))</f>
        <v>0</v>
      </c>
      <c r="T55">
        <f>IF(ROWS($2:55)&gt;COUNTIF(Maximum_RawData!$A:$A,"5_Maximum"),"",INDEX(Maximum_RawData!T:T,MATCH("5_Maximum",Maximum_RawData!$A:$A,0)+ROWS($2:55)-1))</f>
        <v>0</v>
      </c>
    </row>
    <row r="56" spans="1:20">
      <c r="A56" t="str">
        <f>IF(ROWS($2:56)&gt;COUNTIF(Maximum_RawData!$A:$A,"5_Maximum"),"",INDEX(Maximum_RawData!A:A,MATCH("5_Maximum",Maximum_RawData!$A:$A,0)+ROWS($2:56)-1))</f>
        <v>5_Maximum</v>
      </c>
      <c r="B56">
        <f>IF(ROWS($2:56)&gt;COUNTIF(Maximum_RawData!$A:$A,"5_Maximum"),"",INDEX(Maximum_RawData!B:B,MATCH("5_Maximum",Maximum_RawData!$A:$A,0)+ROWS($2:56)-1))</f>
        <v>145953.09899999999</v>
      </c>
      <c r="C56">
        <f>IF(ROWS($2:56)&gt;COUNTIF(Maximum_RawData!$A:$A,"5_Maximum"),"",INDEX(Maximum_RawData!C:C,MATCH("5_Maximum",Maximum_RawData!$A:$A,0)+ROWS($2:56)-1))</f>
        <v>29.54</v>
      </c>
      <c r="D56">
        <f>IF(ROWS($2:56)&gt;COUNTIF(Maximum_RawData!$A:$A,"5_Maximum"),"",INDEX(Maximum_RawData!D:D,MATCH("5_Maximum",Maximum_RawData!$A:$A,0)+ROWS($2:56)-1))</f>
        <v>1310.7660000000001</v>
      </c>
      <c r="E56">
        <f>IF(ROWS($2:56)&gt;COUNTIF(Maximum_RawData!$A:$A,"5_Maximum"),"",INDEX(Maximum_RawData!E:E,MATCH("5_Maximum",Maximum_RawData!$A:$A,0)+ROWS($2:56)-1))</f>
        <v>10.01</v>
      </c>
      <c r="F56">
        <f>IF(ROWS($2:56)&gt;COUNTIF(Maximum_RawData!$A:$A,"5_Maximum"),"",INDEX(Maximum_RawData!F:F,MATCH("5_Maximum",Maximum_RawData!$A:$A,0)+ROWS($2:56)-1))</f>
        <v>399</v>
      </c>
      <c r="G56">
        <f>IF(ROWS($2:56)&gt;COUNTIF(Maximum_RawData!$A:$A,"5_Maximum"),"",INDEX(Maximum_RawData!G:G,MATCH("5_Maximum",Maximum_RawData!$A:$A,0)+ROWS($2:56)-1))</f>
        <v>399</v>
      </c>
      <c r="H56">
        <f>IF(ROWS($2:56)&gt;COUNTIF(Maximum_RawData!$A:$A,"5_Maximum"),"",INDEX(Maximum_RawData!H:H,MATCH("5_Maximum",Maximum_RawData!$A:$A,0)+ROWS($2:56)-1))</f>
        <v>399</v>
      </c>
      <c r="I56">
        <f>IF(ROWS($2:56)&gt;COUNTIF(Maximum_RawData!$A:$A,"5_Maximum"),"",INDEX(Maximum_RawData!I:I,MATCH("5_Maximum",Maximum_RawData!$A:$A,0)+ROWS($2:56)-1))</f>
        <v>399</v>
      </c>
      <c r="J56">
        <f>IF(ROWS($2:56)&gt;COUNTIF(Maximum_RawData!$A:$A,"5_Maximum"),"",INDEX(Maximum_RawData!J:J,MATCH("5_Maximum",Maximum_RawData!$A:$A,0)+ROWS($2:56)-1))</f>
        <v>399</v>
      </c>
      <c r="K56">
        <f>IF(ROWS($2:56)&gt;COUNTIF(Maximum_RawData!$A:$A,"5_Maximum"),"",INDEX(Maximum_RawData!K:K,MATCH("5_Maximum",Maximum_RawData!$A:$A,0)+ROWS($2:56)-1))</f>
        <v>399</v>
      </c>
      <c r="L56">
        <f>IF(ROWS($2:56)&gt;COUNTIF(Maximum_RawData!$A:$A,"5_Maximum"),"",INDEX(Maximum_RawData!L:L,MATCH("5_Maximum",Maximum_RawData!$A:$A,0)+ROWS($2:56)-1))</f>
        <v>399</v>
      </c>
      <c r="M56">
        <f>IF(ROWS($2:56)&gt;COUNTIF(Maximum_RawData!$A:$A,"5_Maximum"),"",INDEX(Maximum_RawData!M:M,MATCH("5_Maximum",Maximum_RawData!$A:$A,0)+ROWS($2:56)-1))</f>
        <v>399</v>
      </c>
      <c r="N56">
        <f>IF(ROWS($2:56)&gt;COUNTIF(Maximum_RawData!$A:$A,"5_Maximum"),"",INDEX(Maximum_RawData!N:N,MATCH("5_Maximum",Maximum_RawData!$A:$A,0)+ROWS($2:56)-1))</f>
        <v>0.11</v>
      </c>
      <c r="O56">
        <f>IF(ROWS($2:56)&gt;COUNTIF(Maximum_RawData!$A:$A,"5_Maximum"),"",INDEX(Maximum_RawData!O:O,MATCH("5_Maximum",Maximum_RawData!$A:$A,0)+ROWS($2:56)-1))</f>
        <v>0.11</v>
      </c>
      <c r="P56">
        <f>IF(ROWS($2:56)&gt;COUNTIF(Maximum_RawData!$A:$A,"5_Maximum"),"",INDEX(Maximum_RawData!P:P,MATCH("5_Maximum",Maximum_RawData!$A:$A,0)+ROWS($2:56)-1))</f>
        <v>0.08</v>
      </c>
      <c r="Q56">
        <f>IF(ROWS($2:56)&gt;COUNTIF(Maximum_RawData!$A:$A,"5_Maximum"),"",INDEX(Maximum_RawData!Q:Q,MATCH("5_Maximum",Maximum_RawData!$A:$A,0)+ROWS($2:56)-1))</f>
        <v>0.1</v>
      </c>
      <c r="R56" t="str">
        <f>IF(ROWS($2:56)&gt;COUNTIF(Maximum_RawData!$A:$A,"5_Maximum"),"",INDEX(Maximum_RawData!R:R,MATCH("5_Maximum",Maximum_RawData!$A:$A,0)+ROWS($2:56)-1))</f>
        <v>Pass</v>
      </c>
      <c r="S56">
        <f>IF(ROWS($2:56)&gt;COUNTIF(Maximum_RawData!$A:$A,"5_Maximum"),"",INDEX(Maximum_RawData!S:S,MATCH("5_Maximum",Maximum_RawData!$A:$A,0)+ROWS($2:56)-1))</f>
        <v>0</v>
      </c>
      <c r="T56">
        <f>IF(ROWS($2:56)&gt;COUNTIF(Maximum_RawData!$A:$A,"5_Maximum"),"",INDEX(Maximum_RawData!T:T,MATCH("5_Maximum",Maximum_RawData!$A:$A,0)+ROWS($2:56)-1))</f>
        <v>0</v>
      </c>
    </row>
    <row r="57" spans="1:20">
      <c r="A57" t="str">
        <f>IF(ROWS($2:57)&gt;COUNTIF(Maximum_RawData!$A:$A,"5_Maximum"),"",INDEX(Maximum_RawData!A:A,MATCH("5_Maximum",Maximum_RawData!$A:$A,0)+ROWS($2:57)-1))</f>
        <v>5_Maximum</v>
      </c>
      <c r="B57">
        <f>IF(ROWS($2:57)&gt;COUNTIF(Maximum_RawData!$A:$A,"5_Maximum"),"",INDEX(Maximum_RawData!B:B,MATCH("5_Maximum",Maximum_RawData!$A:$A,0)+ROWS($2:57)-1))</f>
        <v>145958.10200000001</v>
      </c>
      <c r="C57">
        <f>IF(ROWS($2:57)&gt;COUNTIF(Maximum_RawData!$A:$A,"5_Maximum"),"",INDEX(Maximum_RawData!C:C,MATCH("5_Maximum",Maximum_RawData!$A:$A,0)+ROWS($2:57)-1))</f>
        <v>28.81</v>
      </c>
      <c r="D57">
        <f>IF(ROWS($2:57)&gt;COUNTIF(Maximum_RawData!$A:$A,"5_Maximum"),"",INDEX(Maximum_RawData!D:D,MATCH("5_Maximum",Maximum_RawData!$A:$A,0)+ROWS($2:57)-1))</f>
        <v>1310.701</v>
      </c>
      <c r="E57">
        <f>IF(ROWS($2:57)&gt;COUNTIF(Maximum_RawData!$A:$A,"5_Maximum"),"",INDEX(Maximum_RawData!E:E,MATCH("5_Maximum",Maximum_RawData!$A:$A,0)+ROWS($2:57)-1))</f>
        <v>9.99</v>
      </c>
      <c r="F57">
        <f>IF(ROWS($2:57)&gt;COUNTIF(Maximum_RawData!$A:$A,"5_Maximum"),"",INDEX(Maximum_RawData!F:F,MATCH("5_Maximum",Maximum_RawData!$A:$A,0)+ROWS($2:57)-1))</f>
        <v>399</v>
      </c>
      <c r="G57">
        <f>IF(ROWS($2:57)&gt;COUNTIF(Maximum_RawData!$A:$A,"5_Maximum"),"",INDEX(Maximum_RawData!G:G,MATCH("5_Maximum",Maximum_RawData!$A:$A,0)+ROWS($2:57)-1))</f>
        <v>399</v>
      </c>
      <c r="H57">
        <f>IF(ROWS($2:57)&gt;COUNTIF(Maximum_RawData!$A:$A,"5_Maximum"),"",INDEX(Maximum_RawData!H:H,MATCH("5_Maximum",Maximum_RawData!$A:$A,0)+ROWS($2:57)-1))</f>
        <v>399</v>
      </c>
      <c r="I57">
        <f>IF(ROWS($2:57)&gt;COUNTIF(Maximum_RawData!$A:$A,"5_Maximum"),"",INDEX(Maximum_RawData!I:I,MATCH("5_Maximum",Maximum_RawData!$A:$A,0)+ROWS($2:57)-1))</f>
        <v>399</v>
      </c>
      <c r="J57">
        <f>IF(ROWS($2:57)&gt;COUNTIF(Maximum_RawData!$A:$A,"5_Maximum"),"",INDEX(Maximum_RawData!J:J,MATCH("5_Maximum",Maximum_RawData!$A:$A,0)+ROWS($2:57)-1))</f>
        <v>399</v>
      </c>
      <c r="K57">
        <f>IF(ROWS($2:57)&gt;COUNTIF(Maximum_RawData!$A:$A,"5_Maximum"),"",INDEX(Maximum_RawData!K:K,MATCH("5_Maximum",Maximum_RawData!$A:$A,0)+ROWS($2:57)-1))</f>
        <v>399</v>
      </c>
      <c r="L57">
        <f>IF(ROWS($2:57)&gt;COUNTIF(Maximum_RawData!$A:$A,"5_Maximum"),"",INDEX(Maximum_RawData!L:L,MATCH("5_Maximum",Maximum_RawData!$A:$A,0)+ROWS($2:57)-1))</f>
        <v>399</v>
      </c>
      <c r="M57">
        <f>IF(ROWS($2:57)&gt;COUNTIF(Maximum_RawData!$A:$A,"5_Maximum"),"",INDEX(Maximum_RawData!M:M,MATCH("5_Maximum",Maximum_RawData!$A:$A,0)+ROWS($2:57)-1))</f>
        <v>399</v>
      </c>
      <c r="N57">
        <f>IF(ROWS($2:57)&gt;COUNTIF(Maximum_RawData!$A:$A,"5_Maximum"),"",INDEX(Maximum_RawData!N:N,MATCH("5_Maximum",Maximum_RawData!$A:$A,0)+ROWS($2:57)-1))</f>
        <v>0.09</v>
      </c>
      <c r="O57">
        <f>IF(ROWS($2:57)&gt;COUNTIF(Maximum_RawData!$A:$A,"5_Maximum"),"",INDEX(Maximum_RawData!O:O,MATCH("5_Maximum",Maximum_RawData!$A:$A,0)+ROWS($2:57)-1))</f>
        <v>0.11</v>
      </c>
      <c r="P57">
        <f>IF(ROWS($2:57)&gt;COUNTIF(Maximum_RawData!$A:$A,"5_Maximum"),"",INDEX(Maximum_RawData!P:P,MATCH("5_Maximum",Maximum_RawData!$A:$A,0)+ROWS($2:57)-1))</f>
        <v>0.08</v>
      </c>
      <c r="Q57">
        <f>IF(ROWS($2:57)&gt;COUNTIF(Maximum_RawData!$A:$A,"5_Maximum"),"",INDEX(Maximum_RawData!Q:Q,MATCH("5_Maximum",Maximum_RawData!$A:$A,0)+ROWS($2:57)-1))</f>
        <v>0.1</v>
      </c>
      <c r="R57" t="str">
        <f>IF(ROWS($2:57)&gt;COUNTIF(Maximum_RawData!$A:$A,"5_Maximum"),"",INDEX(Maximum_RawData!R:R,MATCH("5_Maximum",Maximum_RawData!$A:$A,0)+ROWS($2:57)-1))</f>
        <v>Pass</v>
      </c>
      <c r="S57">
        <f>IF(ROWS($2:57)&gt;COUNTIF(Maximum_RawData!$A:$A,"5_Maximum"),"",INDEX(Maximum_RawData!S:S,MATCH("5_Maximum",Maximum_RawData!$A:$A,0)+ROWS($2:57)-1))</f>
        <v>0</v>
      </c>
      <c r="T57">
        <f>IF(ROWS($2:57)&gt;COUNTIF(Maximum_RawData!$A:$A,"5_Maximum"),"",INDEX(Maximum_RawData!T:T,MATCH("5_Maximum",Maximum_RawData!$A:$A,0)+ROWS($2:57)-1))</f>
        <v>0</v>
      </c>
    </row>
    <row r="58" spans="1:20">
      <c r="A58" t="str">
        <f>IF(ROWS($2:58)&gt;COUNTIF(Maximum_RawData!$A:$A,"5_Maximum"),"",INDEX(Maximum_RawData!A:A,MATCH("5_Maximum",Maximum_RawData!$A:$A,0)+ROWS($2:58)-1))</f>
        <v>5_Maximum</v>
      </c>
      <c r="B58">
        <f>IF(ROWS($2:58)&gt;COUNTIF(Maximum_RawData!$A:$A,"5_Maximum"),"",INDEX(Maximum_RawData!B:B,MATCH("5_Maximum",Maximum_RawData!$A:$A,0)+ROWS($2:58)-1))</f>
        <v>150003.10699999999</v>
      </c>
      <c r="C58">
        <f>IF(ROWS($2:58)&gt;COUNTIF(Maximum_RawData!$A:$A,"5_Maximum"),"",INDEX(Maximum_RawData!C:C,MATCH("5_Maximum",Maximum_RawData!$A:$A,0)+ROWS($2:58)-1))</f>
        <v>28.06</v>
      </c>
      <c r="D58">
        <f>IF(ROWS($2:58)&gt;COUNTIF(Maximum_RawData!$A:$A,"5_Maximum"),"",INDEX(Maximum_RawData!D:D,MATCH("5_Maximum",Maximum_RawData!$A:$A,0)+ROWS($2:58)-1))</f>
        <v>1310.6300000000001</v>
      </c>
      <c r="E58">
        <f>IF(ROWS($2:58)&gt;COUNTIF(Maximum_RawData!$A:$A,"5_Maximum"),"",INDEX(Maximum_RawData!E:E,MATCH("5_Maximum",Maximum_RawData!$A:$A,0)+ROWS($2:58)-1))</f>
        <v>9.9499999999999993</v>
      </c>
      <c r="F58">
        <f>IF(ROWS($2:58)&gt;COUNTIF(Maximum_RawData!$A:$A,"5_Maximum"),"",INDEX(Maximum_RawData!F:F,MATCH("5_Maximum",Maximum_RawData!$A:$A,0)+ROWS($2:58)-1))</f>
        <v>399</v>
      </c>
      <c r="G58">
        <f>IF(ROWS($2:58)&gt;COUNTIF(Maximum_RawData!$A:$A,"5_Maximum"),"",INDEX(Maximum_RawData!G:G,MATCH("5_Maximum",Maximum_RawData!$A:$A,0)+ROWS($2:58)-1))</f>
        <v>399</v>
      </c>
      <c r="H58">
        <f>IF(ROWS($2:58)&gt;COUNTIF(Maximum_RawData!$A:$A,"5_Maximum"),"",INDEX(Maximum_RawData!H:H,MATCH("5_Maximum",Maximum_RawData!$A:$A,0)+ROWS($2:58)-1))</f>
        <v>399</v>
      </c>
      <c r="I58">
        <f>IF(ROWS($2:58)&gt;COUNTIF(Maximum_RawData!$A:$A,"5_Maximum"),"",INDEX(Maximum_RawData!I:I,MATCH("5_Maximum",Maximum_RawData!$A:$A,0)+ROWS($2:58)-1))</f>
        <v>399</v>
      </c>
      <c r="J58">
        <f>IF(ROWS($2:58)&gt;COUNTIF(Maximum_RawData!$A:$A,"5_Maximum"),"",INDEX(Maximum_RawData!J:J,MATCH("5_Maximum",Maximum_RawData!$A:$A,0)+ROWS($2:58)-1))</f>
        <v>399</v>
      </c>
      <c r="K58">
        <f>IF(ROWS($2:58)&gt;COUNTIF(Maximum_RawData!$A:$A,"5_Maximum"),"",INDEX(Maximum_RawData!K:K,MATCH("5_Maximum",Maximum_RawData!$A:$A,0)+ROWS($2:58)-1))</f>
        <v>399</v>
      </c>
      <c r="L58">
        <f>IF(ROWS($2:58)&gt;COUNTIF(Maximum_RawData!$A:$A,"5_Maximum"),"",INDEX(Maximum_RawData!L:L,MATCH("5_Maximum",Maximum_RawData!$A:$A,0)+ROWS($2:58)-1))</f>
        <v>399</v>
      </c>
      <c r="M58">
        <f>IF(ROWS($2:58)&gt;COUNTIF(Maximum_RawData!$A:$A,"5_Maximum"),"",INDEX(Maximum_RawData!M:M,MATCH("5_Maximum",Maximum_RawData!$A:$A,0)+ROWS($2:58)-1))</f>
        <v>399</v>
      </c>
      <c r="N58">
        <f>IF(ROWS($2:58)&gt;COUNTIF(Maximum_RawData!$A:$A,"5_Maximum"),"",INDEX(Maximum_RawData!N:N,MATCH("5_Maximum",Maximum_RawData!$A:$A,0)+ROWS($2:58)-1))</f>
        <v>0.09</v>
      </c>
      <c r="O58">
        <f>IF(ROWS($2:58)&gt;COUNTIF(Maximum_RawData!$A:$A,"5_Maximum"),"",INDEX(Maximum_RawData!O:O,MATCH("5_Maximum",Maximum_RawData!$A:$A,0)+ROWS($2:58)-1))</f>
        <v>0.11</v>
      </c>
      <c r="P58">
        <f>IF(ROWS($2:58)&gt;COUNTIF(Maximum_RawData!$A:$A,"5_Maximum"),"",INDEX(Maximum_RawData!P:P,MATCH("5_Maximum",Maximum_RawData!$A:$A,0)+ROWS($2:58)-1))</f>
        <v>0.08</v>
      </c>
      <c r="Q58">
        <f>IF(ROWS($2:58)&gt;COUNTIF(Maximum_RawData!$A:$A,"5_Maximum"),"",INDEX(Maximum_RawData!Q:Q,MATCH("5_Maximum",Maximum_RawData!$A:$A,0)+ROWS($2:58)-1))</f>
        <v>0.1</v>
      </c>
      <c r="R58" t="str">
        <f>IF(ROWS($2:58)&gt;COUNTIF(Maximum_RawData!$A:$A,"5_Maximum"),"",INDEX(Maximum_RawData!R:R,MATCH("5_Maximum",Maximum_RawData!$A:$A,0)+ROWS($2:58)-1))</f>
        <v>Pass</v>
      </c>
      <c r="S58">
        <f>IF(ROWS($2:58)&gt;COUNTIF(Maximum_RawData!$A:$A,"5_Maximum"),"",INDEX(Maximum_RawData!S:S,MATCH("5_Maximum",Maximum_RawData!$A:$A,0)+ROWS($2:58)-1))</f>
        <v>0</v>
      </c>
      <c r="T58">
        <f>IF(ROWS($2:58)&gt;COUNTIF(Maximum_RawData!$A:$A,"5_Maximum"),"",INDEX(Maximum_RawData!T:T,MATCH("5_Maximum",Maximum_RawData!$A:$A,0)+ROWS($2:58)-1))</f>
        <v>0</v>
      </c>
    </row>
    <row r="59" spans="1:20">
      <c r="A59" t="str">
        <f>IF(ROWS($2:59)&gt;COUNTIF(Maximum_RawData!$A:$A,"5_Maximum"),"",INDEX(Maximum_RawData!A:A,MATCH("5_Maximum",Maximum_RawData!$A:$A,0)+ROWS($2:59)-1))</f>
        <v>5_Maximum</v>
      </c>
      <c r="B59">
        <f>IF(ROWS($2:59)&gt;COUNTIF(Maximum_RawData!$A:$A,"5_Maximum"),"",INDEX(Maximum_RawData!B:B,MATCH("5_Maximum",Maximum_RawData!$A:$A,0)+ROWS($2:59)-1))</f>
        <v>150008.10500000001</v>
      </c>
      <c r="C59">
        <f>IF(ROWS($2:59)&gt;COUNTIF(Maximum_RawData!$A:$A,"5_Maximum"),"",INDEX(Maximum_RawData!C:C,MATCH("5_Maximum",Maximum_RawData!$A:$A,0)+ROWS($2:59)-1))</f>
        <v>27.3</v>
      </c>
      <c r="D59">
        <f>IF(ROWS($2:59)&gt;COUNTIF(Maximum_RawData!$A:$A,"5_Maximum"),"",INDEX(Maximum_RawData!D:D,MATCH("5_Maximum",Maximum_RawData!$A:$A,0)+ROWS($2:59)-1))</f>
        <v>1310.56</v>
      </c>
      <c r="E59">
        <f>IF(ROWS($2:59)&gt;COUNTIF(Maximum_RawData!$A:$A,"5_Maximum"),"",INDEX(Maximum_RawData!E:E,MATCH("5_Maximum",Maximum_RawData!$A:$A,0)+ROWS($2:59)-1))</f>
        <v>9.99</v>
      </c>
      <c r="F59">
        <f>IF(ROWS($2:59)&gt;COUNTIF(Maximum_RawData!$A:$A,"5_Maximum"),"",INDEX(Maximum_RawData!F:F,MATCH("5_Maximum",Maximum_RawData!$A:$A,0)+ROWS($2:59)-1))</f>
        <v>399</v>
      </c>
      <c r="G59">
        <f>IF(ROWS($2:59)&gt;COUNTIF(Maximum_RawData!$A:$A,"5_Maximum"),"",INDEX(Maximum_RawData!G:G,MATCH("5_Maximum",Maximum_RawData!$A:$A,0)+ROWS($2:59)-1))</f>
        <v>399</v>
      </c>
      <c r="H59">
        <f>IF(ROWS($2:59)&gt;COUNTIF(Maximum_RawData!$A:$A,"5_Maximum"),"",INDEX(Maximum_RawData!H:H,MATCH("5_Maximum",Maximum_RawData!$A:$A,0)+ROWS($2:59)-1))</f>
        <v>399</v>
      </c>
      <c r="I59">
        <f>IF(ROWS($2:59)&gt;COUNTIF(Maximum_RawData!$A:$A,"5_Maximum"),"",INDEX(Maximum_RawData!I:I,MATCH("5_Maximum",Maximum_RawData!$A:$A,0)+ROWS($2:59)-1))</f>
        <v>399</v>
      </c>
      <c r="J59">
        <f>IF(ROWS($2:59)&gt;COUNTIF(Maximum_RawData!$A:$A,"5_Maximum"),"",INDEX(Maximum_RawData!J:J,MATCH("5_Maximum",Maximum_RawData!$A:$A,0)+ROWS($2:59)-1))</f>
        <v>399</v>
      </c>
      <c r="K59">
        <f>IF(ROWS($2:59)&gt;COUNTIF(Maximum_RawData!$A:$A,"5_Maximum"),"",INDEX(Maximum_RawData!K:K,MATCH("5_Maximum",Maximum_RawData!$A:$A,0)+ROWS($2:59)-1))</f>
        <v>399</v>
      </c>
      <c r="L59">
        <f>IF(ROWS($2:59)&gt;COUNTIF(Maximum_RawData!$A:$A,"5_Maximum"),"",INDEX(Maximum_RawData!L:L,MATCH("5_Maximum",Maximum_RawData!$A:$A,0)+ROWS($2:59)-1))</f>
        <v>399</v>
      </c>
      <c r="M59">
        <f>IF(ROWS($2:59)&gt;COUNTIF(Maximum_RawData!$A:$A,"5_Maximum"),"",INDEX(Maximum_RawData!M:M,MATCH("5_Maximum",Maximum_RawData!$A:$A,0)+ROWS($2:59)-1))</f>
        <v>399</v>
      </c>
      <c r="N59">
        <f>IF(ROWS($2:59)&gt;COUNTIF(Maximum_RawData!$A:$A,"5_Maximum"),"",INDEX(Maximum_RawData!N:N,MATCH("5_Maximum",Maximum_RawData!$A:$A,0)+ROWS($2:59)-1))</f>
        <v>0.09</v>
      </c>
      <c r="O59">
        <f>IF(ROWS($2:59)&gt;COUNTIF(Maximum_RawData!$A:$A,"5_Maximum"),"",INDEX(Maximum_RawData!O:O,MATCH("5_Maximum",Maximum_RawData!$A:$A,0)+ROWS($2:59)-1))</f>
        <v>0.11</v>
      </c>
      <c r="P59">
        <f>IF(ROWS($2:59)&gt;COUNTIF(Maximum_RawData!$A:$A,"5_Maximum"),"",INDEX(Maximum_RawData!P:P,MATCH("5_Maximum",Maximum_RawData!$A:$A,0)+ROWS($2:59)-1))</f>
        <v>0.08</v>
      </c>
      <c r="Q59">
        <f>IF(ROWS($2:59)&gt;COUNTIF(Maximum_RawData!$A:$A,"5_Maximum"),"",INDEX(Maximum_RawData!Q:Q,MATCH("5_Maximum",Maximum_RawData!$A:$A,0)+ROWS($2:59)-1))</f>
        <v>0.1</v>
      </c>
      <c r="R59" t="str">
        <f>IF(ROWS($2:59)&gt;COUNTIF(Maximum_RawData!$A:$A,"5_Maximum"),"",INDEX(Maximum_RawData!R:R,MATCH("5_Maximum",Maximum_RawData!$A:$A,0)+ROWS($2:59)-1))</f>
        <v>Pass</v>
      </c>
      <c r="S59">
        <f>IF(ROWS($2:59)&gt;COUNTIF(Maximum_RawData!$A:$A,"5_Maximum"),"",INDEX(Maximum_RawData!S:S,MATCH("5_Maximum",Maximum_RawData!$A:$A,0)+ROWS($2:59)-1))</f>
        <v>0</v>
      </c>
      <c r="T59">
        <f>IF(ROWS($2:59)&gt;COUNTIF(Maximum_RawData!$A:$A,"5_Maximum"),"",INDEX(Maximum_RawData!T:T,MATCH("5_Maximum",Maximum_RawData!$A:$A,0)+ROWS($2:59)-1))</f>
        <v>0</v>
      </c>
    </row>
    <row r="60" spans="1:20">
      <c r="A60" t="str">
        <f>IF(ROWS($2:60)&gt;COUNTIF(Maximum_RawData!$A:$A,"5_Maximum"),"",INDEX(Maximum_RawData!A:A,MATCH("5_Maximum",Maximum_RawData!$A:$A,0)+ROWS($2:60)-1))</f>
        <v>5_Maximum</v>
      </c>
      <c r="B60">
        <f>IF(ROWS($2:60)&gt;COUNTIF(Maximum_RawData!$A:$A,"5_Maximum"),"",INDEX(Maximum_RawData!B:B,MATCH("5_Maximum",Maximum_RawData!$A:$A,0)+ROWS($2:60)-1))</f>
        <v>150013.10699999999</v>
      </c>
      <c r="C60">
        <f>IF(ROWS($2:60)&gt;COUNTIF(Maximum_RawData!$A:$A,"5_Maximum"),"",INDEX(Maximum_RawData!C:C,MATCH("5_Maximum",Maximum_RawData!$A:$A,0)+ROWS($2:60)-1))</f>
        <v>26.57</v>
      </c>
      <c r="D60">
        <f>IF(ROWS($2:60)&gt;COUNTIF(Maximum_RawData!$A:$A,"5_Maximum"),"",INDEX(Maximum_RawData!D:D,MATCH("5_Maximum",Maximum_RawData!$A:$A,0)+ROWS($2:60)-1))</f>
        <v>1310.482</v>
      </c>
      <c r="E60">
        <f>IF(ROWS($2:60)&gt;COUNTIF(Maximum_RawData!$A:$A,"5_Maximum"),"",INDEX(Maximum_RawData!E:E,MATCH("5_Maximum",Maximum_RawData!$A:$A,0)+ROWS($2:60)-1))</f>
        <v>10.02</v>
      </c>
      <c r="F60">
        <f>IF(ROWS($2:60)&gt;COUNTIF(Maximum_RawData!$A:$A,"5_Maximum"),"",INDEX(Maximum_RawData!F:F,MATCH("5_Maximum",Maximum_RawData!$A:$A,0)+ROWS($2:60)-1))</f>
        <v>399</v>
      </c>
      <c r="G60">
        <f>IF(ROWS($2:60)&gt;COUNTIF(Maximum_RawData!$A:$A,"5_Maximum"),"",INDEX(Maximum_RawData!G:G,MATCH("5_Maximum",Maximum_RawData!$A:$A,0)+ROWS($2:60)-1))</f>
        <v>399</v>
      </c>
      <c r="H60">
        <f>IF(ROWS($2:60)&gt;COUNTIF(Maximum_RawData!$A:$A,"5_Maximum"),"",INDEX(Maximum_RawData!H:H,MATCH("5_Maximum",Maximum_RawData!$A:$A,0)+ROWS($2:60)-1))</f>
        <v>399</v>
      </c>
      <c r="I60">
        <f>IF(ROWS($2:60)&gt;COUNTIF(Maximum_RawData!$A:$A,"5_Maximum"),"",INDEX(Maximum_RawData!I:I,MATCH("5_Maximum",Maximum_RawData!$A:$A,0)+ROWS($2:60)-1))</f>
        <v>399</v>
      </c>
      <c r="J60">
        <f>IF(ROWS($2:60)&gt;COUNTIF(Maximum_RawData!$A:$A,"5_Maximum"),"",INDEX(Maximum_RawData!J:J,MATCH("5_Maximum",Maximum_RawData!$A:$A,0)+ROWS($2:60)-1))</f>
        <v>399</v>
      </c>
      <c r="K60">
        <f>IF(ROWS($2:60)&gt;COUNTIF(Maximum_RawData!$A:$A,"5_Maximum"),"",INDEX(Maximum_RawData!K:K,MATCH("5_Maximum",Maximum_RawData!$A:$A,0)+ROWS($2:60)-1))</f>
        <v>399</v>
      </c>
      <c r="L60">
        <f>IF(ROWS($2:60)&gt;COUNTIF(Maximum_RawData!$A:$A,"5_Maximum"),"",INDEX(Maximum_RawData!L:L,MATCH("5_Maximum",Maximum_RawData!$A:$A,0)+ROWS($2:60)-1))</f>
        <v>399</v>
      </c>
      <c r="M60">
        <f>IF(ROWS($2:60)&gt;COUNTIF(Maximum_RawData!$A:$A,"5_Maximum"),"",INDEX(Maximum_RawData!M:M,MATCH("5_Maximum",Maximum_RawData!$A:$A,0)+ROWS($2:60)-1))</f>
        <v>399</v>
      </c>
      <c r="N60">
        <f>IF(ROWS($2:60)&gt;COUNTIF(Maximum_RawData!$A:$A,"5_Maximum"),"",INDEX(Maximum_RawData!N:N,MATCH("5_Maximum",Maximum_RawData!$A:$A,0)+ROWS($2:60)-1))</f>
        <v>0.11</v>
      </c>
      <c r="O60">
        <f>IF(ROWS($2:60)&gt;COUNTIF(Maximum_RawData!$A:$A,"5_Maximum"),"",INDEX(Maximum_RawData!O:O,MATCH("5_Maximum",Maximum_RawData!$A:$A,0)+ROWS($2:60)-1))</f>
        <v>0.11</v>
      </c>
      <c r="P60">
        <f>IF(ROWS($2:60)&gt;COUNTIF(Maximum_RawData!$A:$A,"5_Maximum"),"",INDEX(Maximum_RawData!P:P,MATCH("5_Maximum",Maximum_RawData!$A:$A,0)+ROWS($2:60)-1))</f>
        <v>0.08</v>
      </c>
      <c r="Q60">
        <f>IF(ROWS($2:60)&gt;COUNTIF(Maximum_RawData!$A:$A,"5_Maximum"),"",INDEX(Maximum_RawData!Q:Q,MATCH("5_Maximum",Maximum_RawData!$A:$A,0)+ROWS($2:60)-1))</f>
        <v>0.1</v>
      </c>
      <c r="R60" t="str">
        <f>IF(ROWS($2:60)&gt;COUNTIF(Maximum_RawData!$A:$A,"5_Maximum"),"",INDEX(Maximum_RawData!R:R,MATCH("5_Maximum",Maximum_RawData!$A:$A,0)+ROWS($2:60)-1))</f>
        <v>Pass</v>
      </c>
      <c r="S60">
        <f>IF(ROWS($2:60)&gt;COUNTIF(Maximum_RawData!$A:$A,"5_Maximum"),"",INDEX(Maximum_RawData!S:S,MATCH("5_Maximum",Maximum_RawData!$A:$A,0)+ROWS($2:60)-1))</f>
        <v>0</v>
      </c>
      <c r="T60">
        <f>IF(ROWS($2:60)&gt;COUNTIF(Maximum_RawData!$A:$A,"5_Maximum"),"",INDEX(Maximum_RawData!T:T,MATCH("5_Maximum",Maximum_RawData!$A:$A,0)+ROWS($2:60)-1))</f>
        <v>0</v>
      </c>
    </row>
    <row r="61" spans="1:20">
      <c r="A61" t="str">
        <f>IF(ROWS($2:61)&gt;COUNTIF(Maximum_RawData!$A:$A,"5_Maximum"),"",INDEX(Maximum_RawData!A:A,MATCH("5_Maximum",Maximum_RawData!$A:$A,0)+ROWS($2:61)-1))</f>
        <v>5_Maximum</v>
      </c>
      <c r="B61">
        <f>IF(ROWS($2:61)&gt;COUNTIF(Maximum_RawData!$A:$A,"5_Maximum"),"",INDEX(Maximum_RawData!B:B,MATCH("5_Maximum",Maximum_RawData!$A:$A,0)+ROWS($2:61)-1))</f>
        <v>150018.103</v>
      </c>
      <c r="C61">
        <f>IF(ROWS($2:61)&gt;COUNTIF(Maximum_RawData!$A:$A,"5_Maximum"),"",INDEX(Maximum_RawData!C:C,MATCH("5_Maximum",Maximum_RawData!$A:$A,0)+ROWS($2:61)-1))</f>
        <v>25.81</v>
      </c>
      <c r="D61">
        <f>IF(ROWS($2:61)&gt;COUNTIF(Maximum_RawData!$A:$A,"5_Maximum"),"",INDEX(Maximum_RawData!D:D,MATCH("5_Maximum",Maximum_RawData!$A:$A,0)+ROWS($2:61)-1))</f>
        <v>1310.4179999999999</v>
      </c>
      <c r="E61">
        <f>IF(ROWS($2:61)&gt;COUNTIF(Maximum_RawData!$A:$A,"5_Maximum"),"",INDEX(Maximum_RawData!E:E,MATCH("5_Maximum",Maximum_RawData!$A:$A,0)+ROWS($2:61)-1))</f>
        <v>9.82</v>
      </c>
      <c r="F61">
        <f>IF(ROWS($2:61)&gt;COUNTIF(Maximum_RawData!$A:$A,"5_Maximum"),"",INDEX(Maximum_RawData!F:F,MATCH("5_Maximum",Maximum_RawData!$A:$A,0)+ROWS($2:61)-1))</f>
        <v>399</v>
      </c>
      <c r="G61">
        <f>IF(ROWS($2:61)&gt;COUNTIF(Maximum_RawData!$A:$A,"5_Maximum"),"",INDEX(Maximum_RawData!G:G,MATCH("5_Maximum",Maximum_RawData!$A:$A,0)+ROWS($2:61)-1))</f>
        <v>399</v>
      </c>
      <c r="H61">
        <f>IF(ROWS($2:61)&gt;COUNTIF(Maximum_RawData!$A:$A,"5_Maximum"),"",INDEX(Maximum_RawData!H:H,MATCH("5_Maximum",Maximum_RawData!$A:$A,0)+ROWS($2:61)-1))</f>
        <v>399</v>
      </c>
      <c r="I61">
        <f>IF(ROWS($2:61)&gt;COUNTIF(Maximum_RawData!$A:$A,"5_Maximum"),"",INDEX(Maximum_RawData!I:I,MATCH("5_Maximum",Maximum_RawData!$A:$A,0)+ROWS($2:61)-1))</f>
        <v>399</v>
      </c>
      <c r="J61">
        <f>IF(ROWS($2:61)&gt;COUNTIF(Maximum_RawData!$A:$A,"5_Maximum"),"",INDEX(Maximum_RawData!J:J,MATCH("5_Maximum",Maximum_RawData!$A:$A,0)+ROWS($2:61)-1))</f>
        <v>399</v>
      </c>
      <c r="K61">
        <f>IF(ROWS($2:61)&gt;COUNTIF(Maximum_RawData!$A:$A,"5_Maximum"),"",INDEX(Maximum_RawData!K:K,MATCH("5_Maximum",Maximum_RawData!$A:$A,0)+ROWS($2:61)-1))</f>
        <v>399</v>
      </c>
      <c r="L61">
        <f>IF(ROWS($2:61)&gt;COUNTIF(Maximum_RawData!$A:$A,"5_Maximum"),"",INDEX(Maximum_RawData!L:L,MATCH("5_Maximum",Maximum_RawData!$A:$A,0)+ROWS($2:61)-1))</f>
        <v>399</v>
      </c>
      <c r="M61">
        <f>IF(ROWS($2:61)&gt;COUNTIF(Maximum_RawData!$A:$A,"5_Maximum"),"",INDEX(Maximum_RawData!M:M,MATCH("5_Maximum",Maximum_RawData!$A:$A,0)+ROWS($2:61)-1))</f>
        <v>399</v>
      </c>
      <c r="N61">
        <f>IF(ROWS($2:61)&gt;COUNTIF(Maximum_RawData!$A:$A,"5_Maximum"),"",INDEX(Maximum_RawData!N:N,MATCH("5_Maximum",Maximum_RawData!$A:$A,0)+ROWS($2:61)-1))</f>
        <v>0.08</v>
      </c>
      <c r="O61">
        <f>IF(ROWS($2:61)&gt;COUNTIF(Maximum_RawData!$A:$A,"5_Maximum"),"",INDEX(Maximum_RawData!O:O,MATCH("5_Maximum",Maximum_RawData!$A:$A,0)+ROWS($2:61)-1))</f>
        <v>0.11</v>
      </c>
      <c r="P61">
        <f>IF(ROWS($2:61)&gt;COUNTIF(Maximum_RawData!$A:$A,"5_Maximum"),"",INDEX(Maximum_RawData!P:P,MATCH("5_Maximum",Maximum_RawData!$A:$A,0)+ROWS($2:61)-1))</f>
        <v>0.08</v>
      </c>
      <c r="Q61">
        <f>IF(ROWS($2:61)&gt;COUNTIF(Maximum_RawData!$A:$A,"5_Maximum"),"",INDEX(Maximum_RawData!Q:Q,MATCH("5_Maximum",Maximum_RawData!$A:$A,0)+ROWS($2:61)-1))</f>
        <v>0.1</v>
      </c>
      <c r="R61" t="str">
        <f>IF(ROWS($2:61)&gt;COUNTIF(Maximum_RawData!$A:$A,"5_Maximum"),"",INDEX(Maximum_RawData!R:R,MATCH("5_Maximum",Maximum_RawData!$A:$A,0)+ROWS($2:61)-1))</f>
        <v>Pass</v>
      </c>
      <c r="S61">
        <f>IF(ROWS($2:61)&gt;COUNTIF(Maximum_RawData!$A:$A,"5_Maximum"),"",INDEX(Maximum_RawData!S:S,MATCH("5_Maximum",Maximum_RawData!$A:$A,0)+ROWS($2:61)-1))</f>
        <v>0</v>
      </c>
      <c r="T61">
        <f>IF(ROWS($2:61)&gt;COUNTIF(Maximum_RawData!$A:$A,"5_Maximum"),"",INDEX(Maximum_RawData!T:T,MATCH("5_Maximum",Maximum_RawData!$A:$A,0)+ROWS($2:61)-1))</f>
        <v>0</v>
      </c>
    </row>
    <row r="62" spans="1:20">
      <c r="A62" t="str">
        <f>IF(ROWS($2:62)&gt;COUNTIF(Maximum_RawData!$A:$A,"5_Maximum"),"",INDEX(Maximum_RawData!A:A,MATCH("5_Maximum",Maximum_RawData!$A:$A,0)+ROWS($2:62)-1))</f>
        <v>5_Maximum</v>
      </c>
      <c r="B62">
        <f>IF(ROWS($2:62)&gt;COUNTIF(Maximum_RawData!$A:$A,"5_Maximum"),"",INDEX(Maximum_RawData!B:B,MATCH("5_Maximum",Maximum_RawData!$A:$A,0)+ROWS($2:62)-1))</f>
        <v>150023.106</v>
      </c>
      <c r="C62">
        <f>IF(ROWS($2:62)&gt;COUNTIF(Maximum_RawData!$A:$A,"5_Maximum"),"",INDEX(Maximum_RawData!C:C,MATCH("5_Maximum",Maximum_RawData!$A:$A,0)+ROWS($2:62)-1))</f>
        <v>25.09</v>
      </c>
      <c r="D62">
        <f>IF(ROWS($2:62)&gt;COUNTIF(Maximum_RawData!$A:$A,"5_Maximum"),"",INDEX(Maximum_RawData!D:D,MATCH("5_Maximum",Maximum_RawData!$A:$A,0)+ROWS($2:62)-1))</f>
        <v>1310.346</v>
      </c>
      <c r="E62">
        <f>IF(ROWS($2:62)&gt;COUNTIF(Maximum_RawData!$A:$A,"5_Maximum"),"",INDEX(Maximum_RawData!E:E,MATCH("5_Maximum",Maximum_RawData!$A:$A,0)+ROWS($2:62)-1))</f>
        <v>9.73</v>
      </c>
      <c r="F62">
        <f>IF(ROWS($2:62)&gt;COUNTIF(Maximum_RawData!$A:$A,"5_Maximum"),"",INDEX(Maximum_RawData!F:F,MATCH("5_Maximum",Maximum_RawData!$A:$A,0)+ROWS($2:62)-1))</f>
        <v>399</v>
      </c>
      <c r="G62">
        <f>IF(ROWS($2:62)&gt;COUNTIF(Maximum_RawData!$A:$A,"5_Maximum"),"",INDEX(Maximum_RawData!G:G,MATCH("5_Maximum",Maximum_RawData!$A:$A,0)+ROWS($2:62)-1))</f>
        <v>399</v>
      </c>
      <c r="H62">
        <f>IF(ROWS($2:62)&gt;COUNTIF(Maximum_RawData!$A:$A,"5_Maximum"),"",INDEX(Maximum_RawData!H:H,MATCH("5_Maximum",Maximum_RawData!$A:$A,0)+ROWS($2:62)-1))</f>
        <v>399</v>
      </c>
      <c r="I62">
        <f>IF(ROWS($2:62)&gt;COUNTIF(Maximum_RawData!$A:$A,"5_Maximum"),"",INDEX(Maximum_RawData!I:I,MATCH("5_Maximum",Maximum_RawData!$A:$A,0)+ROWS($2:62)-1))</f>
        <v>399</v>
      </c>
      <c r="J62">
        <f>IF(ROWS($2:62)&gt;COUNTIF(Maximum_RawData!$A:$A,"5_Maximum"),"",INDEX(Maximum_RawData!J:J,MATCH("5_Maximum",Maximum_RawData!$A:$A,0)+ROWS($2:62)-1))</f>
        <v>399</v>
      </c>
      <c r="K62">
        <f>IF(ROWS($2:62)&gt;COUNTIF(Maximum_RawData!$A:$A,"5_Maximum"),"",INDEX(Maximum_RawData!K:K,MATCH("5_Maximum",Maximum_RawData!$A:$A,0)+ROWS($2:62)-1))</f>
        <v>399</v>
      </c>
      <c r="L62">
        <f>IF(ROWS($2:62)&gt;COUNTIF(Maximum_RawData!$A:$A,"5_Maximum"),"",INDEX(Maximum_RawData!L:L,MATCH("5_Maximum",Maximum_RawData!$A:$A,0)+ROWS($2:62)-1))</f>
        <v>399</v>
      </c>
      <c r="M62">
        <f>IF(ROWS($2:62)&gt;COUNTIF(Maximum_RawData!$A:$A,"5_Maximum"),"",INDEX(Maximum_RawData!M:M,MATCH("5_Maximum",Maximum_RawData!$A:$A,0)+ROWS($2:62)-1))</f>
        <v>399</v>
      </c>
      <c r="N62">
        <f>IF(ROWS($2:62)&gt;COUNTIF(Maximum_RawData!$A:$A,"5_Maximum"),"",INDEX(Maximum_RawData!N:N,MATCH("5_Maximum",Maximum_RawData!$A:$A,0)+ROWS($2:62)-1))</f>
        <v>0.1</v>
      </c>
      <c r="O62">
        <f>IF(ROWS($2:62)&gt;COUNTIF(Maximum_RawData!$A:$A,"5_Maximum"),"",INDEX(Maximum_RawData!O:O,MATCH("5_Maximum",Maximum_RawData!$A:$A,0)+ROWS($2:62)-1))</f>
        <v>0.11</v>
      </c>
      <c r="P62">
        <f>IF(ROWS($2:62)&gt;COUNTIF(Maximum_RawData!$A:$A,"5_Maximum"),"",INDEX(Maximum_RawData!P:P,MATCH("5_Maximum",Maximum_RawData!$A:$A,0)+ROWS($2:62)-1))</f>
        <v>0.08</v>
      </c>
      <c r="Q62">
        <f>IF(ROWS($2:62)&gt;COUNTIF(Maximum_RawData!$A:$A,"5_Maximum"),"",INDEX(Maximum_RawData!Q:Q,MATCH("5_Maximum",Maximum_RawData!$A:$A,0)+ROWS($2:62)-1))</f>
        <v>0.1</v>
      </c>
      <c r="R62" t="str">
        <f>IF(ROWS($2:62)&gt;COUNTIF(Maximum_RawData!$A:$A,"5_Maximum"),"",INDEX(Maximum_RawData!R:R,MATCH("5_Maximum",Maximum_RawData!$A:$A,0)+ROWS($2:62)-1))</f>
        <v>Pass</v>
      </c>
      <c r="S62">
        <f>IF(ROWS($2:62)&gt;COUNTIF(Maximum_RawData!$A:$A,"5_Maximum"),"",INDEX(Maximum_RawData!S:S,MATCH("5_Maximum",Maximum_RawData!$A:$A,0)+ROWS($2:62)-1))</f>
        <v>0</v>
      </c>
      <c r="T62">
        <f>IF(ROWS($2:62)&gt;COUNTIF(Maximum_RawData!$A:$A,"5_Maximum"),"",INDEX(Maximum_RawData!T:T,MATCH("5_Maximum",Maximum_RawData!$A:$A,0)+ROWS($2:62)-1))</f>
        <v>0</v>
      </c>
    </row>
    <row r="63" spans="1:20">
      <c r="A63" t="str">
        <f>IF(ROWS($2:63)&gt;COUNTIF(Maximum_RawData!$A:$A,"5_Maximum"),"",INDEX(Maximum_RawData!A:A,MATCH("5_Maximum",Maximum_RawData!$A:$A,0)+ROWS($2:63)-1))</f>
        <v>5_Maximum</v>
      </c>
      <c r="B63">
        <f>IF(ROWS($2:63)&gt;COUNTIF(Maximum_RawData!$A:$A,"5_Maximum"),"",INDEX(Maximum_RawData!B:B,MATCH("5_Maximum",Maximum_RawData!$A:$A,0)+ROWS($2:63)-1))</f>
        <v>150028.101</v>
      </c>
      <c r="C63">
        <f>IF(ROWS($2:63)&gt;COUNTIF(Maximum_RawData!$A:$A,"5_Maximum"),"",INDEX(Maximum_RawData!C:C,MATCH("5_Maximum",Maximum_RawData!$A:$A,0)+ROWS($2:63)-1))</f>
        <v>24.32</v>
      </c>
      <c r="D63">
        <f>IF(ROWS($2:63)&gt;COUNTIF(Maximum_RawData!$A:$A,"5_Maximum"),"",INDEX(Maximum_RawData!D:D,MATCH("5_Maximum",Maximum_RawData!$A:$A,0)+ROWS($2:63)-1))</f>
        <v>1310.2750000000001</v>
      </c>
      <c r="E63">
        <f>IF(ROWS($2:63)&gt;COUNTIF(Maximum_RawData!$A:$A,"5_Maximum"),"",INDEX(Maximum_RawData!E:E,MATCH("5_Maximum",Maximum_RawData!$A:$A,0)+ROWS($2:63)-1))</f>
        <v>9.75</v>
      </c>
      <c r="F63">
        <f>IF(ROWS($2:63)&gt;COUNTIF(Maximum_RawData!$A:$A,"5_Maximum"),"",INDEX(Maximum_RawData!F:F,MATCH("5_Maximum",Maximum_RawData!$A:$A,0)+ROWS($2:63)-1))</f>
        <v>399</v>
      </c>
      <c r="G63">
        <f>IF(ROWS($2:63)&gt;COUNTIF(Maximum_RawData!$A:$A,"5_Maximum"),"",INDEX(Maximum_RawData!G:G,MATCH("5_Maximum",Maximum_RawData!$A:$A,0)+ROWS($2:63)-1))</f>
        <v>399</v>
      </c>
      <c r="H63">
        <f>IF(ROWS($2:63)&gt;COUNTIF(Maximum_RawData!$A:$A,"5_Maximum"),"",INDEX(Maximum_RawData!H:H,MATCH("5_Maximum",Maximum_RawData!$A:$A,0)+ROWS($2:63)-1))</f>
        <v>399</v>
      </c>
      <c r="I63">
        <f>IF(ROWS($2:63)&gt;COUNTIF(Maximum_RawData!$A:$A,"5_Maximum"),"",INDEX(Maximum_RawData!I:I,MATCH("5_Maximum",Maximum_RawData!$A:$A,0)+ROWS($2:63)-1))</f>
        <v>399</v>
      </c>
      <c r="J63">
        <f>IF(ROWS($2:63)&gt;COUNTIF(Maximum_RawData!$A:$A,"5_Maximum"),"",INDEX(Maximum_RawData!J:J,MATCH("5_Maximum",Maximum_RawData!$A:$A,0)+ROWS($2:63)-1))</f>
        <v>399</v>
      </c>
      <c r="K63">
        <f>IF(ROWS($2:63)&gt;COUNTIF(Maximum_RawData!$A:$A,"5_Maximum"),"",INDEX(Maximum_RawData!K:K,MATCH("5_Maximum",Maximum_RawData!$A:$A,0)+ROWS($2:63)-1))</f>
        <v>399</v>
      </c>
      <c r="L63">
        <f>IF(ROWS($2:63)&gt;COUNTIF(Maximum_RawData!$A:$A,"5_Maximum"),"",INDEX(Maximum_RawData!L:L,MATCH("5_Maximum",Maximum_RawData!$A:$A,0)+ROWS($2:63)-1))</f>
        <v>399</v>
      </c>
      <c r="M63">
        <f>IF(ROWS($2:63)&gt;COUNTIF(Maximum_RawData!$A:$A,"5_Maximum"),"",INDEX(Maximum_RawData!M:M,MATCH("5_Maximum",Maximum_RawData!$A:$A,0)+ROWS($2:63)-1))</f>
        <v>399</v>
      </c>
      <c r="N63">
        <f>IF(ROWS($2:63)&gt;COUNTIF(Maximum_RawData!$A:$A,"5_Maximum"),"",INDEX(Maximum_RawData!N:N,MATCH("5_Maximum",Maximum_RawData!$A:$A,0)+ROWS($2:63)-1))</f>
        <v>0.09</v>
      </c>
      <c r="O63">
        <f>IF(ROWS($2:63)&gt;COUNTIF(Maximum_RawData!$A:$A,"5_Maximum"),"",INDEX(Maximum_RawData!O:O,MATCH("5_Maximum",Maximum_RawData!$A:$A,0)+ROWS($2:63)-1))</f>
        <v>0.11</v>
      </c>
      <c r="P63">
        <f>IF(ROWS($2:63)&gt;COUNTIF(Maximum_RawData!$A:$A,"5_Maximum"),"",INDEX(Maximum_RawData!P:P,MATCH("5_Maximum",Maximum_RawData!$A:$A,0)+ROWS($2:63)-1))</f>
        <v>0.08</v>
      </c>
      <c r="Q63">
        <f>IF(ROWS($2:63)&gt;COUNTIF(Maximum_RawData!$A:$A,"5_Maximum"),"",INDEX(Maximum_RawData!Q:Q,MATCH("5_Maximum",Maximum_RawData!$A:$A,0)+ROWS($2:63)-1))</f>
        <v>0.1</v>
      </c>
      <c r="R63" t="str">
        <f>IF(ROWS($2:63)&gt;COUNTIF(Maximum_RawData!$A:$A,"5_Maximum"),"",INDEX(Maximum_RawData!R:R,MATCH("5_Maximum",Maximum_RawData!$A:$A,0)+ROWS($2:63)-1))</f>
        <v>Pass</v>
      </c>
      <c r="S63">
        <f>IF(ROWS($2:63)&gt;COUNTIF(Maximum_RawData!$A:$A,"5_Maximum"),"",INDEX(Maximum_RawData!S:S,MATCH("5_Maximum",Maximum_RawData!$A:$A,0)+ROWS($2:63)-1))</f>
        <v>0</v>
      </c>
      <c r="T63">
        <f>IF(ROWS($2:63)&gt;COUNTIF(Maximum_RawData!$A:$A,"5_Maximum"),"",INDEX(Maximum_RawData!T:T,MATCH("5_Maximum",Maximum_RawData!$A:$A,0)+ROWS($2:63)-1))</f>
        <v>0</v>
      </c>
    </row>
    <row r="64" spans="1:20">
      <c r="A64" t="str">
        <f>IF(ROWS($2:64)&gt;COUNTIF(Maximum_RawData!$A:$A,"5_Maximum"),"",INDEX(Maximum_RawData!A:A,MATCH("5_Maximum",Maximum_RawData!$A:$A,0)+ROWS($2:64)-1))</f>
        <v>5_Maximum</v>
      </c>
      <c r="B64">
        <f>IF(ROWS($2:64)&gt;COUNTIF(Maximum_RawData!$A:$A,"5_Maximum"),"",INDEX(Maximum_RawData!B:B,MATCH("5_Maximum",Maximum_RawData!$A:$A,0)+ROWS($2:64)-1))</f>
        <v>150033.10999999999</v>
      </c>
      <c r="C64">
        <f>IF(ROWS($2:64)&gt;COUNTIF(Maximum_RawData!$A:$A,"5_Maximum"),"",INDEX(Maximum_RawData!C:C,MATCH("5_Maximum",Maximum_RawData!$A:$A,0)+ROWS($2:64)-1))</f>
        <v>23.61</v>
      </c>
      <c r="D64">
        <f>IF(ROWS($2:64)&gt;COUNTIF(Maximum_RawData!$A:$A,"5_Maximum"),"",INDEX(Maximum_RawData!D:D,MATCH("5_Maximum",Maximum_RawData!$A:$A,0)+ROWS($2:64)-1))</f>
        <v>1310.203</v>
      </c>
      <c r="E64">
        <f>IF(ROWS($2:64)&gt;COUNTIF(Maximum_RawData!$A:$A,"5_Maximum"),"",INDEX(Maximum_RawData!E:E,MATCH("5_Maximum",Maximum_RawData!$A:$A,0)+ROWS($2:64)-1))</f>
        <v>9.74</v>
      </c>
      <c r="F64">
        <f>IF(ROWS($2:64)&gt;COUNTIF(Maximum_RawData!$A:$A,"5_Maximum"),"",INDEX(Maximum_RawData!F:F,MATCH("5_Maximum",Maximum_RawData!$A:$A,0)+ROWS($2:64)-1))</f>
        <v>399</v>
      </c>
      <c r="G64">
        <f>IF(ROWS($2:64)&gt;COUNTIF(Maximum_RawData!$A:$A,"5_Maximum"),"",INDEX(Maximum_RawData!G:G,MATCH("5_Maximum",Maximum_RawData!$A:$A,0)+ROWS($2:64)-1))</f>
        <v>399</v>
      </c>
      <c r="H64">
        <f>IF(ROWS($2:64)&gt;COUNTIF(Maximum_RawData!$A:$A,"5_Maximum"),"",INDEX(Maximum_RawData!H:H,MATCH("5_Maximum",Maximum_RawData!$A:$A,0)+ROWS($2:64)-1))</f>
        <v>399</v>
      </c>
      <c r="I64">
        <f>IF(ROWS($2:64)&gt;COUNTIF(Maximum_RawData!$A:$A,"5_Maximum"),"",INDEX(Maximum_RawData!I:I,MATCH("5_Maximum",Maximum_RawData!$A:$A,0)+ROWS($2:64)-1))</f>
        <v>399</v>
      </c>
      <c r="J64">
        <f>IF(ROWS($2:64)&gt;COUNTIF(Maximum_RawData!$A:$A,"5_Maximum"),"",INDEX(Maximum_RawData!J:J,MATCH("5_Maximum",Maximum_RawData!$A:$A,0)+ROWS($2:64)-1))</f>
        <v>399</v>
      </c>
      <c r="K64">
        <f>IF(ROWS($2:64)&gt;COUNTIF(Maximum_RawData!$A:$A,"5_Maximum"),"",INDEX(Maximum_RawData!K:K,MATCH("5_Maximum",Maximum_RawData!$A:$A,0)+ROWS($2:64)-1))</f>
        <v>399</v>
      </c>
      <c r="L64">
        <f>IF(ROWS($2:64)&gt;COUNTIF(Maximum_RawData!$A:$A,"5_Maximum"),"",INDEX(Maximum_RawData!L:L,MATCH("5_Maximum",Maximum_RawData!$A:$A,0)+ROWS($2:64)-1))</f>
        <v>399</v>
      </c>
      <c r="M64">
        <f>IF(ROWS($2:64)&gt;COUNTIF(Maximum_RawData!$A:$A,"5_Maximum"),"",INDEX(Maximum_RawData!M:M,MATCH("5_Maximum",Maximum_RawData!$A:$A,0)+ROWS($2:64)-1))</f>
        <v>399</v>
      </c>
      <c r="N64">
        <f>IF(ROWS($2:64)&gt;COUNTIF(Maximum_RawData!$A:$A,"5_Maximum"),"",INDEX(Maximum_RawData!N:N,MATCH("5_Maximum",Maximum_RawData!$A:$A,0)+ROWS($2:64)-1))</f>
        <v>0.1</v>
      </c>
      <c r="O64">
        <f>IF(ROWS($2:64)&gt;COUNTIF(Maximum_RawData!$A:$A,"5_Maximum"),"",INDEX(Maximum_RawData!O:O,MATCH("5_Maximum",Maximum_RawData!$A:$A,0)+ROWS($2:64)-1))</f>
        <v>0.11</v>
      </c>
      <c r="P64">
        <f>IF(ROWS($2:64)&gt;COUNTIF(Maximum_RawData!$A:$A,"5_Maximum"),"",INDEX(Maximum_RawData!P:P,MATCH("5_Maximum",Maximum_RawData!$A:$A,0)+ROWS($2:64)-1))</f>
        <v>0.08</v>
      </c>
      <c r="Q64">
        <f>IF(ROWS($2:64)&gt;COUNTIF(Maximum_RawData!$A:$A,"5_Maximum"),"",INDEX(Maximum_RawData!Q:Q,MATCH("5_Maximum",Maximum_RawData!$A:$A,0)+ROWS($2:64)-1))</f>
        <v>0.1</v>
      </c>
      <c r="R64" t="str">
        <f>IF(ROWS($2:64)&gt;COUNTIF(Maximum_RawData!$A:$A,"5_Maximum"),"",INDEX(Maximum_RawData!R:R,MATCH("5_Maximum",Maximum_RawData!$A:$A,0)+ROWS($2:64)-1))</f>
        <v>Pass</v>
      </c>
      <c r="S64">
        <f>IF(ROWS($2:64)&gt;COUNTIF(Maximum_RawData!$A:$A,"5_Maximum"),"",INDEX(Maximum_RawData!S:S,MATCH("5_Maximum",Maximum_RawData!$A:$A,0)+ROWS($2:64)-1))</f>
        <v>0</v>
      </c>
      <c r="T64">
        <f>IF(ROWS($2:64)&gt;COUNTIF(Maximum_RawData!$A:$A,"5_Maximum"),"",INDEX(Maximum_RawData!T:T,MATCH("5_Maximum",Maximum_RawData!$A:$A,0)+ROWS($2:64)-1))</f>
        <v>0</v>
      </c>
    </row>
    <row r="65" spans="1:20">
      <c r="A65" t="str">
        <f>IF(ROWS($2:65)&gt;COUNTIF(Maximum_RawData!$A:$A,"5_Maximum"),"",INDEX(Maximum_RawData!A:A,MATCH("5_Maximum",Maximum_RawData!$A:$A,0)+ROWS($2:65)-1))</f>
        <v>5_Maximum</v>
      </c>
      <c r="B65">
        <f>IF(ROWS($2:65)&gt;COUNTIF(Maximum_RawData!$A:$A,"5_Maximum"),"",INDEX(Maximum_RawData!B:B,MATCH("5_Maximum",Maximum_RawData!$A:$A,0)+ROWS($2:65)-1))</f>
        <v>150038.10200000001</v>
      </c>
      <c r="C65">
        <f>IF(ROWS($2:65)&gt;COUNTIF(Maximum_RawData!$A:$A,"5_Maximum"),"",INDEX(Maximum_RawData!C:C,MATCH("5_Maximum",Maximum_RawData!$A:$A,0)+ROWS($2:65)-1))</f>
        <v>22.89</v>
      </c>
      <c r="D65">
        <f>IF(ROWS($2:65)&gt;COUNTIF(Maximum_RawData!$A:$A,"5_Maximum"),"",INDEX(Maximum_RawData!D:D,MATCH("5_Maximum",Maximum_RawData!$A:$A,0)+ROWS($2:65)-1))</f>
        <v>1310.126</v>
      </c>
      <c r="E65">
        <f>IF(ROWS($2:65)&gt;COUNTIF(Maximum_RawData!$A:$A,"5_Maximum"),"",INDEX(Maximum_RawData!E:E,MATCH("5_Maximum",Maximum_RawData!$A:$A,0)+ROWS($2:65)-1))</f>
        <v>9.7100000000000009</v>
      </c>
      <c r="F65">
        <f>IF(ROWS($2:65)&gt;COUNTIF(Maximum_RawData!$A:$A,"5_Maximum"),"",INDEX(Maximum_RawData!F:F,MATCH("5_Maximum",Maximum_RawData!$A:$A,0)+ROWS($2:65)-1))</f>
        <v>399</v>
      </c>
      <c r="G65">
        <f>IF(ROWS($2:65)&gt;COUNTIF(Maximum_RawData!$A:$A,"5_Maximum"),"",INDEX(Maximum_RawData!G:G,MATCH("5_Maximum",Maximum_RawData!$A:$A,0)+ROWS($2:65)-1))</f>
        <v>399</v>
      </c>
      <c r="H65">
        <f>IF(ROWS($2:65)&gt;COUNTIF(Maximum_RawData!$A:$A,"5_Maximum"),"",INDEX(Maximum_RawData!H:H,MATCH("5_Maximum",Maximum_RawData!$A:$A,0)+ROWS($2:65)-1))</f>
        <v>399</v>
      </c>
      <c r="I65">
        <f>IF(ROWS($2:65)&gt;COUNTIF(Maximum_RawData!$A:$A,"5_Maximum"),"",INDEX(Maximum_RawData!I:I,MATCH("5_Maximum",Maximum_RawData!$A:$A,0)+ROWS($2:65)-1))</f>
        <v>399</v>
      </c>
      <c r="J65">
        <f>IF(ROWS($2:65)&gt;COUNTIF(Maximum_RawData!$A:$A,"5_Maximum"),"",INDEX(Maximum_RawData!J:J,MATCH("5_Maximum",Maximum_RawData!$A:$A,0)+ROWS($2:65)-1))</f>
        <v>399</v>
      </c>
      <c r="K65">
        <f>IF(ROWS($2:65)&gt;COUNTIF(Maximum_RawData!$A:$A,"5_Maximum"),"",INDEX(Maximum_RawData!K:K,MATCH("5_Maximum",Maximum_RawData!$A:$A,0)+ROWS($2:65)-1))</f>
        <v>399</v>
      </c>
      <c r="L65">
        <f>IF(ROWS($2:65)&gt;COUNTIF(Maximum_RawData!$A:$A,"5_Maximum"),"",INDEX(Maximum_RawData!L:L,MATCH("5_Maximum",Maximum_RawData!$A:$A,0)+ROWS($2:65)-1))</f>
        <v>399</v>
      </c>
      <c r="M65">
        <f>IF(ROWS($2:65)&gt;COUNTIF(Maximum_RawData!$A:$A,"5_Maximum"),"",INDEX(Maximum_RawData!M:M,MATCH("5_Maximum",Maximum_RawData!$A:$A,0)+ROWS($2:65)-1))</f>
        <v>399</v>
      </c>
      <c r="N65">
        <f>IF(ROWS($2:65)&gt;COUNTIF(Maximum_RawData!$A:$A,"5_Maximum"),"",INDEX(Maximum_RawData!N:N,MATCH("5_Maximum",Maximum_RawData!$A:$A,0)+ROWS($2:65)-1))</f>
        <v>0.11</v>
      </c>
      <c r="O65">
        <f>IF(ROWS($2:65)&gt;COUNTIF(Maximum_RawData!$A:$A,"5_Maximum"),"",INDEX(Maximum_RawData!O:O,MATCH("5_Maximum",Maximum_RawData!$A:$A,0)+ROWS($2:65)-1))</f>
        <v>0.11</v>
      </c>
      <c r="P65">
        <f>IF(ROWS($2:65)&gt;COUNTIF(Maximum_RawData!$A:$A,"5_Maximum"),"",INDEX(Maximum_RawData!P:P,MATCH("5_Maximum",Maximum_RawData!$A:$A,0)+ROWS($2:65)-1))</f>
        <v>0.08</v>
      </c>
      <c r="Q65">
        <f>IF(ROWS($2:65)&gt;COUNTIF(Maximum_RawData!$A:$A,"5_Maximum"),"",INDEX(Maximum_RawData!Q:Q,MATCH("5_Maximum",Maximum_RawData!$A:$A,0)+ROWS($2:65)-1))</f>
        <v>0.1</v>
      </c>
      <c r="R65" t="str">
        <f>IF(ROWS($2:65)&gt;COUNTIF(Maximum_RawData!$A:$A,"5_Maximum"),"",INDEX(Maximum_RawData!R:R,MATCH("5_Maximum",Maximum_RawData!$A:$A,0)+ROWS($2:65)-1))</f>
        <v>Pass</v>
      </c>
      <c r="S65">
        <f>IF(ROWS($2:65)&gt;COUNTIF(Maximum_RawData!$A:$A,"5_Maximum"),"",INDEX(Maximum_RawData!S:S,MATCH("5_Maximum",Maximum_RawData!$A:$A,0)+ROWS($2:65)-1))</f>
        <v>0</v>
      </c>
      <c r="T65">
        <f>IF(ROWS($2:65)&gt;COUNTIF(Maximum_RawData!$A:$A,"5_Maximum"),"",INDEX(Maximum_RawData!T:T,MATCH("5_Maximum",Maximum_RawData!$A:$A,0)+ROWS($2:65)-1))</f>
        <v>0</v>
      </c>
    </row>
    <row r="66" spans="1:20">
      <c r="A66" t="str">
        <f>IF(ROWS($2:66)&gt;COUNTIF(Maximum_RawData!$A:$A,"5_Maximum"),"",INDEX(Maximum_RawData!A:A,MATCH("5_Maximum",Maximum_RawData!$A:$A,0)+ROWS($2:66)-1))</f>
        <v>5_Maximum</v>
      </c>
      <c r="B66">
        <f>IF(ROWS($2:66)&gt;COUNTIF(Maximum_RawData!$A:$A,"5_Maximum"),"",INDEX(Maximum_RawData!B:B,MATCH("5_Maximum",Maximum_RawData!$A:$A,0)+ROWS($2:66)-1))</f>
        <v>150043.10200000001</v>
      </c>
      <c r="C66">
        <f>IF(ROWS($2:66)&gt;COUNTIF(Maximum_RawData!$A:$A,"5_Maximum"),"",INDEX(Maximum_RawData!C:C,MATCH("5_Maximum",Maximum_RawData!$A:$A,0)+ROWS($2:66)-1))</f>
        <v>22.15</v>
      </c>
      <c r="D66">
        <f>IF(ROWS($2:66)&gt;COUNTIF(Maximum_RawData!$A:$A,"5_Maximum"),"",INDEX(Maximum_RawData!D:D,MATCH("5_Maximum",Maximum_RawData!$A:$A,0)+ROWS($2:66)-1))</f>
        <v>1310.0619999999999</v>
      </c>
      <c r="E66">
        <f>IF(ROWS($2:66)&gt;COUNTIF(Maximum_RawData!$A:$A,"5_Maximum"),"",INDEX(Maximum_RawData!E:E,MATCH("5_Maximum",Maximum_RawData!$A:$A,0)+ROWS($2:66)-1))</f>
        <v>9.7799999999999994</v>
      </c>
      <c r="F66">
        <f>IF(ROWS($2:66)&gt;COUNTIF(Maximum_RawData!$A:$A,"5_Maximum"),"",INDEX(Maximum_RawData!F:F,MATCH("5_Maximum",Maximum_RawData!$A:$A,0)+ROWS($2:66)-1))</f>
        <v>399</v>
      </c>
      <c r="G66">
        <f>IF(ROWS($2:66)&gt;COUNTIF(Maximum_RawData!$A:$A,"5_Maximum"),"",INDEX(Maximum_RawData!G:G,MATCH("5_Maximum",Maximum_RawData!$A:$A,0)+ROWS($2:66)-1))</f>
        <v>399</v>
      </c>
      <c r="H66">
        <f>IF(ROWS($2:66)&gt;COUNTIF(Maximum_RawData!$A:$A,"5_Maximum"),"",INDEX(Maximum_RawData!H:H,MATCH("5_Maximum",Maximum_RawData!$A:$A,0)+ROWS($2:66)-1))</f>
        <v>399</v>
      </c>
      <c r="I66">
        <f>IF(ROWS($2:66)&gt;COUNTIF(Maximum_RawData!$A:$A,"5_Maximum"),"",INDEX(Maximum_RawData!I:I,MATCH("5_Maximum",Maximum_RawData!$A:$A,0)+ROWS($2:66)-1))</f>
        <v>399</v>
      </c>
      <c r="J66">
        <f>IF(ROWS($2:66)&gt;COUNTIF(Maximum_RawData!$A:$A,"5_Maximum"),"",INDEX(Maximum_RawData!J:J,MATCH("5_Maximum",Maximum_RawData!$A:$A,0)+ROWS($2:66)-1))</f>
        <v>399</v>
      </c>
      <c r="K66">
        <f>IF(ROWS($2:66)&gt;COUNTIF(Maximum_RawData!$A:$A,"5_Maximum"),"",INDEX(Maximum_RawData!K:K,MATCH("5_Maximum",Maximum_RawData!$A:$A,0)+ROWS($2:66)-1))</f>
        <v>399</v>
      </c>
      <c r="L66">
        <f>IF(ROWS($2:66)&gt;COUNTIF(Maximum_RawData!$A:$A,"5_Maximum"),"",INDEX(Maximum_RawData!L:L,MATCH("5_Maximum",Maximum_RawData!$A:$A,0)+ROWS($2:66)-1))</f>
        <v>399</v>
      </c>
      <c r="M66">
        <f>IF(ROWS($2:66)&gt;COUNTIF(Maximum_RawData!$A:$A,"5_Maximum"),"",INDEX(Maximum_RawData!M:M,MATCH("5_Maximum",Maximum_RawData!$A:$A,0)+ROWS($2:66)-1))</f>
        <v>399</v>
      </c>
      <c r="N66">
        <f>IF(ROWS($2:66)&gt;COUNTIF(Maximum_RawData!$A:$A,"5_Maximum"),"",INDEX(Maximum_RawData!N:N,MATCH("5_Maximum",Maximum_RawData!$A:$A,0)+ROWS($2:66)-1))</f>
        <v>0.09</v>
      </c>
      <c r="O66">
        <f>IF(ROWS($2:66)&gt;COUNTIF(Maximum_RawData!$A:$A,"5_Maximum"),"",INDEX(Maximum_RawData!O:O,MATCH("5_Maximum",Maximum_RawData!$A:$A,0)+ROWS($2:66)-1))</f>
        <v>0.11</v>
      </c>
      <c r="P66">
        <f>IF(ROWS($2:66)&gt;COUNTIF(Maximum_RawData!$A:$A,"5_Maximum"),"",INDEX(Maximum_RawData!P:P,MATCH("5_Maximum",Maximum_RawData!$A:$A,0)+ROWS($2:66)-1))</f>
        <v>0.08</v>
      </c>
      <c r="Q66">
        <f>IF(ROWS($2:66)&gt;COUNTIF(Maximum_RawData!$A:$A,"5_Maximum"),"",INDEX(Maximum_RawData!Q:Q,MATCH("5_Maximum",Maximum_RawData!$A:$A,0)+ROWS($2:66)-1))</f>
        <v>0.1</v>
      </c>
      <c r="R66" t="str">
        <f>IF(ROWS($2:66)&gt;COUNTIF(Maximum_RawData!$A:$A,"5_Maximum"),"",INDEX(Maximum_RawData!R:R,MATCH("5_Maximum",Maximum_RawData!$A:$A,0)+ROWS($2:66)-1))</f>
        <v>Pass</v>
      </c>
      <c r="S66">
        <f>IF(ROWS($2:66)&gt;COUNTIF(Maximum_RawData!$A:$A,"5_Maximum"),"",INDEX(Maximum_RawData!S:S,MATCH("5_Maximum",Maximum_RawData!$A:$A,0)+ROWS($2:66)-1))</f>
        <v>0</v>
      </c>
      <c r="T66">
        <f>IF(ROWS($2:66)&gt;COUNTIF(Maximum_RawData!$A:$A,"5_Maximum"),"",INDEX(Maximum_RawData!T:T,MATCH("5_Maximum",Maximum_RawData!$A:$A,0)+ROWS($2:66)-1))</f>
        <v>0</v>
      </c>
    </row>
    <row r="67" spans="1:20">
      <c r="A67" t="str">
        <f>IF(ROWS($2:67)&gt;COUNTIF(Maximum_RawData!$A:$A,"5_Maximum"),"",INDEX(Maximum_RawData!A:A,MATCH("5_Maximum",Maximum_RawData!$A:$A,0)+ROWS($2:67)-1))</f>
        <v>5_Maximum</v>
      </c>
      <c r="B67">
        <f>IF(ROWS($2:67)&gt;COUNTIF(Maximum_RawData!$A:$A,"5_Maximum"),"",INDEX(Maximum_RawData!B:B,MATCH("5_Maximum",Maximum_RawData!$A:$A,0)+ROWS($2:67)-1))</f>
        <v>150048.11799999999</v>
      </c>
      <c r="C67">
        <f>IF(ROWS($2:67)&gt;COUNTIF(Maximum_RawData!$A:$A,"5_Maximum"),"",INDEX(Maximum_RawData!C:C,MATCH("5_Maximum",Maximum_RawData!$A:$A,0)+ROWS($2:67)-1))</f>
        <v>21.39</v>
      </c>
      <c r="D67">
        <f>IF(ROWS($2:67)&gt;COUNTIF(Maximum_RawData!$A:$A,"5_Maximum"),"",INDEX(Maximum_RawData!D:D,MATCH("5_Maximum",Maximum_RawData!$A:$A,0)+ROWS($2:67)-1))</f>
        <v>1309.992</v>
      </c>
      <c r="E67">
        <f>IF(ROWS($2:67)&gt;COUNTIF(Maximum_RawData!$A:$A,"5_Maximum"),"",INDEX(Maximum_RawData!E:E,MATCH("5_Maximum",Maximum_RawData!$A:$A,0)+ROWS($2:67)-1))</f>
        <v>9.8000000000000007</v>
      </c>
      <c r="F67">
        <f>IF(ROWS($2:67)&gt;COUNTIF(Maximum_RawData!$A:$A,"5_Maximum"),"",INDEX(Maximum_RawData!F:F,MATCH("5_Maximum",Maximum_RawData!$A:$A,0)+ROWS($2:67)-1))</f>
        <v>399</v>
      </c>
      <c r="G67">
        <f>IF(ROWS($2:67)&gt;COUNTIF(Maximum_RawData!$A:$A,"5_Maximum"),"",INDEX(Maximum_RawData!G:G,MATCH("5_Maximum",Maximum_RawData!$A:$A,0)+ROWS($2:67)-1))</f>
        <v>399</v>
      </c>
      <c r="H67">
        <f>IF(ROWS($2:67)&gt;COUNTIF(Maximum_RawData!$A:$A,"5_Maximum"),"",INDEX(Maximum_RawData!H:H,MATCH("5_Maximum",Maximum_RawData!$A:$A,0)+ROWS($2:67)-1))</f>
        <v>399</v>
      </c>
      <c r="I67">
        <f>IF(ROWS($2:67)&gt;COUNTIF(Maximum_RawData!$A:$A,"5_Maximum"),"",INDEX(Maximum_RawData!I:I,MATCH("5_Maximum",Maximum_RawData!$A:$A,0)+ROWS($2:67)-1))</f>
        <v>399</v>
      </c>
      <c r="J67">
        <f>IF(ROWS($2:67)&gt;COUNTIF(Maximum_RawData!$A:$A,"5_Maximum"),"",INDEX(Maximum_RawData!J:J,MATCH("5_Maximum",Maximum_RawData!$A:$A,0)+ROWS($2:67)-1))</f>
        <v>399</v>
      </c>
      <c r="K67">
        <f>IF(ROWS($2:67)&gt;COUNTIF(Maximum_RawData!$A:$A,"5_Maximum"),"",INDEX(Maximum_RawData!K:K,MATCH("5_Maximum",Maximum_RawData!$A:$A,0)+ROWS($2:67)-1))</f>
        <v>399</v>
      </c>
      <c r="L67">
        <f>IF(ROWS($2:67)&gt;COUNTIF(Maximum_RawData!$A:$A,"5_Maximum"),"",INDEX(Maximum_RawData!L:L,MATCH("5_Maximum",Maximum_RawData!$A:$A,0)+ROWS($2:67)-1))</f>
        <v>399</v>
      </c>
      <c r="M67">
        <f>IF(ROWS($2:67)&gt;COUNTIF(Maximum_RawData!$A:$A,"5_Maximum"),"",INDEX(Maximum_RawData!M:M,MATCH("5_Maximum",Maximum_RawData!$A:$A,0)+ROWS($2:67)-1))</f>
        <v>399</v>
      </c>
      <c r="N67">
        <f>IF(ROWS($2:67)&gt;COUNTIF(Maximum_RawData!$A:$A,"5_Maximum"),"",INDEX(Maximum_RawData!N:N,MATCH("5_Maximum",Maximum_RawData!$A:$A,0)+ROWS($2:67)-1))</f>
        <v>0.09</v>
      </c>
      <c r="O67">
        <f>IF(ROWS($2:67)&gt;COUNTIF(Maximum_RawData!$A:$A,"5_Maximum"),"",INDEX(Maximum_RawData!O:O,MATCH("5_Maximum",Maximum_RawData!$A:$A,0)+ROWS($2:67)-1))</f>
        <v>0.11</v>
      </c>
      <c r="P67">
        <f>IF(ROWS($2:67)&gt;COUNTIF(Maximum_RawData!$A:$A,"5_Maximum"),"",INDEX(Maximum_RawData!P:P,MATCH("5_Maximum",Maximum_RawData!$A:$A,0)+ROWS($2:67)-1))</f>
        <v>0.08</v>
      </c>
      <c r="Q67">
        <f>IF(ROWS($2:67)&gt;COUNTIF(Maximum_RawData!$A:$A,"5_Maximum"),"",INDEX(Maximum_RawData!Q:Q,MATCH("5_Maximum",Maximum_RawData!$A:$A,0)+ROWS($2:67)-1))</f>
        <v>0.1</v>
      </c>
      <c r="R67" t="str">
        <f>IF(ROWS($2:67)&gt;COUNTIF(Maximum_RawData!$A:$A,"5_Maximum"),"",INDEX(Maximum_RawData!R:R,MATCH("5_Maximum",Maximum_RawData!$A:$A,0)+ROWS($2:67)-1))</f>
        <v>Pass</v>
      </c>
      <c r="S67">
        <f>IF(ROWS($2:67)&gt;COUNTIF(Maximum_RawData!$A:$A,"5_Maximum"),"",INDEX(Maximum_RawData!S:S,MATCH("5_Maximum",Maximum_RawData!$A:$A,0)+ROWS($2:67)-1))</f>
        <v>0</v>
      </c>
      <c r="T67">
        <f>IF(ROWS($2:67)&gt;COUNTIF(Maximum_RawData!$A:$A,"5_Maximum"),"",INDEX(Maximum_RawData!T:T,MATCH("5_Maximum",Maximum_RawData!$A:$A,0)+ROWS($2:67)-1))</f>
        <v>0</v>
      </c>
    </row>
    <row r="68" spans="1:20">
      <c r="A68" t="str">
        <f>IF(ROWS($2:68)&gt;COUNTIF(Maximum_RawData!$A:$A,"5_Maximum"),"",INDEX(Maximum_RawData!A:A,MATCH("5_Maximum",Maximum_RawData!$A:$A,0)+ROWS($2:68)-1))</f>
        <v>5_Maximum</v>
      </c>
      <c r="B68">
        <f>IF(ROWS($2:68)&gt;COUNTIF(Maximum_RawData!$A:$A,"5_Maximum"),"",INDEX(Maximum_RawData!B:B,MATCH("5_Maximum",Maximum_RawData!$A:$A,0)+ROWS($2:68)-1))</f>
        <v>150053.10200000001</v>
      </c>
      <c r="C68">
        <f>IF(ROWS($2:68)&gt;COUNTIF(Maximum_RawData!$A:$A,"5_Maximum"),"",INDEX(Maximum_RawData!C:C,MATCH("5_Maximum",Maximum_RawData!$A:$A,0)+ROWS($2:68)-1))</f>
        <v>20.63</v>
      </c>
      <c r="D68">
        <f>IF(ROWS($2:68)&gt;COUNTIF(Maximum_RawData!$A:$A,"5_Maximum"),"",INDEX(Maximum_RawData!D:D,MATCH("5_Maximum",Maximum_RawData!$A:$A,0)+ROWS($2:68)-1))</f>
        <v>1309.921</v>
      </c>
      <c r="E68">
        <f>IF(ROWS($2:68)&gt;COUNTIF(Maximum_RawData!$A:$A,"5_Maximum"),"",INDEX(Maximum_RawData!E:E,MATCH("5_Maximum",Maximum_RawData!$A:$A,0)+ROWS($2:68)-1))</f>
        <v>9.8699999999999992</v>
      </c>
      <c r="F68">
        <f>IF(ROWS($2:68)&gt;COUNTIF(Maximum_RawData!$A:$A,"5_Maximum"),"",INDEX(Maximum_RawData!F:F,MATCH("5_Maximum",Maximum_RawData!$A:$A,0)+ROWS($2:68)-1))</f>
        <v>399</v>
      </c>
      <c r="G68">
        <f>IF(ROWS($2:68)&gt;COUNTIF(Maximum_RawData!$A:$A,"5_Maximum"),"",INDEX(Maximum_RawData!G:G,MATCH("5_Maximum",Maximum_RawData!$A:$A,0)+ROWS($2:68)-1))</f>
        <v>399</v>
      </c>
      <c r="H68">
        <f>IF(ROWS($2:68)&gt;COUNTIF(Maximum_RawData!$A:$A,"5_Maximum"),"",INDEX(Maximum_RawData!H:H,MATCH("5_Maximum",Maximum_RawData!$A:$A,0)+ROWS($2:68)-1))</f>
        <v>399</v>
      </c>
      <c r="I68">
        <f>IF(ROWS($2:68)&gt;COUNTIF(Maximum_RawData!$A:$A,"5_Maximum"),"",INDEX(Maximum_RawData!I:I,MATCH("5_Maximum",Maximum_RawData!$A:$A,0)+ROWS($2:68)-1))</f>
        <v>399</v>
      </c>
      <c r="J68">
        <f>IF(ROWS($2:68)&gt;COUNTIF(Maximum_RawData!$A:$A,"5_Maximum"),"",INDEX(Maximum_RawData!J:J,MATCH("5_Maximum",Maximum_RawData!$A:$A,0)+ROWS($2:68)-1))</f>
        <v>399</v>
      </c>
      <c r="K68">
        <f>IF(ROWS($2:68)&gt;COUNTIF(Maximum_RawData!$A:$A,"5_Maximum"),"",INDEX(Maximum_RawData!K:K,MATCH("5_Maximum",Maximum_RawData!$A:$A,0)+ROWS($2:68)-1))</f>
        <v>399</v>
      </c>
      <c r="L68">
        <f>IF(ROWS($2:68)&gt;COUNTIF(Maximum_RawData!$A:$A,"5_Maximum"),"",INDEX(Maximum_RawData!L:L,MATCH("5_Maximum",Maximum_RawData!$A:$A,0)+ROWS($2:68)-1))</f>
        <v>399</v>
      </c>
      <c r="M68">
        <f>IF(ROWS($2:68)&gt;COUNTIF(Maximum_RawData!$A:$A,"5_Maximum"),"",INDEX(Maximum_RawData!M:M,MATCH("5_Maximum",Maximum_RawData!$A:$A,0)+ROWS($2:68)-1))</f>
        <v>399</v>
      </c>
      <c r="N68">
        <f>IF(ROWS($2:68)&gt;COUNTIF(Maximum_RawData!$A:$A,"5_Maximum"),"",INDEX(Maximum_RawData!N:N,MATCH("5_Maximum",Maximum_RawData!$A:$A,0)+ROWS($2:68)-1))</f>
        <v>0.09</v>
      </c>
      <c r="O68">
        <f>IF(ROWS($2:68)&gt;COUNTIF(Maximum_RawData!$A:$A,"5_Maximum"),"",INDEX(Maximum_RawData!O:O,MATCH("5_Maximum",Maximum_RawData!$A:$A,0)+ROWS($2:68)-1))</f>
        <v>0.11</v>
      </c>
      <c r="P68">
        <f>IF(ROWS($2:68)&gt;COUNTIF(Maximum_RawData!$A:$A,"5_Maximum"),"",INDEX(Maximum_RawData!P:P,MATCH("5_Maximum",Maximum_RawData!$A:$A,0)+ROWS($2:68)-1))</f>
        <v>0.08</v>
      </c>
      <c r="Q68">
        <f>IF(ROWS($2:68)&gt;COUNTIF(Maximum_RawData!$A:$A,"5_Maximum"),"",INDEX(Maximum_RawData!Q:Q,MATCH("5_Maximum",Maximum_RawData!$A:$A,0)+ROWS($2:68)-1))</f>
        <v>0.1</v>
      </c>
      <c r="R68" t="str">
        <f>IF(ROWS($2:68)&gt;COUNTIF(Maximum_RawData!$A:$A,"5_Maximum"),"",INDEX(Maximum_RawData!R:R,MATCH("5_Maximum",Maximum_RawData!$A:$A,0)+ROWS($2:68)-1))</f>
        <v>Pass</v>
      </c>
      <c r="S68">
        <f>IF(ROWS($2:68)&gt;COUNTIF(Maximum_RawData!$A:$A,"5_Maximum"),"",INDEX(Maximum_RawData!S:S,MATCH("5_Maximum",Maximum_RawData!$A:$A,0)+ROWS($2:68)-1))</f>
        <v>0</v>
      </c>
      <c r="T68">
        <f>IF(ROWS($2:68)&gt;COUNTIF(Maximum_RawData!$A:$A,"5_Maximum"),"",INDEX(Maximum_RawData!T:T,MATCH("5_Maximum",Maximum_RawData!$A:$A,0)+ROWS($2:68)-1))</f>
        <v>0</v>
      </c>
    </row>
    <row r="69" spans="1:20">
      <c r="A69" t="str">
        <f>IF(ROWS($2:69)&gt;COUNTIF(Maximum_RawData!$A:$A,"5_Maximum"),"",INDEX(Maximum_RawData!A:A,MATCH("5_Maximum",Maximum_RawData!$A:$A,0)+ROWS($2:69)-1))</f>
        <v>5_Maximum</v>
      </c>
      <c r="B69">
        <f>IF(ROWS($2:69)&gt;COUNTIF(Maximum_RawData!$A:$A,"5_Maximum"),"",INDEX(Maximum_RawData!B:B,MATCH("5_Maximum",Maximum_RawData!$A:$A,0)+ROWS($2:69)-1))</f>
        <v>150058.10699999999</v>
      </c>
      <c r="C69">
        <f>IF(ROWS($2:69)&gt;COUNTIF(Maximum_RawData!$A:$A,"5_Maximum"),"",INDEX(Maximum_RawData!C:C,MATCH("5_Maximum",Maximum_RawData!$A:$A,0)+ROWS($2:69)-1))</f>
        <v>19.899999999999999</v>
      </c>
      <c r="D69">
        <f>IF(ROWS($2:69)&gt;COUNTIF(Maximum_RawData!$A:$A,"5_Maximum"),"",INDEX(Maximum_RawData!D:D,MATCH("5_Maximum",Maximum_RawData!$A:$A,0)+ROWS($2:69)-1))</f>
        <v>1309.8489999999999</v>
      </c>
      <c r="E69">
        <f>IF(ROWS($2:69)&gt;COUNTIF(Maximum_RawData!$A:$A,"5_Maximum"),"",INDEX(Maximum_RawData!E:E,MATCH("5_Maximum",Maximum_RawData!$A:$A,0)+ROWS($2:69)-1))</f>
        <v>9.82</v>
      </c>
      <c r="F69">
        <f>IF(ROWS($2:69)&gt;COUNTIF(Maximum_RawData!$A:$A,"5_Maximum"),"",INDEX(Maximum_RawData!F:F,MATCH("5_Maximum",Maximum_RawData!$A:$A,0)+ROWS($2:69)-1))</f>
        <v>399</v>
      </c>
      <c r="G69">
        <f>IF(ROWS($2:69)&gt;COUNTIF(Maximum_RawData!$A:$A,"5_Maximum"),"",INDEX(Maximum_RawData!G:G,MATCH("5_Maximum",Maximum_RawData!$A:$A,0)+ROWS($2:69)-1))</f>
        <v>399</v>
      </c>
      <c r="H69">
        <f>IF(ROWS($2:69)&gt;COUNTIF(Maximum_RawData!$A:$A,"5_Maximum"),"",INDEX(Maximum_RawData!H:H,MATCH("5_Maximum",Maximum_RawData!$A:$A,0)+ROWS($2:69)-1))</f>
        <v>399</v>
      </c>
      <c r="I69">
        <f>IF(ROWS($2:69)&gt;COUNTIF(Maximum_RawData!$A:$A,"5_Maximum"),"",INDEX(Maximum_RawData!I:I,MATCH("5_Maximum",Maximum_RawData!$A:$A,0)+ROWS($2:69)-1))</f>
        <v>399</v>
      </c>
      <c r="J69">
        <f>IF(ROWS($2:69)&gt;COUNTIF(Maximum_RawData!$A:$A,"5_Maximum"),"",INDEX(Maximum_RawData!J:J,MATCH("5_Maximum",Maximum_RawData!$A:$A,0)+ROWS($2:69)-1))</f>
        <v>399</v>
      </c>
      <c r="K69">
        <f>IF(ROWS($2:69)&gt;COUNTIF(Maximum_RawData!$A:$A,"5_Maximum"),"",INDEX(Maximum_RawData!K:K,MATCH("5_Maximum",Maximum_RawData!$A:$A,0)+ROWS($2:69)-1))</f>
        <v>399</v>
      </c>
      <c r="L69">
        <f>IF(ROWS($2:69)&gt;COUNTIF(Maximum_RawData!$A:$A,"5_Maximum"),"",INDEX(Maximum_RawData!L:L,MATCH("5_Maximum",Maximum_RawData!$A:$A,0)+ROWS($2:69)-1))</f>
        <v>399</v>
      </c>
      <c r="M69">
        <f>IF(ROWS($2:69)&gt;COUNTIF(Maximum_RawData!$A:$A,"5_Maximum"),"",INDEX(Maximum_RawData!M:M,MATCH("5_Maximum",Maximum_RawData!$A:$A,0)+ROWS($2:69)-1))</f>
        <v>399</v>
      </c>
      <c r="N69">
        <f>IF(ROWS($2:69)&gt;COUNTIF(Maximum_RawData!$A:$A,"5_Maximum"),"",INDEX(Maximum_RawData!N:N,MATCH("5_Maximum",Maximum_RawData!$A:$A,0)+ROWS($2:69)-1))</f>
        <v>0.1</v>
      </c>
      <c r="O69">
        <f>IF(ROWS($2:69)&gt;COUNTIF(Maximum_RawData!$A:$A,"5_Maximum"),"",INDEX(Maximum_RawData!O:O,MATCH("5_Maximum",Maximum_RawData!$A:$A,0)+ROWS($2:69)-1))</f>
        <v>0.11</v>
      </c>
      <c r="P69">
        <f>IF(ROWS($2:69)&gt;COUNTIF(Maximum_RawData!$A:$A,"5_Maximum"),"",INDEX(Maximum_RawData!P:P,MATCH("5_Maximum",Maximum_RawData!$A:$A,0)+ROWS($2:69)-1))</f>
        <v>0.08</v>
      </c>
      <c r="Q69">
        <f>IF(ROWS($2:69)&gt;COUNTIF(Maximum_RawData!$A:$A,"5_Maximum"),"",INDEX(Maximum_RawData!Q:Q,MATCH("5_Maximum",Maximum_RawData!$A:$A,0)+ROWS($2:69)-1))</f>
        <v>0.1</v>
      </c>
      <c r="R69" t="str">
        <f>IF(ROWS($2:69)&gt;COUNTIF(Maximum_RawData!$A:$A,"5_Maximum"),"",INDEX(Maximum_RawData!R:R,MATCH("5_Maximum",Maximum_RawData!$A:$A,0)+ROWS($2:69)-1))</f>
        <v>Pass</v>
      </c>
      <c r="S69">
        <f>IF(ROWS($2:69)&gt;COUNTIF(Maximum_RawData!$A:$A,"5_Maximum"),"",INDEX(Maximum_RawData!S:S,MATCH("5_Maximum",Maximum_RawData!$A:$A,0)+ROWS($2:69)-1))</f>
        <v>0</v>
      </c>
      <c r="T69">
        <f>IF(ROWS($2:69)&gt;COUNTIF(Maximum_RawData!$A:$A,"5_Maximum"),"",INDEX(Maximum_RawData!T:T,MATCH("5_Maximum",Maximum_RawData!$A:$A,0)+ROWS($2:69)-1))</f>
        <v>0</v>
      </c>
    </row>
    <row r="70" spans="1:20">
      <c r="A70" t="str">
        <f>IF(ROWS($2:70)&gt;COUNTIF(Maximum_RawData!$A:$A,"5_Maximum"),"",INDEX(Maximum_RawData!A:A,MATCH("5_Maximum",Maximum_RawData!$A:$A,0)+ROWS($2:70)-1))</f>
        <v>5_Maximum</v>
      </c>
      <c r="B70">
        <f>IF(ROWS($2:70)&gt;COUNTIF(Maximum_RawData!$A:$A,"5_Maximum"),"",INDEX(Maximum_RawData!B:B,MATCH("5_Maximum",Maximum_RawData!$A:$A,0)+ROWS($2:70)-1))</f>
        <v>150103.106</v>
      </c>
      <c r="C70">
        <f>IF(ROWS($2:70)&gt;COUNTIF(Maximum_RawData!$A:$A,"5_Maximum"),"",INDEX(Maximum_RawData!C:C,MATCH("5_Maximum",Maximum_RawData!$A:$A,0)+ROWS($2:70)-1))</f>
        <v>19.149999999999999</v>
      </c>
      <c r="D70">
        <f>IF(ROWS($2:70)&gt;COUNTIF(Maximum_RawData!$A:$A,"5_Maximum"),"",INDEX(Maximum_RawData!D:D,MATCH("5_Maximum",Maximum_RawData!$A:$A,0)+ROWS($2:70)-1))</f>
        <v>1309.778</v>
      </c>
      <c r="E70">
        <f>IF(ROWS($2:70)&gt;COUNTIF(Maximum_RawData!$A:$A,"5_Maximum"),"",INDEX(Maximum_RawData!E:E,MATCH("5_Maximum",Maximum_RawData!$A:$A,0)+ROWS($2:70)-1))</f>
        <v>9.82</v>
      </c>
      <c r="F70">
        <f>IF(ROWS($2:70)&gt;COUNTIF(Maximum_RawData!$A:$A,"5_Maximum"),"",INDEX(Maximum_RawData!F:F,MATCH("5_Maximum",Maximum_RawData!$A:$A,0)+ROWS($2:70)-1))</f>
        <v>399</v>
      </c>
      <c r="G70">
        <f>IF(ROWS($2:70)&gt;COUNTIF(Maximum_RawData!$A:$A,"5_Maximum"),"",INDEX(Maximum_RawData!G:G,MATCH("5_Maximum",Maximum_RawData!$A:$A,0)+ROWS($2:70)-1))</f>
        <v>399</v>
      </c>
      <c r="H70">
        <f>IF(ROWS($2:70)&gt;COUNTIF(Maximum_RawData!$A:$A,"5_Maximum"),"",INDEX(Maximum_RawData!H:H,MATCH("5_Maximum",Maximum_RawData!$A:$A,0)+ROWS($2:70)-1))</f>
        <v>399</v>
      </c>
      <c r="I70">
        <f>IF(ROWS($2:70)&gt;COUNTIF(Maximum_RawData!$A:$A,"5_Maximum"),"",INDEX(Maximum_RawData!I:I,MATCH("5_Maximum",Maximum_RawData!$A:$A,0)+ROWS($2:70)-1))</f>
        <v>399</v>
      </c>
      <c r="J70">
        <f>IF(ROWS($2:70)&gt;COUNTIF(Maximum_RawData!$A:$A,"5_Maximum"),"",INDEX(Maximum_RawData!J:J,MATCH("5_Maximum",Maximum_RawData!$A:$A,0)+ROWS($2:70)-1))</f>
        <v>399</v>
      </c>
      <c r="K70">
        <f>IF(ROWS($2:70)&gt;COUNTIF(Maximum_RawData!$A:$A,"5_Maximum"),"",INDEX(Maximum_RawData!K:K,MATCH("5_Maximum",Maximum_RawData!$A:$A,0)+ROWS($2:70)-1))</f>
        <v>399</v>
      </c>
      <c r="L70">
        <f>IF(ROWS($2:70)&gt;COUNTIF(Maximum_RawData!$A:$A,"5_Maximum"),"",INDEX(Maximum_RawData!L:L,MATCH("5_Maximum",Maximum_RawData!$A:$A,0)+ROWS($2:70)-1))</f>
        <v>399</v>
      </c>
      <c r="M70">
        <f>IF(ROWS($2:70)&gt;COUNTIF(Maximum_RawData!$A:$A,"5_Maximum"),"",INDEX(Maximum_RawData!M:M,MATCH("5_Maximum",Maximum_RawData!$A:$A,0)+ROWS($2:70)-1))</f>
        <v>399</v>
      </c>
      <c r="N70">
        <f>IF(ROWS($2:70)&gt;COUNTIF(Maximum_RawData!$A:$A,"5_Maximum"),"",INDEX(Maximum_RawData!N:N,MATCH("5_Maximum",Maximum_RawData!$A:$A,0)+ROWS($2:70)-1))</f>
        <v>0.09</v>
      </c>
      <c r="O70">
        <f>IF(ROWS($2:70)&gt;COUNTIF(Maximum_RawData!$A:$A,"5_Maximum"),"",INDEX(Maximum_RawData!O:O,MATCH("5_Maximum",Maximum_RawData!$A:$A,0)+ROWS($2:70)-1))</f>
        <v>0.11</v>
      </c>
      <c r="P70">
        <f>IF(ROWS($2:70)&gt;COUNTIF(Maximum_RawData!$A:$A,"5_Maximum"),"",INDEX(Maximum_RawData!P:P,MATCH("5_Maximum",Maximum_RawData!$A:$A,0)+ROWS($2:70)-1))</f>
        <v>0.08</v>
      </c>
      <c r="Q70">
        <f>IF(ROWS($2:70)&gt;COUNTIF(Maximum_RawData!$A:$A,"5_Maximum"),"",INDEX(Maximum_RawData!Q:Q,MATCH("5_Maximum",Maximum_RawData!$A:$A,0)+ROWS($2:70)-1))</f>
        <v>0.1</v>
      </c>
      <c r="R70" t="str">
        <f>IF(ROWS($2:70)&gt;COUNTIF(Maximum_RawData!$A:$A,"5_Maximum"),"",INDEX(Maximum_RawData!R:R,MATCH("5_Maximum",Maximum_RawData!$A:$A,0)+ROWS($2:70)-1))</f>
        <v>Pass</v>
      </c>
      <c r="S70">
        <f>IF(ROWS($2:70)&gt;COUNTIF(Maximum_RawData!$A:$A,"5_Maximum"),"",INDEX(Maximum_RawData!S:S,MATCH("5_Maximum",Maximum_RawData!$A:$A,0)+ROWS($2:70)-1))</f>
        <v>0</v>
      </c>
      <c r="T70">
        <f>IF(ROWS($2:70)&gt;COUNTIF(Maximum_RawData!$A:$A,"5_Maximum"),"",INDEX(Maximum_RawData!T:T,MATCH("5_Maximum",Maximum_RawData!$A:$A,0)+ROWS($2:70)-1))</f>
        <v>0</v>
      </c>
    </row>
    <row r="71" spans="1:20">
      <c r="A71" t="str">
        <f>IF(ROWS($2:71)&gt;COUNTIF(Maximum_RawData!$A:$A,"5_Maximum"),"",INDEX(Maximum_RawData!A:A,MATCH("5_Maximum",Maximum_RawData!$A:$A,0)+ROWS($2:71)-1))</f>
        <v>5_Maximum</v>
      </c>
      <c r="B71">
        <f>IF(ROWS($2:71)&gt;COUNTIF(Maximum_RawData!$A:$A,"5_Maximum"),"",INDEX(Maximum_RawData!B:B,MATCH("5_Maximum",Maximum_RawData!$A:$A,0)+ROWS($2:71)-1))</f>
        <v>150108.10699999999</v>
      </c>
      <c r="C71">
        <f>IF(ROWS($2:71)&gt;COUNTIF(Maximum_RawData!$A:$A,"5_Maximum"),"",INDEX(Maximum_RawData!C:C,MATCH("5_Maximum",Maximum_RawData!$A:$A,0)+ROWS($2:71)-1))</f>
        <v>18.420000000000002</v>
      </c>
      <c r="D71">
        <f>IF(ROWS($2:71)&gt;COUNTIF(Maximum_RawData!$A:$A,"5_Maximum"),"",INDEX(Maximum_RawData!D:D,MATCH("5_Maximum",Maximum_RawData!$A:$A,0)+ROWS($2:71)-1))</f>
        <v>1309.7070000000001</v>
      </c>
      <c r="E71">
        <f>IF(ROWS($2:71)&gt;COUNTIF(Maximum_RawData!$A:$A,"5_Maximum"),"",INDEX(Maximum_RawData!E:E,MATCH("5_Maximum",Maximum_RawData!$A:$A,0)+ROWS($2:71)-1))</f>
        <v>9.86</v>
      </c>
      <c r="F71">
        <f>IF(ROWS($2:71)&gt;COUNTIF(Maximum_RawData!$A:$A,"5_Maximum"),"",INDEX(Maximum_RawData!F:F,MATCH("5_Maximum",Maximum_RawData!$A:$A,0)+ROWS($2:71)-1))</f>
        <v>399</v>
      </c>
      <c r="G71">
        <f>IF(ROWS($2:71)&gt;COUNTIF(Maximum_RawData!$A:$A,"5_Maximum"),"",INDEX(Maximum_RawData!G:G,MATCH("5_Maximum",Maximum_RawData!$A:$A,0)+ROWS($2:71)-1))</f>
        <v>399</v>
      </c>
      <c r="H71">
        <f>IF(ROWS($2:71)&gt;COUNTIF(Maximum_RawData!$A:$A,"5_Maximum"),"",INDEX(Maximum_RawData!H:H,MATCH("5_Maximum",Maximum_RawData!$A:$A,0)+ROWS($2:71)-1))</f>
        <v>399</v>
      </c>
      <c r="I71">
        <f>IF(ROWS($2:71)&gt;COUNTIF(Maximum_RawData!$A:$A,"5_Maximum"),"",INDEX(Maximum_RawData!I:I,MATCH("5_Maximum",Maximum_RawData!$A:$A,0)+ROWS($2:71)-1))</f>
        <v>399</v>
      </c>
      <c r="J71">
        <f>IF(ROWS($2:71)&gt;COUNTIF(Maximum_RawData!$A:$A,"5_Maximum"),"",INDEX(Maximum_RawData!J:J,MATCH("5_Maximum",Maximum_RawData!$A:$A,0)+ROWS($2:71)-1))</f>
        <v>399</v>
      </c>
      <c r="K71">
        <f>IF(ROWS($2:71)&gt;COUNTIF(Maximum_RawData!$A:$A,"5_Maximum"),"",INDEX(Maximum_RawData!K:K,MATCH("5_Maximum",Maximum_RawData!$A:$A,0)+ROWS($2:71)-1))</f>
        <v>399</v>
      </c>
      <c r="L71">
        <f>IF(ROWS($2:71)&gt;COUNTIF(Maximum_RawData!$A:$A,"5_Maximum"),"",INDEX(Maximum_RawData!L:L,MATCH("5_Maximum",Maximum_RawData!$A:$A,0)+ROWS($2:71)-1))</f>
        <v>399</v>
      </c>
      <c r="M71">
        <f>IF(ROWS($2:71)&gt;COUNTIF(Maximum_RawData!$A:$A,"5_Maximum"),"",INDEX(Maximum_RawData!M:M,MATCH("5_Maximum",Maximum_RawData!$A:$A,0)+ROWS($2:71)-1))</f>
        <v>399</v>
      </c>
      <c r="N71">
        <f>IF(ROWS($2:71)&gt;COUNTIF(Maximum_RawData!$A:$A,"5_Maximum"),"",INDEX(Maximum_RawData!N:N,MATCH("5_Maximum",Maximum_RawData!$A:$A,0)+ROWS($2:71)-1))</f>
        <v>0.1</v>
      </c>
      <c r="O71">
        <f>IF(ROWS($2:71)&gt;COUNTIF(Maximum_RawData!$A:$A,"5_Maximum"),"",INDEX(Maximum_RawData!O:O,MATCH("5_Maximum",Maximum_RawData!$A:$A,0)+ROWS($2:71)-1))</f>
        <v>0.11</v>
      </c>
      <c r="P71">
        <f>IF(ROWS($2:71)&gt;COUNTIF(Maximum_RawData!$A:$A,"5_Maximum"),"",INDEX(Maximum_RawData!P:P,MATCH("5_Maximum",Maximum_RawData!$A:$A,0)+ROWS($2:71)-1))</f>
        <v>0.08</v>
      </c>
      <c r="Q71">
        <f>IF(ROWS($2:71)&gt;COUNTIF(Maximum_RawData!$A:$A,"5_Maximum"),"",INDEX(Maximum_RawData!Q:Q,MATCH("5_Maximum",Maximum_RawData!$A:$A,0)+ROWS($2:71)-1))</f>
        <v>0.1</v>
      </c>
      <c r="R71" t="str">
        <f>IF(ROWS($2:71)&gt;COUNTIF(Maximum_RawData!$A:$A,"5_Maximum"),"",INDEX(Maximum_RawData!R:R,MATCH("5_Maximum",Maximum_RawData!$A:$A,0)+ROWS($2:71)-1))</f>
        <v>Pass</v>
      </c>
      <c r="S71">
        <f>IF(ROWS($2:71)&gt;COUNTIF(Maximum_RawData!$A:$A,"5_Maximum"),"",INDEX(Maximum_RawData!S:S,MATCH("5_Maximum",Maximum_RawData!$A:$A,0)+ROWS($2:71)-1))</f>
        <v>0</v>
      </c>
      <c r="T71">
        <f>IF(ROWS($2:71)&gt;COUNTIF(Maximum_RawData!$A:$A,"5_Maximum"),"",INDEX(Maximum_RawData!T:T,MATCH("5_Maximum",Maximum_RawData!$A:$A,0)+ROWS($2:71)-1))</f>
        <v>0</v>
      </c>
    </row>
    <row r="72" spans="1:20">
      <c r="A72" t="str">
        <f>IF(ROWS($2:72)&gt;COUNTIF(Maximum_RawData!$A:$A,"5_Maximum"),"",INDEX(Maximum_RawData!A:A,MATCH("5_Maximum",Maximum_RawData!$A:$A,0)+ROWS($2:72)-1))</f>
        <v>5_Maximum</v>
      </c>
      <c r="B72">
        <f>IF(ROWS($2:72)&gt;COUNTIF(Maximum_RawData!$A:$A,"5_Maximum"),"",INDEX(Maximum_RawData!B:B,MATCH("5_Maximum",Maximum_RawData!$A:$A,0)+ROWS($2:72)-1))</f>
        <v>150113.11199999999</v>
      </c>
      <c r="C72">
        <f>IF(ROWS($2:72)&gt;COUNTIF(Maximum_RawData!$A:$A,"5_Maximum"),"",INDEX(Maximum_RawData!C:C,MATCH("5_Maximum",Maximum_RawData!$A:$A,0)+ROWS($2:72)-1))</f>
        <v>17.66</v>
      </c>
      <c r="D72">
        <f>IF(ROWS($2:72)&gt;COUNTIF(Maximum_RawData!$A:$A,"5_Maximum"),"",INDEX(Maximum_RawData!D:D,MATCH("5_Maximum",Maximum_RawData!$A:$A,0)+ROWS($2:72)-1))</f>
        <v>1309.6289999999999</v>
      </c>
      <c r="E72">
        <f>IF(ROWS($2:72)&gt;COUNTIF(Maximum_RawData!$A:$A,"5_Maximum"),"",INDEX(Maximum_RawData!E:E,MATCH("5_Maximum",Maximum_RawData!$A:$A,0)+ROWS($2:72)-1))</f>
        <v>9.93</v>
      </c>
      <c r="F72">
        <f>IF(ROWS($2:72)&gt;COUNTIF(Maximum_RawData!$A:$A,"5_Maximum"),"",INDEX(Maximum_RawData!F:F,MATCH("5_Maximum",Maximum_RawData!$A:$A,0)+ROWS($2:72)-1))</f>
        <v>399</v>
      </c>
      <c r="G72">
        <f>IF(ROWS($2:72)&gt;COUNTIF(Maximum_RawData!$A:$A,"5_Maximum"),"",INDEX(Maximum_RawData!G:G,MATCH("5_Maximum",Maximum_RawData!$A:$A,0)+ROWS($2:72)-1))</f>
        <v>399</v>
      </c>
      <c r="H72">
        <f>IF(ROWS($2:72)&gt;COUNTIF(Maximum_RawData!$A:$A,"5_Maximum"),"",INDEX(Maximum_RawData!H:H,MATCH("5_Maximum",Maximum_RawData!$A:$A,0)+ROWS($2:72)-1))</f>
        <v>399</v>
      </c>
      <c r="I72">
        <f>IF(ROWS($2:72)&gt;COUNTIF(Maximum_RawData!$A:$A,"5_Maximum"),"",INDEX(Maximum_RawData!I:I,MATCH("5_Maximum",Maximum_RawData!$A:$A,0)+ROWS($2:72)-1))</f>
        <v>399</v>
      </c>
      <c r="J72">
        <f>IF(ROWS($2:72)&gt;COUNTIF(Maximum_RawData!$A:$A,"5_Maximum"),"",INDEX(Maximum_RawData!J:J,MATCH("5_Maximum",Maximum_RawData!$A:$A,0)+ROWS($2:72)-1))</f>
        <v>399</v>
      </c>
      <c r="K72">
        <f>IF(ROWS($2:72)&gt;COUNTIF(Maximum_RawData!$A:$A,"5_Maximum"),"",INDEX(Maximum_RawData!K:K,MATCH("5_Maximum",Maximum_RawData!$A:$A,0)+ROWS($2:72)-1))</f>
        <v>399</v>
      </c>
      <c r="L72">
        <f>IF(ROWS($2:72)&gt;COUNTIF(Maximum_RawData!$A:$A,"5_Maximum"),"",INDEX(Maximum_RawData!L:L,MATCH("5_Maximum",Maximum_RawData!$A:$A,0)+ROWS($2:72)-1))</f>
        <v>399</v>
      </c>
      <c r="M72">
        <f>IF(ROWS($2:72)&gt;COUNTIF(Maximum_RawData!$A:$A,"5_Maximum"),"",INDEX(Maximum_RawData!M:M,MATCH("5_Maximum",Maximum_RawData!$A:$A,0)+ROWS($2:72)-1))</f>
        <v>399</v>
      </c>
      <c r="N72">
        <f>IF(ROWS($2:72)&gt;COUNTIF(Maximum_RawData!$A:$A,"5_Maximum"),"",INDEX(Maximum_RawData!N:N,MATCH("5_Maximum",Maximum_RawData!$A:$A,0)+ROWS($2:72)-1))</f>
        <v>0.1</v>
      </c>
      <c r="O72">
        <f>IF(ROWS($2:72)&gt;COUNTIF(Maximum_RawData!$A:$A,"5_Maximum"),"",INDEX(Maximum_RawData!O:O,MATCH("5_Maximum",Maximum_RawData!$A:$A,0)+ROWS($2:72)-1))</f>
        <v>0.11</v>
      </c>
      <c r="P72">
        <f>IF(ROWS($2:72)&gt;COUNTIF(Maximum_RawData!$A:$A,"5_Maximum"),"",INDEX(Maximum_RawData!P:P,MATCH("5_Maximum",Maximum_RawData!$A:$A,0)+ROWS($2:72)-1))</f>
        <v>0.08</v>
      </c>
      <c r="Q72">
        <f>IF(ROWS($2:72)&gt;COUNTIF(Maximum_RawData!$A:$A,"5_Maximum"),"",INDEX(Maximum_RawData!Q:Q,MATCH("5_Maximum",Maximum_RawData!$A:$A,0)+ROWS($2:72)-1))</f>
        <v>0.1</v>
      </c>
      <c r="R72" t="str">
        <f>IF(ROWS($2:72)&gt;COUNTIF(Maximum_RawData!$A:$A,"5_Maximum"),"",INDEX(Maximum_RawData!R:R,MATCH("5_Maximum",Maximum_RawData!$A:$A,0)+ROWS($2:72)-1))</f>
        <v>Pass</v>
      </c>
      <c r="S72">
        <f>IF(ROWS($2:72)&gt;COUNTIF(Maximum_RawData!$A:$A,"5_Maximum"),"",INDEX(Maximum_RawData!S:S,MATCH("5_Maximum",Maximum_RawData!$A:$A,0)+ROWS($2:72)-1))</f>
        <v>0</v>
      </c>
      <c r="T72">
        <f>IF(ROWS($2:72)&gt;COUNTIF(Maximum_RawData!$A:$A,"5_Maximum"),"",INDEX(Maximum_RawData!T:T,MATCH("5_Maximum",Maximum_RawData!$A:$A,0)+ROWS($2:72)-1))</f>
        <v>0</v>
      </c>
    </row>
    <row r="73" spans="1:20">
      <c r="A73" t="str">
        <f>IF(ROWS($2:73)&gt;COUNTIF(Maximum_RawData!$A:$A,"5_Maximum"),"",INDEX(Maximum_RawData!A:A,MATCH("5_Maximum",Maximum_RawData!$A:$A,0)+ROWS($2:73)-1))</f>
        <v>5_Maximum</v>
      </c>
      <c r="B73">
        <f>IF(ROWS($2:73)&gt;COUNTIF(Maximum_RawData!$A:$A,"5_Maximum"),"",INDEX(Maximum_RawData!B:B,MATCH("5_Maximum",Maximum_RawData!$A:$A,0)+ROWS($2:73)-1))</f>
        <v>150118.117</v>
      </c>
      <c r="C73">
        <f>IF(ROWS($2:73)&gt;COUNTIF(Maximum_RawData!$A:$A,"5_Maximum"),"",INDEX(Maximum_RawData!C:C,MATCH("5_Maximum",Maximum_RawData!$A:$A,0)+ROWS($2:73)-1))</f>
        <v>16.920000000000002</v>
      </c>
      <c r="D73">
        <f>IF(ROWS($2:73)&gt;COUNTIF(Maximum_RawData!$A:$A,"5_Maximum"),"",INDEX(Maximum_RawData!D:D,MATCH("5_Maximum",Maximum_RawData!$A:$A,0)+ROWS($2:73)-1))</f>
        <v>1309.5630000000001</v>
      </c>
      <c r="E73">
        <f>IF(ROWS($2:73)&gt;COUNTIF(Maximum_RawData!$A:$A,"5_Maximum"),"",INDEX(Maximum_RawData!E:E,MATCH("5_Maximum",Maximum_RawData!$A:$A,0)+ROWS($2:73)-1))</f>
        <v>9.8699999999999992</v>
      </c>
      <c r="F73">
        <f>IF(ROWS($2:73)&gt;COUNTIF(Maximum_RawData!$A:$A,"5_Maximum"),"",INDEX(Maximum_RawData!F:F,MATCH("5_Maximum",Maximum_RawData!$A:$A,0)+ROWS($2:73)-1))</f>
        <v>399</v>
      </c>
      <c r="G73">
        <f>IF(ROWS($2:73)&gt;COUNTIF(Maximum_RawData!$A:$A,"5_Maximum"),"",INDEX(Maximum_RawData!G:G,MATCH("5_Maximum",Maximum_RawData!$A:$A,0)+ROWS($2:73)-1))</f>
        <v>399</v>
      </c>
      <c r="H73">
        <f>IF(ROWS($2:73)&gt;COUNTIF(Maximum_RawData!$A:$A,"5_Maximum"),"",INDEX(Maximum_RawData!H:H,MATCH("5_Maximum",Maximum_RawData!$A:$A,0)+ROWS($2:73)-1))</f>
        <v>399</v>
      </c>
      <c r="I73">
        <f>IF(ROWS($2:73)&gt;COUNTIF(Maximum_RawData!$A:$A,"5_Maximum"),"",INDEX(Maximum_RawData!I:I,MATCH("5_Maximum",Maximum_RawData!$A:$A,0)+ROWS($2:73)-1))</f>
        <v>399</v>
      </c>
      <c r="J73">
        <f>IF(ROWS($2:73)&gt;COUNTIF(Maximum_RawData!$A:$A,"5_Maximum"),"",INDEX(Maximum_RawData!J:J,MATCH("5_Maximum",Maximum_RawData!$A:$A,0)+ROWS($2:73)-1))</f>
        <v>399</v>
      </c>
      <c r="K73">
        <f>IF(ROWS($2:73)&gt;COUNTIF(Maximum_RawData!$A:$A,"5_Maximum"),"",INDEX(Maximum_RawData!K:K,MATCH("5_Maximum",Maximum_RawData!$A:$A,0)+ROWS($2:73)-1))</f>
        <v>399</v>
      </c>
      <c r="L73">
        <f>IF(ROWS($2:73)&gt;COUNTIF(Maximum_RawData!$A:$A,"5_Maximum"),"",INDEX(Maximum_RawData!L:L,MATCH("5_Maximum",Maximum_RawData!$A:$A,0)+ROWS($2:73)-1))</f>
        <v>399</v>
      </c>
      <c r="M73">
        <f>IF(ROWS($2:73)&gt;COUNTIF(Maximum_RawData!$A:$A,"5_Maximum"),"",INDEX(Maximum_RawData!M:M,MATCH("5_Maximum",Maximum_RawData!$A:$A,0)+ROWS($2:73)-1))</f>
        <v>399</v>
      </c>
      <c r="N73">
        <f>IF(ROWS($2:73)&gt;COUNTIF(Maximum_RawData!$A:$A,"5_Maximum"),"",INDEX(Maximum_RawData!N:N,MATCH("5_Maximum",Maximum_RawData!$A:$A,0)+ROWS($2:73)-1))</f>
        <v>0.09</v>
      </c>
      <c r="O73">
        <f>IF(ROWS($2:73)&gt;COUNTIF(Maximum_RawData!$A:$A,"5_Maximum"),"",INDEX(Maximum_RawData!O:O,MATCH("5_Maximum",Maximum_RawData!$A:$A,0)+ROWS($2:73)-1))</f>
        <v>0.11</v>
      </c>
      <c r="P73">
        <f>IF(ROWS($2:73)&gt;COUNTIF(Maximum_RawData!$A:$A,"5_Maximum"),"",INDEX(Maximum_RawData!P:P,MATCH("5_Maximum",Maximum_RawData!$A:$A,0)+ROWS($2:73)-1))</f>
        <v>0.08</v>
      </c>
      <c r="Q73">
        <f>IF(ROWS($2:73)&gt;COUNTIF(Maximum_RawData!$A:$A,"5_Maximum"),"",INDEX(Maximum_RawData!Q:Q,MATCH("5_Maximum",Maximum_RawData!$A:$A,0)+ROWS($2:73)-1))</f>
        <v>0.1</v>
      </c>
      <c r="R73" t="str">
        <f>IF(ROWS($2:73)&gt;COUNTIF(Maximum_RawData!$A:$A,"5_Maximum"),"",INDEX(Maximum_RawData!R:R,MATCH("5_Maximum",Maximum_RawData!$A:$A,0)+ROWS($2:73)-1))</f>
        <v>Pass</v>
      </c>
      <c r="S73">
        <f>IF(ROWS($2:73)&gt;COUNTIF(Maximum_RawData!$A:$A,"5_Maximum"),"",INDEX(Maximum_RawData!S:S,MATCH("5_Maximum",Maximum_RawData!$A:$A,0)+ROWS($2:73)-1))</f>
        <v>0</v>
      </c>
      <c r="T73">
        <f>IF(ROWS($2:73)&gt;COUNTIF(Maximum_RawData!$A:$A,"5_Maximum"),"",INDEX(Maximum_RawData!T:T,MATCH("5_Maximum",Maximum_RawData!$A:$A,0)+ROWS($2:73)-1))</f>
        <v>0</v>
      </c>
    </row>
    <row r="74" spans="1:20">
      <c r="A74" t="str">
        <f>IF(ROWS($2:74)&gt;COUNTIF(Maximum_RawData!$A:$A,"5_Maximum"),"",INDEX(Maximum_RawData!A:A,MATCH("5_Maximum",Maximum_RawData!$A:$A,0)+ROWS($2:74)-1))</f>
        <v>5_Maximum</v>
      </c>
      <c r="B74">
        <f>IF(ROWS($2:74)&gt;COUNTIF(Maximum_RawData!$A:$A,"5_Maximum"),"",INDEX(Maximum_RawData!B:B,MATCH("5_Maximum",Maximum_RawData!$A:$A,0)+ROWS($2:74)-1))</f>
        <v>150123.11499999999</v>
      </c>
      <c r="C74">
        <f>IF(ROWS($2:74)&gt;COUNTIF(Maximum_RawData!$A:$A,"5_Maximum"),"",INDEX(Maximum_RawData!C:C,MATCH("5_Maximum",Maximum_RawData!$A:$A,0)+ROWS($2:74)-1))</f>
        <v>16.149999999999999</v>
      </c>
      <c r="D74">
        <f>IF(ROWS($2:74)&gt;COUNTIF(Maximum_RawData!$A:$A,"5_Maximum"),"",INDEX(Maximum_RawData!D:D,MATCH("5_Maximum",Maximum_RawData!$A:$A,0)+ROWS($2:74)-1))</f>
        <v>1309.492</v>
      </c>
      <c r="E74">
        <f>IF(ROWS($2:74)&gt;COUNTIF(Maximum_RawData!$A:$A,"5_Maximum"),"",INDEX(Maximum_RawData!E:E,MATCH("5_Maximum",Maximum_RawData!$A:$A,0)+ROWS($2:74)-1))</f>
        <v>9.89</v>
      </c>
      <c r="F74">
        <f>IF(ROWS($2:74)&gt;COUNTIF(Maximum_RawData!$A:$A,"5_Maximum"),"",INDEX(Maximum_RawData!F:F,MATCH("5_Maximum",Maximum_RawData!$A:$A,0)+ROWS($2:74)-1))</f>
        <v>399</v>
      </c>
      <c r="G74">
        <f>IF(ROWS($2:74)&gt;COUNTIF(Maximum_RawData!$A:$A,"5_Maximum"),"",INDEX(Maximum_RawData!G:G,MATCH("5_Maximum",Maximum_RawData!$A:$A,0)+ROWS($2:74)-1))</f>
        <v>399</v>
      </c>
      <c r="H74">
        <f>IF(ROWS($2:74)&gt;COUNTIF(Maximum_RawData!$A:$A,"5_Maximum"),"",INDEX(Maximum_RawData!H:H,MATCH("5_Maximum",Maximum_RawData!$A:$A,0)+ROWS($2:74)-1))</f>
        <v>399</v>
      </c>
      <c r="I74">
        <f>IF(ROWS($2:74)&gt;COUNTIF(Maximum_RawData!$A:$A,"5_Maximum"),"",INDEX(Maximum_RawData!I:I,MATCH("5_Maximum",Maximum_RawData!$A:$A,0)+ROWS($2:74)-1))</f>
        <v>399</v>
      </c>
      <c r="J74">
        <f>IF(ROWS($2:74)&gt;COUNTIF(Maximum_RawData!$A:$A,"5_Maximum"),"",INDEX(Maximum_RawData!J:J,MATCH("5_Maximum",Maximum_RawData!$A:$A,0)+ROWS($2:74)-1))</f>
        <v>399</v>
      </c>
      <c r="K74">
        <f>IF(ROWS($2:74)&gt;COUNTIF(Maximum_RawData!$A:$A,"5_Maximum"),"",INDEX(Maximum_RawData!K:K,MATCH("5_Maximum",Maximum_RawData!$A:$A,0)+ROWS($2:74)-1))</f>
        <v>399</v>
      </c>
      <c r="L74">
        <f>IF(ROWS($2:74)&gt;COUNTIF(Maximum_RawData!$A:$A,"5_Maximum"),"",INDEX(Maximum_RawData!L:L,MATCH("5_Maximum",Maximum_RawData!$A:$A,0)+ROWS($2:74)-1))</f>
        <v>399</v>
      </c>
      <c r="M74">
        <f>IF(ROWS($2:74)&gt;COUNTIF(Maximum_RawData!$A:$A,"5_Maximum"),"",INDEX(Maximum_RawData!M:M,MATCH("5_Maximum",Maximum_RawData!$A:$A,0)+ROWS($2:74)-1))</f>
        <v>399</v>
      </c>
      <c r="N74">
        <f>IF(ROWS($2:74)&gt;COUNTIF(Maximum_RawData!$A:$A,"5_Maximum"),"",INDEX(Maximum_RawData!N:N,MATCH("5_Maximum",Maximum_RawData!$A:$A,0)+ROWS($2:74)-1))</f>
        <v>0.09</v>
      </c>
      <c r="O74">
        <f>IF(ROWS($2:74)&gt;COUNTIF(Maximum_RawData!$A:$A,"5_Maximum"),"",INDEX(Maximum_RawData!O:O,MATCH("5_Maximum",Maximum_RawData!$A:$A,0)+ROWS($2:74)-1))</f>
        <v>0.11</v>
      </c>
      <c r="P74">
        <f>IF(ROWS($2:74)&gt;COUNTIF(Maximum_RawData!$A:$A,"5_Maximum"),"",INDEX(Maximum_RawData!P:P,MATCH("5_Maximum",Maximum_RawData!$A:$A,0)+ROWS($2:74)-1))</f>
        <v>0.08</v>
      </c>
      <c r="Q74">
        <f>IF(ROWS($2:74)&gt;COUNTIF(Maximum_RawData!$A:$A,"5_Maximum"),"",INDEX(Maximum_RawData!Q:Q,MATCH("5_Maximum",Maximum_RawData!$A:$A,0)+ROWS($2:74)-1))</f>
        <v>0.1</v>
      </c>
      <c r="R74" t="str">
        <f>IF(ROWS($2:74)&gt;COUNTIF(Maximum_RawData!$A:$A,"5_Maximum"),"",INDEX(Maximum_RawData!R:R,MATCH("5_Maximum",Maximum_RawData!$A:$A,0)+ROWS($2:74)-1))</f>
        <v>Pass</v>
      </c>
      <c r="S74">
        <f>IF(ROWS($2:74)&gt;COUNTIF(Maximum_RawData!$A:$A,"5_Maximum"),"",INDEX(Maximum_RawData!S:S,MATCH("5_Maximum",Maximum_RawData!$A:$A,0)+ROWS($2:74)-1))</f>
        <v>0</v>
      </c>
      <c r="T74">
        <f>IF(ROWS($2:74)&gt;COUNTIF(Maximum_RawData!$A:$A,"5_Maximum"),"",INDEX(Maximum_RawData!T:T,MATCH("5_Maximum",Maximum_RawData!$A:$A,0)+ROWS($2:74)-1))</f>
        <v>0</v>
      </c>
    </row>
    <row r="75" spans="1:20">
      <c r="A75" t="str">
        <f>IF(ROWS($2:75)&gt;COUNTIF(Maximum_RawData!$A:$A,"5_Maximum"),"",INDEX(Maximum_RawData!A:A,MATCH("5_Maximum",Maximum_RawData!$A:$A,0)+ROWS($2:75)-1))</f>
        <v>5_Maximum</v>
      </c>
      <c r="B75">
        <f>IF(ROWS($2:75)&gt;COUNTIF(Maximum_RawData!$A:$A,"5_Maximum"),"",INDEX(Maximum_RawData!B:B,MATCH("5_Maximum",Maximum_RawData!$A:$A,0)+ROWS($2:75)-1))</f>
        <v>150128.117</v>
      </c>
      <c r="C75">
        <f>IF(ROWS($2:75)&gt;COUNTIF(Maximum_RawData!$A:$A,"5_Maximum"),"",INDEX(Maximum_RawData!C:C,MATCH("5_Maximum",Maximum_RawData!$A:$A,0)+ROWS($2:75)-1))</f>
        <v>15.42</v>
      </c>
      <c r="D75">
        <f>IF(ROWS($2:75)&gt;COUNTIF(Maximum_RawData!$A:$A,"5_Maximum"),"",INDEX(Maximum_RawData!D:D,MATCH("5_Maximum",Maximum_RawData!$A:$A,0)+ROWS($2:75)-1))</f>
        <v>1309.421</v>
      </c>
      <c r="E75">
        <f>IF(ROWS($2:75)&gt;COUNTIF(Maximum_RawData!$A:$A,"5_Maximum"),"",INDEX(Maximum_RawData!E:E,MATCH("5_Maximum",Maximum_RawData!$A:$A,0)+ROWS($2:75)-1))</f>
        <v>9.84</v>
      </c>
      <c r="F75">
        <f>IF(ROWS($2:75)&gt;COUNTIF(Maximum_RawData!$A:$A,"5_Maximum"),"",INDEX(Maximum_RawData!F:F,MATCH("5_Maximum",Maximum_RawData!$A:$A,0)+ROWS($2:75)-1))</f>
        <v>399</v>
      </c>
      <c r="G75">
        <f>IF(ROWS($2:75)&gt;COUNTIF(Maximum_RawData!$A:$A,"5_Maximum"),"",INDEX(Maximum_RawData!G:G,MATCH("5_Maximum",Maximum_RawData!$A:$A,0)+ROWS($2:75)-1))</f>
        <v>399</v>
      </c>
      <c r="H75">
        <f>IF(ROWS($2:75)&gt;COUNTIF(Maximum_RawData!$A:$A,"5_Maximum"),"",INDEX(Maximum_RawData!H:H,MATCH("5_Maximum",Maximum_RawData!$A:$A,0)+ROWS($2:75)-1))</f>
        <v>399</v>
      </c>
      <c r="I75">
        <f>IF(ROWS($2:75)&gt;COUNTIF(Maximum_RawData!$A:$A,"5_Maximum"),"",INDEX(Maximum_RawData!I:I,MATCH("5_Maximum",Maximum_RawData!$A:$A,0)+ROWS($2:75)-1))</f>
        <v>399</v>
      </c>
      <c r="J75">
        <f>IF(ROWS($2:75)&gt;COUNTIF(Maximum_RawData!$A:$A,"5_Maximum"),"",INDEX(Maximum_RawData!J:J,MATCH("5_Maximum",Maximum_RawData!$A:$A,0)+ROWS($2:75)-1))</f>
        <v>399</v>
      </c>
      <c r="K75">
        <f>IF(ROWS($2:75)&gt;COUNTIF(Maximum_RawData!$A:$A,"5_Maximum"),"",INDEX(Maximum_RawData!K:K,MATCH("5_Maximum",Maximum_RawData!$A:$A,0)+ROWS($2:75)-1))</f>
        <v>399</v>
      </c>
      <c r="L75">
        <f>IF(ROWS($2:75)&gt;COUNTIF(Maximum_RawData!$A:$A,"5_Maximum"),"",INDEX(Maximum_RawData!L:L,MATCH("5_Maximum",Maximum_RawData!$A:$A,0)+ROWS($2:75)-1))</f>
        <v>399</v>
      </c>
      <c r="M75">
        <f>IF(ROWS($2:75)&gt;COUNTIF(Maximum_RawData!$A:$A,"5_Maximum"),"",INDEX(Maximum_RawData!M:M,MATCH("5_Maximum",Maximum_RawData!$A:$A,0)+ROWS($2:75)-1))</f>
        <v>399</v>
      </c>
      <c r="N75">
        <f>IF(ROWS($2:75)&gt;COUNTIF(Maximum_RawData!$A:$A,"5_Maximum"),"",INDEX(Maximum_RawData!N:N,MATCH("5_Maximum",Maximum_RawData!$A:$A,0)+ROWS($2:75)-1))</f>
        <v>0.1</v>
      </c>
      <c r="O75">
        <f>IF(ROWS($2:75)&gt;COUNTIF(Maximum_RawData!$A:$A,"5_Maximum"),"",INDEX(Maximum_RawData!O:O,MATCH("5_Maximum",Maximum_RawData!$A:$A,0)+ROWS($2:75)-1))</f>
        <v>0.11</v>
      </c>
      <c r="P75">
        <f>IF(ROWS($2:75)&gt;COUNTIF(Maximum_RawData!$A:$A,"5_Maximum"),"",INDEX(Maximum_RawData!P:P,MATCH("5_Maximum",Maximum_RawData!$A:$A,0)+ROWS($2:75)-1))</f>
        <v>0.08</v>
      </c>
      <c r="Q75">
        <f>IF(ROWS($2:75)&gt;COUNTIF(Maximum_RawData!$A:$A,"5_Maximum"),"",INDEX(Maximum_RawData!Q:Q,MATCH("5_Maximum",Maximum_RawData!$A:$A,0)+ROWS($2:75)-1))</f>
        <v>0.1</v>
      </c>
      <c r="R75" t="str">
        <f>IF(ROWS($2:75)&gt;COUNTIF(Maximum_RawData!$A:$A,"5_Maximum"),"",INDEX(Maximum_RawData!R:R,MATCH("5_Maximum",Maximum_RawData!$A:$A,0)+ROWS($2:75)-1))</f>
        <v>Pass</v>
      </c>
      <c r="S75">
        <f>IF(ROWS($2:75)&gt;COUNTIF(Maximum_RawData!$A:$A,"5_Maximum"),"",INDEX(Maximum_RawData!S:S,MATCH("5_Maximum",Maximum_RawData!$A:$A,0)+ROWS($2:75)-1))</f>
        <v>0</v>
      </c>
      <c r="T75">
        <f>IF(ROWS($2:75)&gt;COUNTIF(Maximum_RawData!$A:$A,"5_Maximum"),"",INDEX(Maximum_RawData!T:T,MATCH("5_Maximum",Maximum_RawData!$A:$A,0)+ROWS($2:75)-1))</f>
        <v>0</v>
      </c>
    </row>
    <row r="76" spans="1:20">
      <c r="A76" t="str">
        <f>IF(ROWS($2:76)&gt;COUNTIF(Maximum_RawData!$A:$A,"5_Maximum"),"",INDEX(Maximum_RawData!A:A,MATCH("5_Maximum",Maximum_RawData!$A:$A,0)+ROWS($2:76)-1))</f>
        <v>5_Maximum</v>
      </c>
      <c r="B76">
        <f>IF(ROWS($2:76)&gt;COUNTIF(Maximum_RawData!$A:$A,"5_Maximum"),"",INDEX(Maximum_RawData!B:B,MATCH("5_Maximum",Maximum_RawData!$A:$A,0)+ROWS($2:76)-1))</f>
        <v>150133.12100000001</v>
      </c>
      <c r="C76">
        <f>IF(ROWS($2:76)&gt;COUNTIF(Maximum_RawData!$A:$A,"5_Maximum"),"",INDEX(Maximum_RawData!C:C,MATCH("5_Maximum",Maximum_RawData!$A:$A,0)+ROWS($2:76)-1))</f>
        <v>14.67</v>
      </c>
      <c r="D76">
        <f>IF(ROWS($2:76)&gt;COUNTIF(Maximum_RawData!$A:$A,"5_Maximum"),"",INDEX(Maximum_RawData!D:D,MATCH("5_Maximum",Maximum_RawData!$A:$A,0)+ROWS($2:76)-1))</f>
        <v>1309.3430000000001</v>
      </c>
      <c r="E76">
        <f>IF(ROWS($2:76)&gt;COUNTIF(Maximum_RawData!$A:$A,"5_Maximum"),"",INDEX(Maximum_RawData!E:E,MATCH("5_Maximum",Maximum_RawData!$A:$A,0)+ROWS($2:76)-1))</f>
        <v>9.93</v>
      </c>
      <c r="F76">
        <f>IF(ROWS($2:76)&gt;COUNTIF(Maximum_RawData!$A:$A,"5_Maximum"),"",INDEX(Maximum_RawData!F:F,MATCH("5_Maximum",Maximum_RawData!$A:$A,0)+ROWS($2:76)-1))</f>
        <v>399</v>
      </c>
      <c r="G76">
        <f>IF(ROWS($2:76)&gt;COUNTIF(Maximum_RawData!$A:$A,"5_Maximum"),"",INDEX(Maximum_RawData!G:G,MATCH("5_Maximum",Maximum_RawData!$A:$A,0)+ROWS($2:76)-1))</f>
        <v>399</v>
      </c>
      <c r="H76">
        <f>IF(ROWS($2:76)&gt;COUNTIF(Maximum_RawData!$A:$A,"5_Maximum"),"",INDEX(Maximum_RawData!H:H,MATCH("5_Maximum",Maximum_RawData!$A:$A,0)+ROWS($2:76)-1))</f>
        <v>399</v>
      </c>
      <c r="I76">
        <f>IF(ROWS($2:76)&gt;COUNTIF(Maximum_RawData!$A:$A,"5_Maximum"),"",INDEX(Maximum_RawData!I:I,MATCH("5_Maximum",Maximum_RawData!$A:$A,0)+ROWS($2:76)-1))</f>
        <v>399</v>
      </c>
      <c r="J76">
        <f>IF(ROWS($2:76)&gt;COUNTIF(Maximum_RawData!$A:$A,"5_Maximum"),"",INDEX(Maximum_RawData!J:J,MATCH("5_Maximum",Maximum_RawData!$A:$A,0)+ROWS($2:76)-1))</f>
        <v>399</v>
      </c>
      <c r="K76">
        <f>IF(ROWS($2:76)&gt;COUNTIF(Maximum_RawData!$A:$A,"5_Maximum"),"",INDEX(Maximum_RawData!K:K,MATCH("5_Maximum",Maximum_RawData!$A:$A,0)+ROWS($2:76)-1))</f>
        <v>399</v>
      </c>
      <c r="L76">
        <f>IF(ROWS($2:76)&gt;COUNTIF(Maximum_RawData!$A:$A,"5_Maximum"),"",INDEX(Maximum_RawData!L:L,MATCH("5_Maximum",Maximum_RawData!$A:$A,0)+ROWS($2:76)-1))</f>
        <v>399</v>
      </c>
      <c r="M76">
        <f>IF(ROWS($2:76)&gt;COUNTIF(Maximum_RawData!$A:$A,"5_Maximum"),"",INDEX(Maximum_RawData!M:M,MATCH("5_Maximum",Maximum_RawData!$A:$A,0)+ROWS($2:76)-1))</f>
        <v>399</v>
      </c>
      <c r="N76">
        <f>IF(ROWS($2:76)&gt;COUNTIF(Maximum_RawData!$A:$A,"5_Maximum"),"",INDEX(Maximum_RawData!N:N,MATCH("5_Maximum",Maximum_RawData!$A:$A,0)+ROWS($2:76)-1))</f>
        <v>0.1</v>
      </c>
      <c r="O76">
        <f>IF(ROWS($2:76)&gt;COUNTIF(Maximum_RawData!$A:$A,"5_Maximum"),"",INDEX(Maximum_RawData!O:O,MATCH("5_Maximum",Maximum_RawData!$A:$A,0)+ROWS($2:76)-1))</f>
        <v>0.11</v>
      </c>
      <c r="P76">
        <f>IF(ROWS($2:76)&gt;COUNTIF(Maximum_RawData!$A:$A,"5_Maximum"),"",INDEX(Maximum_RawData!P:P,MATCH("5_Maximum",Maximum_RawData!$A:$A,0)+ROWS($2:76)-1))</f>
        <v>0.08</v>
      </c>
      <c r="Q76">
        <f>IF(ROWS($2:76)&gt;COUNTIF(Maximum_RawData!$A:$A,"5_Maximum"),"",INDEX(Maximum_RawData!Q:Q,MATCH("5_Maximum",Maximum_RawData!$A:$A,0)+ROWS($2:76)-1))</f>
        <v>0.1</v>
      </c>
      <c r="R76" t="str">
        <f>IF(ROWS($2:76)&gt;COUNTIF(Maximum_RawData!$A:$A,"5_Maximum"),"",INDEX(Maximum_RawData!R:R,MATCH("5_Maximum",Maximum_RawData!$A:$A,0)+ROWS($2:76)-1))</f>
        <v>Pass</v>
      </c>
      <c r="S76">
        <f>IF(ROWS($2:76)&gt;COUNTIF(Maximum_RawData!$A:$A,"5_Maximum"),"",INDEX(Maximum_RawData!S:S,MATCH("5_Maximum",Maximum_RawData!$A:$A,0)+ROWS($2:76)-1))</f>
        <v>0</v>
      </c>
      <c r="T76">
        <f>IF(ROWS($2:76)&gt;COUNTIF(Maximum_RawData!$A:$A,"5_Maximum"),"",INDEX(Maximum_RawData!T:T,MATCH("5_Maximum",Maximum_RawData!$A:$A,0)+ROWS($2:76)-1))</f>
        <v>0</v>
      </c>
    </row>
    <row r="77" spans="1:20">
      <c r="A77" t="str">
        <f>IF(ROWS($2:77)&gt;COUNTIF(Maximum_RawData!$A:$A,"5_Maximum"),"",INDEX(Maximum_RawData!A:A,MATCH("5_Maximum",Maximum_RawData!$A:$A,0)+ROWS($2:77)-1))</f>
        <v>5_Maximum</v>
      </c>
      <c r="B77">
        <f>IF(ROWS($2:77)&gt;COUNTIF(Maximum_RawData!$A:$A,"5_Maximum"),"",INDEX(Maximum_RawData!B:B,MATCH("5_Maximum",Maximum_RawData!$A:$A,0)+ROWS($2:77)-1))</f>
        <v>150138.11799999999</v>
      </c>
      <c r="C77">
        <f>IF(ROWS($2:77)&gt;COUNTIF(Maximum_RawData!$A:$A,"5_Maximum"),"",INDEX(Maximum_RawData!C:C,MATCH("5_Maximum",Maximum_RawData!$A:$A,0)+ROWS($2:77)-1))</f>
        <v>13.9</v>
      </c>
      <c r="D77">
        <f>IF(ROWS($2:77)&gt;COUNTIF(Maximum_RawData!$A:$A,"5_Maximum"),"",INDEX(Maximum_RawData!D:D,MATCH("5_Maximum",Maximum_RawData!$A:$A,0)+ROWS($2:77)-1))</f>
        <v>1309.271</v>
      </c>
      <c r="E77">
        <f>IF(ROWS($2:77)&gt;COUNTIF(Maximum_RawData!$A:$A,"5_Maximum"),"",INDEX(Maximum_RawData!E:E,MATCH("5_Maximum",Maximum_RawData!$A:$A,0)+ROWS($2:77)-1))</f>
        <v>9.94</v>
      </c>
      <c r="F77">
        <f>IF(ROWS($2:77)&gt;COUNTIF(Maximum_RawData!$A:$A,"5_Maximum"),"",INDEX(Maximum_RawData!F:F,MATCH("5_Maximum",Maximum_RawData!$A:$A,0)+ROWS($2:77)-1))</f>
        <v>399</v>
      </c>
      <c r="G77">
        <f>IF(ROWS($2:77)&gt;COUNTIF(Maximum_RawData!$A:$A,"5_Maximum"),"",INDEX(Maximum_RawData!G:G,MATCH("5_Maximum",Maximum_RawData!$A:$A,0)+ROWS($2:77)-1))</f>
        <v>399</v>
      </c>
      <c r="H77">
        <f>IF(ROWS($2:77)&gt;COUNTIF(Maximum_RawData!$A:$A,"5_Maximum"),"",INDEX(Maximum_RawData!H:H,MATCH("5_Maximum",Maximum_RawData!$A:$A,0)+ROWS($2:77)-1))</f>
        <v>399</v>
      </c>
      <c r="I77">
        <f>IF(ROWS($2:77)&gt;COUNTIF(Maximum_RawData!$A:$A,"5_Maximum"),"",INDEX(Maximum_RawData!I:I,MATCH("5_Maximum",Maximum_RawData!$A:$A,0)+ROWS($2:77)-1))</f>
        <v>399</v>
      </c>
      <c r="J77">
        <f>IF(ROWS($2:77)&gt;COUNTIF(Maximum_RawData!$A:$A,"5_Maximum"),"",INDEX(Maximum_RawData!J:J,MATCH("5_Maximum",Maximum_RawData!$A:$A,0)+ROWS($2:77)-1))</f>
        <v>399</v>
      </c>
      <c r="K77">
        <f>IF(ROWS($2:77)&gt;COUNTIF(Maximum_RawData!$A:$A,"5_Maximum"),"",INDEX(Maximum_RawData!K:K,MATCH("5_Maximum",Maximum_RawData!$A:$A,0)+ROWS($2:77)-1))</f>
        <v>399</v>
      </c>
      <c r="L77">
        <f>IF(ROWS($2:77)&gt;COUNTIF(Maximum_RawData!$A:$A,"5_Maximum"),"",INDEX(Maximum_RawData!L:L,MATCH("5_Maximum",Maximum_RawData!$A:$A,0)+ROWS($2:77)-1))</f>
        <v>399</v>
      </c>
      <c r="M77">
        <f>IF(ROWS($2:77)&gt;COUNTIF(Maximum_RawData!$A:$A,"5_Maximum"),"",INDEX(Maximum_RawData!M:M,MATCH("5_Maximum",Maximum_RawData!$A:$A,0)+ROWS($2:77)-1))</f>
        <v>399</v>
      </c>
      <c r="N77">
        <f>IF(ROWS($2:77)&gt;COUNTIF(Maximum_RawData!$A:$A,"5_Maximum"),"",INDEX(Maximum_RawData!N:N,MATCH("5_Maximum",Maximum_RawData!$A:$A,0)+ROWS($2:77)-1))</f>
        <v>0.09</v>
      </c>
      <c r="O77">
        <f>IF(ROWS($2:77)&gt;COUNTIF(Maximum_RawData!$A:$A,"5_Maximum"),"",INDEX(Maximum_RawData!O:O,MATCH("5_Maximum",Maximum_RawData!$A:$A,0)+ROWS($2:77)-1))</f>
        <v>0.11</v>
      </c>
      <c r="P77">
        <f>IF(ROWS($2:77)&gt;COUNTIF(Maximum_RawData!$A:$A,"5_Maximum"),"",INDEX(Maximum_RawData!P:P,MATCH("5_Maximum",Maximum_RawData!$A:$A,0)+ROWS($2:77)-1))</f>
        <v>0.08</v>
      </c>
      <c r="Q77">
        <f>IF(ROWS($2:77)&gt;COUNTIF(Maximum_RawData!$A:$A,"5_Maximum"),"",INDEX(Maximum_RawData!Q:Q,MATCH("5_Maximum",Maximum_RawData!$A:$A,0)+ROWS($2:77)-1))</f>
        <v>0.1</v>
      </c>
      <c r="R77" t="str">
        <f>IF(ROWS($2:77)&gt;COUNTIF(Maximum_RawData!$A:$A,"5_Maximum"),"",INDEX(Maximum_RawData!R:R,MATCH("5_Maximum",Maximum_RawData!$A:$A,0)+ROWS($2:77)-1))</f>
        <v>Pass</v>
      </c>
      <c r="S77">
        <f>IF(ROWS($2:77)&gt;COUNTIF(Maximum_RawData!$A:$A,"5_Maximum"),"",INDEX(Maximum_RawData!S:S,MATCH("5_Maximum",Maximum_RawData!$A:$A,0)+ROWS($2:77)-1))</f>
        <v>0</v>
      </c>
      <c r="T77">
        <f>IF(ROWS($2:77)&gt;COUNTIF(Maximum_RawData!$A:$A,"5_Maximum"),"",INDEX(Maximum_RawData!T:T,MATCH("5_Maximum",Maximum_RawData!$A:$A,0)+ROWS($2:77)-1))</f>
        <v>0</v>
      </c>
    </row>
    <row r="78" spans="1:20">
      <c r="A78" t="str">
        <f>IF(ROWS($2:78)&gt;COUNTIF(Maximum_RawData!$A:$A,"5_Maximum"),"",INDEX(Maximum_RawData!A:A,MATCH("5_Maximum",Maximum_RawData!$A:$A,0)+ROWS($2:78)-1))</f>
        <v>5_Maximum</v>
      </c>
      <c r="B78">
        <f>IF(ROWS($2:78)&gt;COUNTIF(Maximum_RawData!$A:$A,"5_Maximum"),"",INDEX(Maximum_RawData!B:B,MATCH("5_Maximum",Maximum_RawData!$A:$A,0)+ROWS($2:78)-1))</f>
        <v>150143.12</v>
      </c>
      <c r="C78">
        <f>IF(ROWS($2:78)&gt;COUNTIF(Maximum_RawData!$A:$A,"5_Maximum"),"",INDEX(Maximum_RawData!C:C,MATCH("5_Maximum",Maximum_RawData!$A:$A,0)+ROWS($2:78)-1))</f>
        <v>13.17</v>
      </c>
      <c r="D78">
        <f>IF(ROWS($2:78)&gt;COUNTIF(Maximum_RawData!$A:$A,"5_Maximum"),"",INDEX(Maximum_RawData!D:D,MATCH("5_Maximum",Maximum_RawData!$A:$A,0)+ROWS($2:78)-1))</f>
        <v>1309.1990000000001</v>
      </c>
      <c r="E78">
        <f>IF(ROWS($2:78)&gt;COUNTIF(Maximum_RawData!$A:$A,"5_Maximum"),"",INDEX(Maximum_RawData!E:E,MATCH("5_Maximum",Maximum_RawData!$A:$A,0)+ROWS($2:78)-1))</f>
        <v>9.9499999999999993</v>
      </c>
      <c r="F78">
        <f>IF(ROWS($2:78)&gt;COUNTIF(Maximum_RawData!$A:$A,"5_Maximum"),"",INDEX(Maximum_RawData!F:F,MATCH("5_Maximum",Maximum_RawData!$A:$A,0)+ROWS($2:78)-1))</f>
        <v>399</v>
      </c>
      <c r="G78">
        <f>IF(ROWS($2:78)&gt;COUNTIF(Maximum_RawData!$A:$A,"5_Maximum"),"",INDEX(Maximum_RawData!G:G,MATCH("5_Maximum",Maximum_RawData!$A:$A,0)+ROWS($2:78)-1))</f>
        <v>399</v>
      </c>
      <c r="H78">
        <f>IF(ROWS($2:78)&gt;COUNTIF(Maximum_RawData!$A:$A,"5_Maximum"),"",INDEX(Maximum_RawData!H:H,MATCH("5_Maximum",Maximum_RawData!$A:$A,0)+ROWS($2:78)-1))</f>
        <v>399</v>
      </c>
      <c r="I78">
        <f>IF(ROWS($2:78)&gt;COUNTIF(Maximum_RawData!$A:$A,"5_Maximum"),"",INDEX(Maximum_RawData!I:I,MATCH("5_Maximum",Maximum_RawData!$A:$A,0)+ROWS($2:78)-1))</f>
        <v>399</v>
      </c>
      <c r="J78">
        <f>IF(ROWS($2:78)&gt;COUNTIF(Maximum_RawData!$A:$A,"5_Maximum"),"",INDEX(Maximum_RawData!J:J,MATCH("5_Maximum",Maximum_RawData!$A:$A,0)+ROWS($2:78)-1))</f>
        <v>399</v>
      </c>
      <c r="K78">
        <f>IF(ROWS($2:78)&gt;COUNTIF(Maximum_RawData!$A:$A,"5_Maximum"),"",INDEX(Maximum_RawData!K:K,MATCH("5_Maximum",Maximum_RawData!$A:$A,0)+ROWS($2:78)-1))</f>
        <v>399</v>
      </c>
      <c r="L78">
        <f>IF(ROWS($2:78)&gt;COUNTIF(Maximum_RawData!$A:$A,"5_Maximum"),"",INDEX(Maximum_RawData!L:L,MATCH("5_Maximum",Maximum_RawData!$A:$A,0)+ROWS($2:78)-1))</f>
        <v>399</v>
      </c>
      <c r="M78">
        <f>IF(ROWS($2:78)&gt;COUNTIF(Maximum_RawData!$A:$A,"5_Maximum"),"",INDEX(Maximum_RawData!M:M,MATCH("5_Maximum",Maximum_RawData!$A:$A,0)+ROWS($2:78)-1))</f>
        <v>399</v>
      </c>
      <c r="N78">
        <f>IF(ROWS($2:78)&gt;COUNTIF(Maximum_RawData!$A:$A,"5_Maximum"),"",INDEX(Maximum_RawData!N:N,MATCH("5_Maximum",Maximum_RawData!$A:$A,0)+ROWS($2:78)-1))</f>
        <v>0.1</v>
      </c>
      <c r="O78">
        <f>IF(ROWS($2:78)&gt;COUNTIF(Maximum_RawData!$A:$A,"5_Maximum"),"",INDEX(Maximum_RawData!O:O,MATCH("5_Maximum",Maximum_RawData!$A:$A,0)+ROWS($2:78)-1))</f>
        <v>0.11</v>
      </c>
      <c r="P78">
        <f>IF(ROWS($2:78)&gt;COUNTIF(Maximum_RawData!$A:$A,"5_Maximum"),"",INDEX(Maximum_RawData!P:P,MATCH("5_Maximum",Maximum_RawData!$A:$A,0)+ROWS($2:78)-1))</f>
        <v>0.08</v>
      </c>
      <c r="Q78">
        <f>IF(ROWS($2:78)&gt;COUNTIF(Maximum_RawData!$A:$A,"5_Maximum"),"",INDEX(Maximum_RawData!Q:Q,MATCH("5_Maximum",Maximum_RawData!$A:$A,0)+ROWS($2:78)-1))</f>
        <v>0.1</v>
      </c>
      <c r="R78" t="str">
        <f>IF(ROWS($2:78)&gt;COUNTIF(Maximum_RawData!$A:$A,"5_Maximum"),"",INDEX(Maximum_RawData!R:R,MATCH("5_Maximum",Maximum_RawData!$A:$A,0)+ROWS($2:78)-1))</f>
        <v>Pass</v>
      </c>
      <c r="S78">
        <f>IF(ROWS($2:78)&gt;COUNTIF(Maximum_RawData!$A:$A,"5_Maximum"),"",INDEX(Maximum_RawData!S:S,MATCH("5_Maximum",Maximum_RawData!$A:$A,0)+ROWS($2:78)-1))</f>
        <v>0</v>
      </c>
      <c r="T78">
        <f>IF(ROWS($2:78)&gt;COUNTIF(Maximum_RawData!$A:$A,"5_Maximum"),"",INDEX(Maximum_RawData!T:T,MATCH("5_Maximum",Maximum_RawData!$A:$A,0)+ROWS($2:78)-1))</f>
        <v>0</v>
      </c>
    </row>
    <row r="79" spans="1:20">
      <c r="A79" t="str">
        <f>IF(ROWS($2:79)&gt;COUNTIF(Maximum_RawData!$A:$A,"5_Maximum"),"",INDEX(Maximum_RawData!A:A,MATCH("5_Maximum",Maximum_RawData!$A:$A,0)+ROWS($2:79)-1))</f>
        <v>5_Maximum</v>
      </c>
      <c r="B79">
        <f>IF(ROWS($2:79)&gt;COUNTIF(Maximum_RawData!$A:$A,"5_Maximum"),"",INDEX(Maximum_RawData!B:B,MATCH("5_Maximum",Maximum_RawData!$A:$A,0)+ROWS($2:79)-1))</f>
        <v>150148.125</v>
      </c>
      <c r="C79">
        <f>IF(ROWS($2:79)&gt;COUNTIF(Maximum_RawData!$A:$A,"5_Maximum"),"",INDEX(Maximum_RawData!C:C,MATCH("5_Maximum",Maximum_RawData!$A:$A,0)+ROWS($2:79)-1))</f>
        <v>12.41</v>
      </c>
      <c r="D79">
        <f>IF(ROWS($2:79)&gt;COUNTIF(Maximum_RawData!$A:$A,"5_Maximum"),"",INDEX(Maximum_RawData!D:D,MATCH("5_Maximum",Maximum_RawData!$A:$A,0)+ROWS($2:79)-1))</f>
        <v>1309.135</v>
      </c>
      <c r="E79">
        <f>IF(ROWS($2:79)&gt;COUNTIF(Maximum_RawData!$A:$A,"5_Maximum"),"",INDEX(Maximum_RawData!E:E,MATCH("5_Maximum",Maximum_RawData!$A:$A,0)+ROWS($2:79)-1))</f>
        <v>9.86</v>
      </c>
      <c r="F79">
        <f>IF(ROWS($2:79)&gt;COUNTIF(Maximum_RawData!$A:$A,"5_Maximum"),"",INDEX(Maximum_RawData!F:F,MATCH("5_Maximum",Maximum_RawData!$A:$A,0)+ROWS($2:79)-1))</f>
        <v>399</v>
      </c>
      <c r="G79">
        <f>IF(ROWS($2:79)&gt;COUNTIF(Maximum_RawData!$A:$A,"5_Maximum"),"",INDEX(Maximum_RawData!G:G,MATCH("5_Maximum",Maximum_RawData!$A:$A,0)+ROWS($2:79)-1))</f>
        <v>399</v>
      </c>
      <c r="H79">
        <f>IF(ROWS($2:79)&gt;COUNTIF(Maximum_RawData!$A:$A,"5_Maximum"),"",INDEX(Maximum_RawData!H:H,MATCH("5_Maximum",Maximum_RawData!$A:$A,0)+ROWS($2:79)-1))</f>
        <v>399</v>
      </c>
      <c r="I79">
        <f>IF(ROWS($2:79)&gt;COUNTIF(Maximum_RawData!$A:$A,"5_Maximum"),"",INDEX(Maximum_RawData!I:I,MATCH("5_Maximum",Maximum_RawData!$A:$A,0)+ROWS($2:79)-1))</f>
        <v>399</v>
      </c>
      <c r="J79">
        <f>IF(ROWS($2:79)&gt;COUNTIF(Maximum_RawData!$A:$A,"5_Maximum"),"",INDEX(Maximum_RawData!J:J,MATCH("5_Maximum",Maximum_RawData!$A:$A,0)+ROWS($2:79)-1))</f>
        <v>399</v>
      </c>
      <c r="K79">
        <f>IF(ROWS($2:79)&gt;COUNTIF(Maximum_RawData!$A:$A,"5_Maximum"),"",INDEX(Maximum_RawData!K:K,MATCH("5_Maximum",Maximum_RawData!$A:$A,0)+ROWS($2:79)-1))</f>
        <v>399</v>
      </c>
      <c r="L79">
        <f>IF(ROWS($2:79)&gt;COUNTIF(Maximum_RawData!$A:$A,"5_Maximum"),"",INDEX(Maximum_RawData!L:L,MATCH("5_Maximum",Maximum_RawData!$A:$A,0)+ROWS($2:79)-1))</f>
        <v>399</v>
      </c>
      <c r="M79">
        <f>IF(ROWS($2:79)&gt;COUNTIF(Maximum_RawData!$A:$A,"5_Maximum"),"",INDEX(Maximum_RawData!M:M,MATCH("5_Maximum",Maximum_RawData!$A:$A,0)+ROWS($2:79)-1))</f>
        <v>399</v>
      </c>
      <c r="N79">
        <f>IF(ROWS($2:79)&gt;COUNTIF(Maximum_RawData!$A:$A,"5_Maximum"),"",INDEX(Maximum_RawData!N:N,MATCH("5_Maximum",Maximum_RawData!$A:$A,0)+ROWS($2:79)-1))</f>
        <v>0.08</v>
      </c>
      <c r="O79">
        <f>IF(ROWS($2:79)&gt;COUNTIF(Maximum_RawData!$A:$A,"5_Maximum"),"",INDEX(Maximum_RawData!O:O,MATCH("5_Maximum",Maximum_RawData!$A:$A,0)+ROWS($2:79)-1))</f>
        <v>0.11</v>
      </c>
      <c r="P79">
        <f>IF(ROWS($2:79)&gt;COUNTIF(Maximum_RawData!$A:$A,"5_Maximum"),"",INDEX(Maximum_RawData!P:P,MATCH("5_Maximum",Maximum_RawData!$A:$A,0)+ROWS($2:79)-1))</f>
        <v>0.08</v>
      </c>
      <c r="Q79">
        <f>IF(ROWS($2:79)&gt;COUNTIF(Maximum_RawData!$A:$A,"5_Maximum"),"",INDEX(Maximum_RawData!Q:Q,MATCH("5_Maximum",Maximum_RawData!$A:$A,0)+ROWS($2:79)-1))</f>
        <v>0.1</v>
      </c>
      <c r="R79" t="str">
        <f>IF(ROWS($2:79)&gt;COUNTIF(Maximum_RawData!$A:$A,"5_Maximum"),"",INDEX(Maximum_RawData!R:R,MATCH("5_Maximum",Maximum_RawData!$A:$A,0)+ROWS($2:79)-1))</f>
        <v>Pass</v>
      </c>
      <c r="S79">
        <f>IF(ROWS($2:79)&gt;COUNTIF(Maximum_RawData!$A:$A,"5_Maximum"),"",INDEX(Maximum_RawData!S:S,MATCH("5_Maximum",Maximum_RawData!$A:$A,0)+ROWS($2:79)-1))</f>
        <v>0</v>
      </c>
      <c r="T79">
        <f>IF(ROWS($2:79)&gt;COUNTIF(Maximum_RawData!$A:$A,"5_Maximum"),"",INDEX(Maximum_RawData!T:T,MATCH("5_Maximum",Maximum_RawData!$A:$A,0)+ROWS($2:79)-1))</f>
        <v>0</v>
      </c>
    </row>
    <row r="80" spans="1:20">
      <c r="A80" t="str">
        <f>IF(ROWS($2:80)&gt;COUNTIF(Maximum_RawData!$A:$A,"5_Maximum"),"",INDEX(Maximum_RawData!A:A,MATCH("5_Maximum",Maximum_RawData!$A:$A,0)+ROWS($2:80)-1))</f>
        <v>5_Maximum</v>
      </c>
      <c r="B80">
        <f>IF(ROWS($2:80)&gt;COUNTIF(Maximum_RawData!$A:$A,"5_Maximum"),"",INDEX(Maximum_RawData!B:B,MATCH("5_Maximum",Maximum_RawData!$A:$A,0)+ROWS($2:80)-1))</f>
        <v>150153.122</v>
      </c>
      <c r="C80">
        <f>IF(ROWS($2:80)&gt;COUNTIF(Maximum_RawData!$A:$A,"5_Maximum"),"",INDEX(Maximum_RawData!C:C,MATCH("5_Maximum",Maximum_RawData!$A:$A,0)+ROWS($2:80)-1))</f>
        <v>11.69</v>
      </c>
      <c r="D80">
        <f>IF(ROWS($2:80)&gt;COUNTIF(Maximum_RawData!$A:$A,"5_Maximum"),"",INDEX(Maximum_RawData!D:D,MATCH("5_Maximum",Maximum_RawData!$A:$A,0)+ROWS($2:80)-1))</f>
        <v>1309.0650000000001</v>
      </c>
      <c r="E80">
        <f>IF(ROWS($2:80)&gt;COUNTIF(Maximum_RawData!$A:$A,"5_Maximum"),"",INDEX(Maximum_RawData!E:E,MATCH("5_Maximum",Maximum_RawData!$A:$A,0)+ROWS($2:80)-1))</f>
        <v>9.8800000000000008</v>
      </c>
      <c r="F80">
        <f>IF(ROWS($2:80)&gt;COUNTIF(Maximum_RawData!$A:$A,"5_Maximum"),"",INDEX(Maximum_RawData!F:F,MATCH("5_Maximum",Maximum_RawData!$A:$A,0)+ROWS($2:80)-1))</f>
        <v>399</v>
      </c>
      <c r="G80">
        <f>IF(ROWS($2:80)&gt;COUNTIF(Maximum_RawData!$A:$A,"5_Maximum"),"",INDEX(Maximum_RawData!G:G,MATCH("5_Maximum",Maximum_RawData!$A:$A,0)+ROWS($2:80)-1))</f>
        <v>399</v>
      </c>
      <c r="H80">
        <f>IF(ROWS($2:80)&gt;COUNTIF(Maximum_RawData!$A:$A,"5_Maximum"),"",INDEX(Maximum_RawData!H:H,MATCH("5_Maximum",Maximum_RawData!$A:$A,0)+ROWS($2:80)-1))</f>
        <v>399</v>
      </c>
      <c r="I80">
        <f>IF(ROWS($2:80)&gt;COUNTIF(Maximum_RawData!$A:$A,"5_Maximum"),"",INDEX(Maximum_RawData!I:I,MATCH("5_Maximum",Maximum_RawData!$A:$A,0)+ROWS($2:80)-1))</f>
        <v>399</v>
      </c>
      <c r="J80">
        <f>IF(ROWS($2:80)&gt;COUNTIF(Maximum_RawData!$A:$A,"5_Maximum"),"",INDEX(Maximum_RawData!J:J,MATCH("5_Maximum",Maximum_RawData!$A:$A,0)+ROWS($2:80)-1))</f>
        <v>399</v>
      </c>
      <c r="K80">
        <f>IF(ROWS($2:80)&gt;COUNTIF(Maximum_RawData!$A:$A,"5_Maximum"),"",INDEX(Maximum_RawData!K:K,MATCH("5_Maximum",Maximum_RawData!$A:$A,0)+ROWS($2:80)-1))</f>
        <v>399</v>
      </c>
      <c r="L80">
        <f>IF(ROWS($2:80)&gt;COUNTIF(Maximum_RawData!$A:$A,"5_Maximum"),"",INDEX(Maximum_RawData!L:L,MATCH("5_Maximum",Maximum_RawData!$A:$A,0)+ROWS($2:80)-1))</f>
        <v>399</v>
      </c>
      <c r="M80">
        <f>IF(ROWS($2:80)&gt;COUNTIF(Maximum_RawData!$A:$A,"5_Maximum"),"",INDEX(Maximum_RawData!M:M,MATCH("5_Maximum",Maximum_RawData!$A:$A,0)+ROWS($2:80)-1))</f>
        <v>399</v>
      </c>
      <c r="N80">
        <f>IF(ROWS($2:80)&gt;COUNTIF(Maximum_RawData!$A:$A,"5_Maximum"),"",INDEX(Maximum_RawData!N:N,MATCH("5_Maximum",Maximum_RawData!$A:$A,0)+ROWS($2:80)-1))</f>
        <v>0.1</v>
      </c>
      <c r="O80">
        <f>IF(ROWS($2:80)&gt;COUNTIF(Maximum_RawData!$A:$A,"5_Maximum"),"",INDEX(Maximum_RawData!O:O,MATCH("5_Maximum",Maximum_RawData!$A:$A,0)+ROWS($2:80)-1))</f>
        <v>0.11</v>
      </c>
      <c r="P80">
        <f>IF(ROWS($2:80)&gt;COUNTIF(Maximum_RawData!$A:$A,"5_Maximum"),"",INDEX(Maximum_RawData!P:P,MATCH("5_Maximum",Maximum_RawData!$A:$A,0)+ROWS($2:80)-1))</f>
        <v>0.08</v>
      </c>
      <c r="Q80">
        <f>IF(ROWS($2:80)&gt;COUNTIF(Maximum_RawData!$A:$A,"5_Maximum"),"",INDEX(Maximum_RawData!Q:Q,MATCH("5_Maximum",Maximum_RawData!$A:$A,0)+ROWS($2:80)-1))</f>
        <v>0.1</v>
      </c>
      <c r="R80" t="str">
        <f>IF(ROWS($2:80)&gt;COUNTIF(Maximum_RawData!$A:$A,"5_Maximum"),"",INDEX(Maximum_RawData!R:R,MATCH("5_Maximum",Maximum_RawData!$A:$A,0)+ROWS($2:80)-1))</f>
        <v>Pass</v>
      </c>
      <c r="S80">
        <f>IF(ROWS($2:80)&gt;COUNTIF(Maximum_RawData!$A:$A,"5_Maximum"),"",INDEX(Maximum_RawData!S:S,MATCH("5_Maximum",Maximum_RawData!$A:$A,0)+ROWS($2:80)-1))</f>
        <v>0</v>
      </c>
      <c r="T80">
        <f>IF(ROWS($2:80)&gt;COUNTIF(Maximum_RawData!$A:$A,"5_Maximum"),"",INDEX(Maximum_RawData!T:T,MATCH("5_Maximum",Maximum_RawData!$A:$A,0)+ROWS($2:80)-1))</f>
        <v>0</v>
      </c>
    </row>
    <row r="81" spans="1:20">
      <c r="A81" t="str">
        <f>IF(ROWS($2:81)&gt;COUNTIF(Maximum_RawData!$A:$A,"5_Maximum"),"",INDEX(Maximum_RawData!A:A,MATCH("5_Maximum",Maximum_RawData!$A:$A,0)+ROWS($2:81)-1))</f>
        <v>5_Maximum</v>
      </c>
      <c r="B81">
        <f>IF(ROWS($2:81)&gt;COUNTIF(Maximum_RawData!$A:$A,"5_Maximum"),"",INDEX(Maximum_RawData!B:B,MATCH("5_Maximum",Maximum_RawData!$A:$A,0)+ROWS($2:81)-1))</f>
        <v>150158.12</v>
      </c>
      <c r="C81">
        <f>IF(ROWS($2:81)&gt;COUNTIF(Maximum_RawData!$A:$A,"5_Maximum"),"",INDEX(Maximum_RawData!C:C,MATCH("5_Maximum",Maximum_RawData!$A:$A,0)+ROWS($2:81)-1))</f>
        <v>10.94</v>
      </c>
      <c r="D81">
        <f>IF(ROWS($2:81)&gt;COUNTIF(Maximum_RawData!$A:$A,"5_Maximum"),"",INDEX(Maximum_RawData!D:D,MATCH("5_Maximum",Maximum_RawData!$A:$A,0)+ROWS($2:81)-1))</f>
        <v>1308.9949999999999</v>
      </c>
      <c r="E81">
        <f>IF(ROWS($2:81)&gt;COUNTIF(Maximum_RawData!$A:$A,"5_Maximum"),"",INDEX(Maximum_RawData!E:E,MATCH("5_Maximum",Maximum_RawData!$A:$A,0)+ROWS($2:81)-1))</f>
        <v>9.83</v>
      </c>
      <c r="F81">
        <f>IF(ROWS($2:81)&gt;COUNTIF(Maximum_RawData!$A:$A,"5_Maximum"),"",INDEX(Maximum_RawData!F:F,MATCH("5_Maximum",Maximum_RawData!$A:$A,0)+ROWS($2:81)-1))</f>
        <v>399</v>
      </c>
      <c r="G81">
        <f>IF(ROWS($2:81)&gt;COUNTIF(Maximum_RawData!$A:$A,"5_Maximum"),"",INDEX(Maximum_RawData!G:G,MATCH("5_Maximum",Maximum_RawData!$A:$A,0)+ROWS($2:81)-1))</f>
        <v>399</v>
      </c>
      <c r="H81">
        <f>IF(ROWS($2:81)&gt;COUNTIF(Maximum_RawData!$A:$A,"5_Maximum"),"",INDEX(Maximum_RawData!H:H,MATCH("5_Maximum",Maximum_RawData!$A:$A,0)+ROWS($2:81)-1))</f>
        <v>399</v>
      </c>
      <c r="I81">
        <f>IF(ROWS($2:81)&gt;COUNTIF(Maximum_RawData!$A:$A,"5_Maximum"),"",INDEX(Maximum_RawData!I:I,MATCH("5_Maximum",Maximum_RawData!$A:$A,0)+ROWS($2:81)-1))</f>
        <v>399</v>
      </c>
      <c r="J81">
        <f>IF(ROWS($2:81)&gt;COUNTIF(Maximum_RawData!$A:$A,"5_Maximum"),"",INDEX(Maximum_RawData!J:J,MATCH("5_Maximum",Maximum_RawData!$A:$A,0)+ROWS($2:81)-1))</f>
        <v>399</v>
      </c>
      <c r="K81">
        <f>IF(ROWS($2:81)&gt;COUNTIF(Maximum_RawData!$A:$A,"5_Maximum"),"",INDEX(Maximum_RawData!K:K,MATCH("5_Maximum",Maximum_RawData!$A:$A,0)+ROWS($2:81)-1))</f>
        <v>399</v>
      </c>
      <c r="L81">
        <f>IF(ROWS($2:81)&gt;COUNTIF(Maximum_RawData!$A:$A,"5_Maximum"),"",INDEX(Maximum_RawData!L:L,MATCH("5_Maximum",Maximum_RawData!$A:$A,0)+ROWS($2:81)-1))</f>
        <v>399</v>
      </c>
      <c r="M81">
        <f>IF(ROWS($2:81)&gt;COUNTIF(Maximum_RawData!$A:$A,"5_Maximum"),"",INDEX(Maximum_RawData!M:M,MATCH("5_Maximum",Maximum_RawData!$A:$A,0)+ROWS($2:81)-1))</f>
        <v>399</v>
      </c>
      <c r="N81">
        <f>IF(ROWS($2:81)&gt;COUNTIF(Maximum_RawData!$A:$A,"5_Maximum"),"",INDEX(Maximum_RawData!N:N,MATCH("5_Maximum",Maximum_RawData!$A:$A,0)+ROWS($2:81)-1))</f>
        <v>0.09</v>
      </c>
      <c r="O81">
        <f>IF(ROWS($2:81)&gt;COUNTIF(Maximum_RawData!$A:$A,"5_Maximum"),"",INDEX(Maximum_RawData!O:O,MATCH("5_Maximum",Maximum_RawData!$A:$A,0)+ROWS($2:81)-1))</f>
        <v>0.11</v>
      </c>
      <c r="P81">
        <f>IF(ROWS($2:81)&gt;COUNTIF(Maximum_RawData!$A:$A,"5_Maximum"),"",INDEX(Maximum_RawData!P:P,MATCH("5_Maximum",Maximum_RawData!$A:$A,0)+ROWS($2:81)-1))</f>
        <v>0.08</v>
      </c>
      <c r="Q81">
        <f>IF(ROWS($2:81)&gt;COUNTIF(Maximum_RawData!$A:$A,"5_Maximum"),"",INDEX(Maximum_RawData!Q:Q,MATCH("5_Maximum",Maximum_RawData!$A:$A,0)+ROWS($2:81)-1))</f>
        <v>0.1</v>
      </c>
      <c r="R81" t="str">
        <f>IF(ROWS($2:81)&gt;COUNTIF(Maximum_RawData!$A:$A,"5_Maximum"),"",INDEX(Maximum_RawData!R:R,MATCH("5_Maximum",Maximum_RawData!$A:$A,0)+ROWS($2:81)-1))</f>
        <v>Pass</v>
      </c>
      <c r="S81">
        <f>IF(ROWS($2:81)&gt;COUNTIF(Maximum_RawData!$A:$A,"5_Maximum"),"",INDEX(Maximum_RawData!S:S,MATCH("5_Maximum",Maximum_RawData!$A:$A,0)+ROWS($2:81)-1))</f>
        <v>0</v>
      </c>
      <c r="T81">
        <f>IF(ROWS($2:81)&gt;COUNTIF(Maximum_RawData!$A:$A,"5_Maximum"),"",INDEX(Maximum_RawData!T:T,MATCH("5_Maximum",Maximum_RawData!$A:$A,0)+ROWS($2:81)-1))</f>
        <v>0</v>
      </c>
    </row>
    <row r="82" spans="1:20">
      <c r="A82" t="str">
        <f>IF(ROWS($2:82)&gt;COUNTIF(Maximum_RawData!$A:$A,"5_Maximum"),"",INDEX(Maximum_RawData!A:A,MATCH("5_Maximum",Maximum_RawData!$A:$A,0)+ROWS($2:82)-1))</f>
        <v>5_Maximum</v>
      </c>
      <c r="B82">
        <f>IF(ROWS($2:82)&gt;COUNTIF(Maximum_RawData!$A:$A,"5_Maximum"),"",INDEX(Maximum_RawData!B:B,MATCH("5_Maximum",Maximum_RawData!$A:$A,0)+ROWS($2:82)-1))</f>
        <v>150203.122</v>
      </c>
      <c r="C82">
        <f>IF(ROWS($2:82)&gt;COUNTIF(Maximum_RawData!$A:$A,"5_Maximum"),"",INDEX(Maximum_RawData!C:C,MATCH("5_Maximum",Maximum_RawData!$A:$A,0)+ROWS($2:82)-1))</f>
        <v>10.210000000000001</v>
      </c>
      <c r="D82">
        <f>IF(ROWS($2:82)&gt;COUNTIF(Maximum_RawData!$A:$A,"5_Maximum"),"",INDEX(Maximum_RawData!D:D,MATCH("5_Maximum",Maximum_RawData!$A:$A,0)+ROWS($2:82)-1))</f>
        <v>1308.924</v>
      </c>
      <c r="E82">
        <f>IF(ROWS($2:82)&gt;COUNTIF(Maximum_RawData!$A:$A,"5_Maximum"),"",INDEX(Maximum_RawData!E:E,MATCH("5_Maximum",Maximum_RawData!$A:$A,0)+ROWS($2:82)-1))</f>
        <v>9.86</v>
      </c>
      <c r="F82">
        <f>IF(ROWS($2:82)&gt;COUNTIF(Maximum_RawData!$A:$A,"5_Maximum"),"",INDEX(Maximum_RawData!F:F,MATCH("5_Maximum",Maximum_RawData!$A:$A,0)+ROWS($2:82)-1))</f>
        <v>399</v>
      </c>
      <c r="G82">
        <f>IF(ROWS($2:82)&gt;COUNTIF(Maximum_RawData!$A:$A,"5_Maximum"),"",INDEX(Maximum_RawData!G:G,MATCH("5_Maximum",Maximum_RawData!$A:$A,0)+ROWS($2:82)-1))</f>
        <v>399</v>
      </c>
      <c r="H82">
        <f>IF(ROWS($2:82)&gt;COUNTIF(Maximum_RawData!$A:$A,"5_Maximum"),"",INDEX(Maximum_RawData!H:H,MATCH("5_Maximum",Maximum_RawData!$A:$A,0)+ROWS($2:82)-1))</f>
        <v>399</v>
      </c>
      <c r="I82">
        <f>IF(ROWS($2:82)&gt;COUNTIF(Maximum_RawData!$A:$A,"5_Maximum"),"",INDEX(Maximum_RawData!I:I,MATCH("5_Maximum",Maximum_RawData!$A:$A,0)+ROWS($2:82)-1))</f>
        <v>399</v>
      </c>
      <c r="J82">
        <f>IF(ROWS($2:82)&gt;COUNTIF(Maximum_RawData!$A:$A,"5_Maximum"),"",INDEX(Maximum_RawData!J:J,MATCH("5_Maximum",Maximum_RawData!$A:$A,0)+ROWS($2:82)-1))</f>
        <v>399</v>
      </c>
      <c r="K82">
        <f>IF(ROWS($2:82)&gt;COUNTIF(Maximum_RawData!$A:$A,"5_Maximum"),"",INDEX(Maximum_RawData!K:K,MATCH("5_Maximum",Maximum_RawData!$A:$A,0)+ROWS($2:82)-1))</f>
        <v>399</v>
      </c>
      <c r="L82">
        <f>IF(ROWS($2:82)&gt;COUNTIF(Maximum_RawData!$A:$A,"5_Maximum"),"",INDEX(Maximum_RawData!L:L,MATCH("5_Maximum",Maximum_RawData!$A:$A,0)+ROWS($2:82)-1))</f>
        <v>399</v>
      </c>
      <c r="M82">
        <f>IF(ROWS($2:82)&gt;COUNTIF(Maximum_RawData!$A:$A,"5_Maximum"),"",INDEX(Maximum_RawData!M:M,MATCH("5_Maximum",Maximum_RawData!$A:$A,0)+ROWS($2:82)-1))</f>
        <v>399</v>
      </c>
      <c r="N82">
        <f>IF(ROWS($2:82)&gt;COUNTIF(Maximum_RawData!$A:$A,"5_Maximum"),"",INDEX(Maximum_RawData!N:N,MATCH("5_Maximum",Maximum_RawData!$A:$A,0)+ROWS($2:82)-1))</f>
        <v>0.1</v>
      </c>
      <c r="O82">
        <f>IF(ROWS($2:82)&gt;COUNTIF(Maximum_RawData!$A:$A,"5_Maximum"),"",INDEX(Maximum_RawData!O:O,MATCH("5_Maximum",Maximum_RawData!$A:$A,0)+ROWS($2:82)-1))</f>
        <v>0.11</v>
      </c>
      <c r="P82">
        <f>IF(ROWS($2:82)&gt;COUNTIF(Maximum_RawData!$A:$A,"5_Maximum"),"",INDEX(Maximum_RawData!P:P,MATCH("5_Maximum",Maximum_RawData!$A:$A,0)+ROWS($2:82)-1))</f>
        <v>0.08</v>
      </c>
      <c r="Q82">
        <f>IF(ROWS($2:82)&gt;COUNTIF(Maximum_RawData!$A:$A,"5_Maximum"),"",INDEX(Maximum_RawData!Q:Q,MATCH("5_Maximum",Maximum_RawData!$A:$A,0)+ROWS($2:82)-1))</f>
        <v>0.1</v>
      </c>
      <c r="R82" t="str">
        <f>IF(ROWS($2:82)&gt;COUNTIF(Maximum_RawData!$A:$A,"5_Maximum"),"",INDEX(Maximum_RawData!R:R,MATCH("5_Maximum",Maximum_RawData!$A:$A,0)+ROWS($2:82)-1))</f>
        <v>Pass</v>
      </c>
      <c r="S82">
        <f>IF(ROWS($2:82)&gt;COUNTIF(Maximum_RawData!$A:$A,"5_Maximum"),"",INDEX(Maximum_RawData!S:S,MATCH("5_Maximum",Maximum_RawData!$A:$A,0)+ROWS($2:82)-1))</f>
        <v>0</v>
      </c>
      <c r="T82">
        <f>IF(ROWS($2:82)&gt;COUNTIF(Maximum_RawData!$A:$A,"5_Maximum"),"",INDEX(Maximum_RawData!T:T,MATCH("5_Maximum",Maximum_RawData!$A:$A,0)+ROWS($2:82)-1))</f>
        <v>0</v>
      </c>
    </row>
    <row r="83" spans="1:20">
      <c r="A83" t="str">
        <f>IF(ROWS($2:83)&gt;COUNTIF(Maximum_RawData!$A:$A,"5_Maximum"),"",INDEX(Maximum_RawData!A:A,MATCH("5_Maximum",Maximum_RawData!$A:$A,0)+ROWS($2:83)-1))</f>
        <v>5_Maximum</v>
      </c>
      <c r="B83">
        <f>IF(ROWS($2:83)&gt;COUNTIF(Maximum_RawData!$A:$A,"5_Maximum"),"",INDEX(Maximum_RawData!B:B,MATCH("5_Maximum",Maximum_RawData!$A:$A,0)+ROWS($2:83)-1))</f>
        <v>150208.12400000001</v>
      </c>
      <c r="C83">
        <f>IF(ROWS($2:83)&gt;COUNTIF(Maximum_RawData!$A:$A,"5_Maximum"),"",INDEX(Maximum_RawData!C:C,MATCH("5_Maximum",Maximum_RawData!$A:$A,0)+ROWS($2:83)-1))</f>
        <v>9.4499999999999993</v>
      </c>
      <c r="D83">
        <f>IF(ROWS($2:83)&gt;COUNTIF(Maximum_RawData!$A:$A,"5_Maximum"),"",INDEX(Maximum_RawData!D:D,MATCH("5_Maximum",Maximum_RawData!$A:$A,0)+ROWS($2:83)-1))</f>
        <v>1308.854</v>
      </c>
      <c r="E83">
        <f>IF(ROWS($2:83)&gt;COUNTIF(Maximum_RawData!$A:$A,"5_Maximum"),"",INDEX(Maximum_RawData!E:E,MATCH("5_Maximum",Maximum_RawData!$A:$A,0)+ROWS($2:83)-1))</f>
        <v>9.7899999999999991</v>
      </c>
      <c r="F83">
        <f>IF(ROWS($2:83)&gt;COUNTIF(Maximum_RawData!$A:$A,"5_Maximum"),"",INDEX(Maximum_RawData!F:F,MATCH("5_Maximum",Maximum_RawData!$A:$A,0)+ROWS($2:83)-1))</f>
        <v>399</v>
      </c>
      <c r="G83">
        <f>IF(ROWS($2:83)&gt;COUNTIF(Maximum_RawData!$A:$A,"5_Maximum"),"",INDEX(Maximum_RawData!G:G,MATCH("5_Maximum",Maximum_RawData!$A:$A,0)+ROWS($2:83)-1))</f>
        <v>399</v>
      </c>
      <c r="H83">
        <f>IF(ROWS($2:83)&gt;COUNTIF(Maximum_RawData!$A:$A,"5_Maximum"),"",INDEX(Maximum_RawData!H:H,MATCH("5_Maximum",Maximum_RawData!$A:$A,0)+ROWS($2:83)-1))</f>
        <v>399</v>
      </c>
      <c r="I83">
        <f>IF(ROWS($2:83)&gt;COUNTIF(Maximum_RawData!$A:$A,"5_Maximum"),"",INDEX(Maximum_RawData!I:I,MATCH("5_Maximum",Maximum_RawData!$A:$A,0)+ROWS($2:83)-1))</f>
        <v>399</v>
      </c>
      <c r="J83">
        <f>IF(ROWS($2:83)&gt;COUNTIF(Maximum_RawData!$A:$A,"5_Maximum"),"",INDEX(Maximum_RawData!J:J,MATCH("5_Maximum",Maximum_RawData!$A:$A,0)+ROWS($2:83)-1))</f>
        <v>399</v>
      </c>
      <c r="K83">
        <f>IF(ROWS($2:83)&gt;COUNTIF(Maximum_RawData!$A:$A,"5_Maximum"),"",INDEX(Maximum_RawData!K:K,MATCH("5_Maximum",Maximum_RawData!$A:$A,0)+ROWS($2:83)-1))</f>
        <v>399</v>
      </c>
      <c r="L83">
        <f>IF(ROWS($2:83)&gt;COUNTIF(Maximum_RawData!$A:$A,"5_Maximum"),"",INDEX(Maximum_RawData!L:L,MATCH("5_Maximum",Maximum_RawData!$A:$A,0)+ROWS($2:83)-1))</f>
        <v>399</v>
      </c>
      <c r="M83">
        <f>IF(ROWS($2:83)&gt;COUNTIF(Maximum_RawData!$A:$A,"5_Maximum"),"",INDEX(Maximum_RawData!M:M,MATCH("5_Maximum",Maximum_RawData!$A:$A,0)+ROWS($2:83)-1))</f>
        <v>399</v>
      </c>
      <c r="N83">
        <f>IF(ROWS($2:83)&gt;COUNTIF(Maximum_RawData!$A:$A,"5_Maximum"),"",INDEX(Maximum_RawData!N:N,MATCH("5_Maximum",Maximum_RawData!$A:$A,0)+ROWS($2:83)-1))</f>
        <v>0.09</v>
      </c>
      <c r="O83">
        <f>IF(ROWS($2:83)&gt;COUNTIF(Maximum_RawData!$A:$A,"5_Maximum"),"",INDEX(Maximum_RawData!O:O,MATCH("5_Maximum",Maximum_RawData!$A:$A,0)+ROWS($2:83)-1))</f>
        <v>0.11</v>
      </c>
      <c r="P83">
        <f>IF(ROWS($2:83)&gt;COUNTIF(Maximum_RawData!$A:$A,"5_Maximum"),"",INDEX(Maximum_RawData!P:P,MATCH("5_Maximum",Maximum_RawData!$A:$A,0)+ROWS($2:83)-1))</f>
        <v>0.08</v>
      </c>
      <c r="Q83">
        <f>IF(ROWS($2:83)&gt;COUNTIF(Maximum_RawData!$A:$A,"5_Maximum"),"",INDEX(Maximum_RawData!Q:Q,MATCH("5_Maximum",Maximum_RawData!$A:$A,0)+ROWS($2:83)-1))</f>
        <v>0.1</v>
      </c>
      <c r="R83" t="str">
        <f>IF(ROWS($2:83)&gt;COUNTIF(Maximum_RawData!$A:$A,"5_Maximum"),"",INDEX(Maximum_RawData!R:R,MATCH("5_Maximum",Maximum_RawData!$A:$A,0)+ROWS($2:83)-1))</f>
        <v>Pass</v>
      </c>
      <c r="S83">
        <f>IF(ROWS($2:83)&gt;COUNTIF(Maximum_RawData!$A:$A,"5_Maximum"),"",INDEX(Maximum_RawData!S:S,MATCH("5_Maximum",Maximum_RawData!$A:$A,0)+ROWS($2:83)-1))</f>
        <v>0</v>
      </c>
      <c r="T83">
        <f>IF(ROWS($2:83)&gt;COUNTIF(Maximum_RawData!$A:$A,"5_Maximum"),"",INDEX(Maximum_RawData!T:T,MATCH("5_Maximum",Maximum_RawData!$A:$A,0)+ROWS($2:83)-1))</f>
        <v>0</v>
      </c>
    </row>
    <row r="84" spans="1:20">
      <c r="A84" t="str">
        <f>IF(ROWS($2:84)&gt;COUNTIF(Maximum_RawData!$A:$A,"5_Maximum"),"",INDEX(Maximum_RawData!A:A,MATCH("5_Maximum",Maximum_RawData!$A:$A,0)+ROWS($2:84)-1))</f>
        <v>5_Maximum</v>
      </c>
      <c r="B84">
        <f>IF(ROWS($2:84)&gt;COUNTIF(Maximum_RawData!$A:$A,"5_Maximum"),"",INDEX(Maximum_RawData!B:B,MATCH("5_Maximum",Maximum_RawData!$A:$A,0)+ROWS($2:84)-1))</f>
        <v>150213.14199999999</v>
      </c>
      <c r="C84">
        <f>IF(ROWS($2:84)&gt;COUNTIF(Maximum_RawData!$A:$A,"5_Maximum"),"",INDEX(Maximum_RawData!C:C,MATCH("5_Maximum",Maximum_RawData!$A:$A,0)+ROWS($2:84)-1))</f>
        <v>8.7200000000000006</v>
      </c>
      <c r="D84">
        <f>IF(ROWS($2:84)&gt;COUNTIF(Maximum_RawData!$A:$A,"5_Maximum"),"",INDEX(Maximum_RawData!D:D,MATCH("5_Maximum",Maximum_RawData!$A:$A,0)+ROWS($2:84)-1))</f>
        <v>1308.7829999999999</v>
      </c>
      <c r="E84">
        <f>IF(ROWS($2:84)&gt;COUNTIF(Maximum_RawData!$A:$A,"5_Maximum"),"",INDEX(Maximum_RawData!E:E,MATCH("5_Maximum",Maximum_RawData!$A:$A,0)+ROWS($2:84)-1))</f>
        <v>9.82</v>
      </c>
      <c r="F84">
        <f>IF(ROWS($2:84)&gt;COUNTIF(Maximum_RawData!$A:$A,"5_Maximum"),"",INDEX(Maximum_RawData!F:F,MATCH("5_Maximum",Maximum_RawData!$A:$A,0)+ROWS($2:84)-1))</f>
        <v>399</v>
      </c>
      <c r="G84">
        <f>IF(ROWS($2:84)&gt;COUNTIF(Maximum_RawData!$A:$A,"5_Maximum"),"",INDEX(Maximum_RawData!G:G,MATCH("5_Maximum",Maximum_RawData!$A:$A,0)+ROWS($2:84)-1))</f>
        <v>399</v>
      </c>
      <c r="H84">
        <f>IF(ROWS($2:84)&gt;COUNTIF(Maximum_RawData!$A:$A,"5_Maximum"),"",INDEX(Maximum_RawData!H:H,MATCH("5_Maximum",Maximum_RawData!$A:$A,0)+ROWS($2:84)-1))</f>
        <v>399</v>
      </c>
      <c r="I84">
        <f>IF(ROWS($2:84)&gt;COUNTIF(Maximum_RawData!$A:$A,"5_Maximum"),"",INDEX(Maximum_RawData!I:I,MATCH("5_Maximum",Maximum_RawData!$A:$A,0)+ROWS($2:84)-1))</f>
        <v>399</v>
      </c>
      <c r="J84">
        <f>IF(ROWS($2:84)&gt;COUNTIF(Maximum_RawData!$A:$A,"5_Maximum"),"",INDEX(Maximum_RawData!J:J,MATCH("5_Maximum",Maximum_RawData!$A:$A,0)+ROWS($2:84)-1))</f>
        <v>399</v>
      </c>
      <c r="K84">
        <f>IF(ROWS($2:84)&gt;COUNTIF(Maximum_RawData!$A:$A,"5_Maximum"),"",INDEX(Maximum_RawData!K:K,MATCH("5_Maximum",Maximum_RawData!$A:$A,0)+ROWS($2:84)-1))</f>
        <v>399</v>
      </c>
      <c r="L84">
        <f>IF(ROWS($2:84)&gt;COUNTIF(Maximum_RawData!$A:$A,"5_Maximum"),"",INDEX(Maximum_RawData!L:L,MATCH("5_Maximum",Maximum_RawData!$A:$A,0)+ROWS($2:84)-1))</f>
        <v>399</v>
      </c>
      <c r="M84">
        <f>IF(ROWS($2:84)&gt;COUNTIF(Maximum_RawData!$A:$A,"5_Maximum"),"",INDEX(Maximum_RawData!M:M,MATCH("5_Maximum",Maximum_RawData!$A:$A,0)+ROWS($2:84)-1))</f>
        <v>399</v>
      </c>
      <c r="N84">
        <f>IF(ROWS($2:84)&gt;COUNTIF(Maximum_RawData!$A:$A,"5_Maximum"),"",INDEX(Maximum_RawData!N:N,MATCH("5_Maximum",Maximum_RawData!$A:$A,0)+ROWS($2:84)-1))</f>
        <v>0.1</v>
      </c>
      <c r="O84">
        <f>IF(ROWS($2:84)&gt;COUNTIF(Maximum_RawData!$A:$A,"5_Maximum"),"",INDEX(Maximum_RawData!O:O,MATCH("5_Maximum",Maximum_RawData!$A:$A,0)+ROWS($2:84)-1))</f>
        <v>0.11</v>
      </c>
      <c r="P84">
        <f>IF(ROWS($2:84)&gt;COUNTIF(Maximum_RawData!$A:$A,"5_Maximum"),"",INDEX(Maximum_RawData!P:P,MATCH("5_Maximum",Maximum_RawData!$A:$A,0)+ROWS($2:84)-1))</f>
        <v>0.08</v>
      </c>
      <c r="Q84">
        <f>IF(ROWS($2:84)&gt;COUNTIF(Maximum_RawData!$A:$A,"5_Maximum"),"",INDEX(Maximum_RawData!Q:Q,MATCH("5_Maximum",Maximum_RawData!$A:$A,0)+ROWS($2:84)-1))</f>
        <v>0.1</v>
      </c>
      <c r="R84" t="str">
        <f>IF(ROWS($2:84)&gt;COUNTIF(Maximum_RawData!$A:$A,"5_Maximum"),"",INDEX(Maximum_RawData!R:R,MATCH("5_Maximum",Maximum_RawData!$A:$A,0)+ROWS($2:84)-1))</f>
        <v>Pass</v>
      </c>
      <c r="S84">
        <f>IF(ROWS($2:84)&gt;COUNTIF(Maximum_RawData!$A:$A,"5_Maximum"),"",INDEX(Maximum_RawData!S:S,MATCH("5_Maximum",Maximum_RawData!$A:$A,0)+ROWS($2:84)-1))</f>
        <v>0</v>
      </c>
      <c r="T84">
        <f>IF(ROWS($2:84)&gt;COUNTIF(Maximum_RawData!$A:$A,"5_Maximum"),"",INDEX(Maximum_RawData!T:T,MATCH("5_Maximum",Maximum_RawData!$A:$A,0)+ROWS($2:84)-1))</f>
        <v>0</v>
      </c>
    </row>
    <row r="85" spans="1:20">
      <c r="A85" t="str">
        <f>IF(ROWS($2:85)&gt;COUNTIF(Maximum_RawData!$A:$A,"5_Maximum"),"",INDEX(Maximum_RawData!A:A,MATCH("5_Maximum",Maximum_RawData!$A:$A,0)+ROWS($2:85)-1))</f>
        <v>5_Maximum</v>
      </c>
      <c r="B85">
        <f>IF(ROWS($2:85)&gt;COUNTIF(Maximum_RawData!$A:$A,"5_Maximum"),"",INDEX(Maximum_RawData!B:B,MATCH("5_Maximum",Maximum_RawData!$A:$A,0)+ROWS($2:85)-1))</f>
        <v>150218.12599999999</v>
      </c>
      <c r="C85">
        <f>IF(ROWS($2:85)&gt;COUNTIF(Maximum_RawData!$A:$A,"5_Maximum"),"",INDEX(Maximum_RawData!C:C,MATCH("5_Maximum",Maximum_RawData!$A:$A,0)+ROWS($2:85)-1))</f>
        <v>7.97</v>
      </c>
      <c r="D85">
        <f>IF(ROWS($2:85)&gt;COUNTIF(Maximum_RawData!$A:$A,"5_Maximum"),"",INDEX(Maximum_RawData!D:D,MATCH("5_Maximum",Maximum_RawData!$A:$A,0)+ROWS($2:85)-1))</f>
        <v>1308.713</v>
      </c>
      <c r="E85">
        <f>IF(ROWS($2:85)&gt;COUNTIF(Maximum_RawData!$A:$A,"5_Maximum"),"",INDEX(Maximum_RawData!E:E,MATCH("5_Maximum",Maximum_RawData!$A:$A,0)+ROWS($2:85)-1))</f>
        <v>9.7200000000000006</v>
      </c>
      <c r="F85">
        <f>IF(ROWS($2:85)&gt;COUNTIF(Maximum_RawData!$A:$A,"5_Maximum"),"",INDEX(Maximum_RawData!F:F,MATCH("5_Maximum",Maximum_RawData!$A:$A,0)+ROWS($2:85)-1))</f>
        <v>399</v>
      </c>
      <c r="G85">
        <f>IF(ROWS($2:85)&gt;COUNTIF(Maximum_RawData!$A:$A,"5_Maximum"),"",INDEX(Maximum_RawData!G:G,MATCH("5_Maximum",Maximum_RawData!$A:$A,0)+ROWS($2:85)-1))</f>
        <v>399</v>
      </c>
      <c r="H85">
        <f>IF(ROWS($2:85)&gt;COUNTIF(Maximum_RawData!$A:$A,"5_Maximum"),"",INDEX(Maximum_RawData!H:H,MATCH("5_Maximum",Maximum_RawData!$A:$A,0)+ROWS($2:85)-1))</f>
        <v>399</v>
      </c>
      <c r="I85">
        <f>IF(ROWS($2:85)&gt;COUNTIF(Maximum_RawData!$A:$A,"5_Maximum"),"",INDEX(Maximum_RawData!I:I,MATCH("5_Maximum",Maximum_RawData!$A:$A,0)+ROWS($2:85)-1))</f>
        <v>399</v>
      </c>
      <c r="J85">
        <f>IF(ROWS($2:85)&gt;COUNTIF(Maximum_RawData!$A:$A,"5_Maximum"),"",INDEX(Maximum_RawData!J:J,MATCH("5_Maximum",Maximum_RawData!$A:$A,0)+ROWS($2:85)-1))</f>
        <v>399</v>
      </c>
      <c r="K85">
        <f>IF(ROWS($2:85)&gt;COUNTIF(Maximum_RawData!$A:$A,"5_Maximum"),"",INDEX(Maximum_RawData!K:K,MATCH("5_Maximum",Maximum_RawData!$A:$A,0)+ROWS($2:85)-1))</f>
        <v>399</v>
      </c>
      <c r="L85">
        <f>IF(ROWS($2:85)&gt;COUNTIF(Maximum_RawData!$A:$A,"5_Maximum"),"",INDEX(Maximum_RawData!L:L,MATCH("5_Maximum",Maximum_RawData!$A:$A,0)+ROWS($2:85)-1))</f>
        <v>399</v>
      </c>
      <c r="M85">
        <f>IF(ROWS($2:85)&gt;COUNTIF(Maximum_RawData!$A:$A,"5_Maximum"),"",INDEX(Maximum_RawData!M:M,MATCH("5_Maximum",Maximum_RawData!$A:$A,0)+ROWS($2:85)-1))</f>
        <v>399</v>
      </c>
      <c r="N85">
        <f>IF(ROWS($2:85)&gt;COUNTIF(Maximum_RawData!$A:$A,"5_Maximum"),"",INDEX(Maximum_RawData!N:N,MATCH("5_Maximum",Maximum_RawData!$A:$A,0)+ROWS($2:85)-1))</f>
        <v>0.09</v>
      </c>
      <c r="O85">
        <f>IF(ROWS($2:85)&gt;COUNTIF(Maximum_RawData!$A:$A,"5_Maximum"),"",INDEX(Maximum_RawData!O:O,MATCH("5_Maximum",Maximum_RawData!$A:$A,0)+ROWS($2:85)-1))</f>
        <v>0.11</v>
      </c>
      <c r="P85">
        <f>IF(ROWS($2:85)&gt;COUNTIF(Maximum_RawData!$A:$A,"5_Maximum"),"",INDEX(Maximum_RawData!P:P,MATCH("5_Maximum",Maximum_RawData!$A:$A,0)+ROWS($2:85)-1))</f>
        <v>0.08</v>
      </c>
      <c r="Q85">
        <f>IF(ROWS($2:85)&gt;COUNTIF(Maximum_RawData!$A:$A,"5_Maximum"),"",INDEX(Maximum_RawData!Q:Q,MATCH("5_Maximum",Maximum_RawData!$A:$A,0)+ROWS($2:85)-1))</f>
        <v>0.1</v>
      </c>
      <c r="R85" t="str">
        <f>IF(ROWS($2:85)&gt;COUNTIF(Maximum_RawData!$A:$A,"5_Maximum"),"",INDEX(Maximum_RawData!R:R,MATCH("5_Maximum",Maximum_RawData!$A:$A,0)+ROWS($2:85)-1))</f>
        <v>Pass</v>
      </c>
      <c r="S85">
        <f>IF(ROWS($2:85)&gt;COUNTIF(Maximum_RawData!$A:$A,"5_Maximum"),"",INDEX(Maximum_RawData!S:S,MATCH("5_Maximum",Maximum_RawData!$A:$A,0)+ROWS($2:85)-1))</f>
        <v>0</v>
      </c>
      <c r="T85">
        <f>IF(ROWS($2:85)&gt;COUNTIF(Maximum_RawData!$A:$A,"5_Maximum"),"",INDEX(Maximum_RawData!T:T,MATCH("5_Maximum",Maximum_RawData!$A:$A,0)+ROWS($2:85)-1))</f>
        <v>0</v>
      </c>
    </row>
    <row r="86" spans="1:20">
      <c r="A86" t="str">
        <f>IF(ROWS($2:86)&gt;COUNTIF(Maximum_RawData!$A:$A,"5_Maximum"),"",INDEX(Maximum_RawData!A:A,MATCH("5_Maximum",Maximum_RawData!$A:$A,0)+ROWS($2:86)-1))</f>
        <v>5_Maximum</v>
      </c>
      <c r="B86">
        <f>IF(ROWS($2:86)&gt;COUNTIF(Maximum_RawData!$A:$A,"5_Maximum"),"",INDEX(Maximum_RawData!B:B,MATCH("5_Maximum",Maximum_RawData!$A:$A,0)+ROWS($2:86)-1))</f>
        <v>150223.149</v>
      </c>
      <c r="C86">
        <f>IF(ROWS($2:86)&gt;COUNTIF(Maximum_RawData!$A:$A,"5_Maximum"),"",INDEX(Maximum_RawData!C:C,MATCH("5_Maximum",Maximum_RawData!$A:$A,0)+ROWS($2:86)-1))</f>
        <v>7.21</v>
      </c>
      <c r="D86">
        <f>IF(ROWS($2:86)&gt;COUNTIF(Maximum_RawData!$A:$A,"5_Maximum"),"",INDEX(Maximum_RawData!D:D,MATCH("5_Maximum",Maximum_RawData!$A:$A,0)+ROWS($2:86)-1))</f>
        <v>1308.6420000000001</v>
      </c>
      <c r="E86">
        <f>IF(ROWS($2:86)&gt;COUNTIF(Maximum_RawData!$A:$A,"5_Maximum"),"",INDEX(Maximum_RawData!E:E,MATCH("5_Maximum",Maximum_RawData!$A:$A,0)+ROWS($2:86)-1))</f>
        <v>9.67</v>
      </c>
      <c r="F86">
        <f>IF(ROWS($2:86)&gt;COUNTIF(Maximum_RawData!$A:$A,"5_Maximum"),"",INDEX(Maximum_RawData!F:F,MATCH("5_Maximum",Maximum_RawData!$A:$A,0)+ROWS($2:86)-1))</f>
        <v>399</v>
      </c>
      <c r="G86">
        <f>IF(ROWS($2:86)&gt;COUNTIF(Maximum_RawData!$A:$A,"5_Maximum"),"",INDEX(Maximum_RawData!G:G,MATCH("5_Maximum",Maximum_RawData!$A:$A,0)+ROWS($2:86)-1))</f>
        <v>399</v>
      </c>
      <c r="H86">
        <f>IF(ROWS($2:86)&gt;COUNTIF(Maximum_RawData!$A:$A,"5_Maximum"),"",INDEX(Maximum_RawData!H:H,MATCH("5_Maximum",Maximum_RawData!$A:$A,0)+ROWS($2:86)-1))</f>
        <v>399</v>
      </c>
      <c r="I86">
        <f>IF(ROWS($2:86)&gt;COUNTIF(Maximum_RawData!$A:$A,"5_Maximum"),"",INDEX(Maximum_RawData!I:I,MATCH("5_Maximum",Maximum_RawData!$A:$A,0)+ROWS($2:86)-1))</f>
        <v>399</v>
      </c>
      <c r="J86">
        <f>IF(ROWS($2:86)&gt;COUNTIF(Maximum_RawData!$A:$A,"5_Maximum"),"",INDEX(Maximum_RawData!J:J,MATCH("5_Maximum",Maximum_RawData!$A:$A,0)+ROWS($2:86)-1))</f>
        <v>399</v>
      </c>
      <c r="K86">
        <f>IF(ROWS($2:86)&gt;COUNTIF(Maximum_RawData!$A:$A,"5_Maximum"),"",INDEX(Maximum_RawData!K:K,MATCH("5_Maximum",Maximum_RawData!$A:$A,0)+ROWS($2:86)-1))</f>
        <v>399</v>
      </c>
      <c r="L86">
        <f>IF(ROWS($2:86)&gt;COUNTIF(Maximum_RawData!$A:$A,"5_Maximum"),"",INDEX(Maximum_RawData!L:L,MATCH("5_Maximum",Maximum_RawData!$A:$A,0)+ROWS($2:86)-1))</f>
        <v>399</v>
      </c>
      <c r="M86">
        <f>IF(ROWS($2:86)&gt;COUNTIF(Maximum_RawData!$A:$A,"5_Maximum"),"",INDEX(Maximum_RawData!M:M,MATCH("5_Maximum",Maximum_RawData!$A:$A,0)+ROWS($2:86)-1))</f>
        <v>399</v>
      </c>
      <c r="N86">
        <f>IF(ROWS($2:86)&gt;COUNTIF(Maximum_RawData!$A:$A,"5_Maximum"),"",INDEX(Maximum_RawData!N:N,MATCH("5_Maximum",Maximum_RawData!$A:$A,0)+ROWS($2:86)-1))</f>
        <v>0.09</v>
      </c>
      <c r="O86">
        <f>IF(ROWS($2:86)&gt;COUNTIF(Maximum_RawData!$A:$A,"5_Maximum"),"",INDEX(Maximum_RawData!O:O,MATCH("5_Maximum",Maximum_RawData!$A:$A,0)+ROWS($2:86)-1))</f>
        <v>0.11</v>
      </c>
      <c r="P86">
        <f>IF(ROWS($2:86)&gt;COUNTIF(Maximum_RawData!$A:$A,"5_Maximum"),"",INDEX(Maximum_RawData!P:P,MATCH("5_Maximum",Maximum_RawData!$A:$A,0)+ROWS($2:86)-1))</f>
        <v>0.08</v>
      </c>
      <c r="Q86">
        <f>IF(ROWS($2:86)&gt;COUNTIF(Maximum_RawData!$A:$A,"5_Maximum"),"",INDEX(Maximum_RawData!Q:Q,MATCH("5_Maximum",Maximum_RawData!$A:$A,0)+ROWS($2:86)-1))</f>
        <v>0.1</v>
      </c>
      <c r="R86" t="str">
        <f>IF(ROWS($2:86)&gt;COUNTIF(Maximum_RawData!$A:$A,"5_Maximum"),"",INDEX(Maximum_RawData!R:R,MATCH("5_Maximum",Maximum_RawData!$A:$A,0)+ROWS($2:86)-1))</f>
        <v>Pass</v>
      </c>
      <c r="S86">
        <f>IF(ROWS($2:86)&gt;COUNTIF(Maximum_RawData!$A:$A,"5_Maximum"),"",INDEX(Maximum_RawData!S:S,MATCH("5_Maximum",Maximum_RawData!$A:$A,0)+ROWS($2:86)-1))</f>
        <v>0</v>
      </c>
      <c r="T86">
        <f>IF(ROWS($2:86)&gt;COUNTIF(Maximum_RawData!$A:$A,"5_Maximum"),"",INDEX(Maximum_RawData!T:T,MATCH("5_Maximum",Maximum_RawData!$A:$A,0)+ROWS($2:86)-1))</f>
        <v>0</v>
      </c>
    </row>
    <row r="87" spans="1:20">
      <c r="A87" t="str">
        <f>IF(ROWS($2:87)&gt;COUNTIF(Maximum_RawData!$A:$A,"5_Maximum"),"",INDEX(Maximum_RawData!A:A,MATCH("5_Maximum",Maximum_RawData!$A:$A,0)+ROWS($2:87)-1))</f>
        <v>5_Maximum</v>
      </c>
      <c r="B87">
        <f>IF(ROWS($2:87)&gt;COUNTIF(Maximum_RawData!$A:$A,"5_Maximum"),"",INDEX(Maximum_RawData!B:B,MATCH("5_Maximum",Maximum_RawData!$A:$A,0)+ROWS($2:87)-1))</f>
        <v>150228.12899999999</v>
      </c>
      <c r="C87">
        <f>IF(ROWS($2:87)&gt;COUNTIF(Maximum_RawData!$A:$A,"5_Maximum"),"",INDEX(Maximum_RawData!C:C,MATCH("5_Maximum",Maximum_RawData!$A:$A,0)+ROWS($2:87)-1))</f>
        <v>6.48</v>
      </c>
      <c r="D87">
        <f>IF(ROWS($2:87)&gt;COUNTIF(Maximum_RawData!$A:$A,"5_Maximum"),"",INDEX(Maximum_RawData!D:D,MATCH("5_Maximum",Maximum_RawData!$A:$A,0)+ROWS($2:87)-1))</f>
        <v>1308.567</v>
      </c>
      <c r="E87">
        <f>IF(ROWS($2:87)&gt;COUNTIF(Maximum_RawData!$A:$A,"5_Maximum"),"",INDEX(Maximum_RawData!E:E,MATCH("5_Maximum",Maximum_RawData!$A:$A,0)+ROWS($2:87)-1))</f>
        <v>9.6</v>
      </c>
      <c r="F87">
        <f>IF(ROWS($2:87)&gt;COUNTIF(Maximum_RawData!$A:$A,"5_Maximum"),"",INDEX(Maximum_RawData!F:F,MATCH("5_Maximum",Maximum_RawData!$A:$A,0)+ROWS($2:87)-1))</f>
        <v>399</v>
      </c>
      <c r="G87">
        <f>IF(ROWS($2:87)&gt;COUNTIF(Maximum_RawData!$A:$A,"5_Maximum"),"",INDEX(Maximum_RawData!G:G,MATCH("5_Maximum",Maximum_RawData!$A:$A,0)+ROWS($2:87)-1))</f>
        <v>399</v>
      </c>
      <c r="H87">
        <f>IF(ROWS($2:87)&gt;COUNTIF(Maximum_RawData!$A:$A,"5_Maximum"),"",INDEX(Maximum_RawData!H:H,MATCH("5_Maximum",Maximum_RawData!$A:$A,0)+ROWS($2:87)-1))</f>
        <v>399</v>
      </c>
      <c r="I87">
        <f>IF(ROWS($2:87)&gt;COUNTIF(Maximum_RawData!$A:$A,"5_Maximum"),"",INDEX(Maximum_RawData!I:I,MATCH("5_Maximum",Maximum_RawData!$A:$A,0)+ROWS($2:87)-1))</f>
        <v>399</v>
      </c>
      <c r="J87">
        <f>IF(ROWS($2:87)&gt;COUNTIF(Maximum_RawData!$A:$A,"5_Maximum"),"",INDEX(Maximum_RawData!J:J,MATCH("5_Maximum",Maximum_RawData!$A:$A,0)+ROWS($2:87)-1))</f>
        <v>399</v>
      </c>
      <c r="K87">
        <f>IF(ROWS($2:87)&gt;COUNTIF(Maximum_RawData!$A:$A,"5_Maximum"),"",INDEX(Maximum_RawData!K:K,MATCH("5_Maximum",Maximum_RawData!$A:$A,0)+ROWS($2:87)-1))</f>
        <v>399</v>
      </c>
      <c r="L87">
        <f>IF(ROWS($2:87)&gt;COUNTIF(Maximum_RawData!$A:$A,"5_Maximum"),"",INDEX(Maximum_RawData!L:L,MATCH("5_Maximum",Maximum_RawData!$A:$A,0)+ROWS($2:87)-1))</f>
        <v>399</v>
      </c>
      <c r="M87">
        <f>IF(ROWS($2:87)&gt;COUNTIF(Maximum_RawData!$A:$A,"5_Maximum"),"",INDEX(Maximum_RawData!M:M,MATCH("5_Maximum",Maximum_RawData!$A:$A,0)+ROWS($2:87)-1))</f>
        <v>399</v>
      </c>
      <c r="N87">
        <f>IF(ROWS($2:87)&gt;COUNTIF(Maximum_RawData!$A:$A,"5_Maximum"),"",INDEX(Maximum_RawData!N:N,MATCH("5_Maximum",Maximum_RawData!$A:$A,0)+ROWS($2:87)-1))</f>
        <v>0.1</v>
      </c>
      <c r="O87">
        <f>IF(ROWS($2:87)&gt;COUNTIF(Maximum_RawData!$A:$A,"5_Maximum"),"",INDEX(Maximum_RawData!O:O,MATCH("5_Maximum",Maximum_RawData!$A:$A,0)+ROWS($2:87)-1))</f>
        <v>0.11</v>
      </c>
      <c r="P87">
        <f>IF(ROWS($2:87)&gt;COUNTIF(Maximum_RawData!$A:$A,"5_Maximum"),"",INDEX(Maximum_RawData!P:P,MATCH("5_Maximum",Maximum_RawData!$A:$A,0)+ROWS($2:87)-1))</f>
        <v>0.08</v>
      </c>
      <c r="Q87">
        <f>IF(ROWS($2:87)&gt;COUNTIF(Maximum_RawData!$A:$A,"5_Maximum"),"",INDEX(Maximum_RawData!Q:Q,MATCH("5_Maximum",Maximum_RawData!$A:$A,0)+ROWS($2:87)-1))</f>
        <v>0.1</v>
      </c>
      <c r="R87" t="str">
        <f>IF(ROWS($2:87)&gt;COUNTIF(Maximum_RawData!$A:$A,"5_Maximum"),"",INDEX(Maximum_RawData!R:R,MATCH("5_Maximum",Maximum_RawData!$A:$A,0)+ROWS($2:87)-1))</f>
        <v>Pass</v>
      </c>
      <c r="S87">
        <f>IF(ROWS($2:87)&gt;COUNTIF(Maximum_RawData!$A:$A,"5_Maximum"),"",INDEX(Maximum_RawData!S:S,MATCH("5_Maximum",Maximum_RawData!$A:$A,0)+ROWS($2:87)-1))</f>
        <v>0</v>
      </c>
      <c r="T87">
        <f>IF(ROWS($2:87)&gt;COUNTIF(Maximum_RawData!$A:$A,"5_Maximum"),"",INDEX(Maximum_RawData!T:T,MATCH("5_Maximum",Maximum_RawData!$A:$A,0)+ROWS($2:87)-1))</f>
        <v>0</v>
      </c>
    </row>
    <row r="88" spans="1:20">
      <c r="A88" t="str">
        <f>IF(ROWS($2:88)&gt;COUNTIF(Maximum_RawData!$A:$A,"5_Maximum"),"",INDEX(Maximum_RawData!A:A,MATCH("5_Maximum",Maximum_RawData!$A:$A,0)+ROWS($2:88)-1))</f>
        <v>5_Maximum</v>
      </c>
      <c r="B88">
        <f>IF(ROWS($2:88)&gt;COUNTIF(Maximum_RawData!$A:$A,"5_Maximum"),"",INDEX(Maximum_RawData!B:B,MATCH("5_Maximum",Maximum_RawData!$A:$A,0)+ROWS($2:88)-1))</f>
        <v>150233.13399999999</v>
      </c>
      <c r="C88">
        <f>IF(ROWS($2:88)&gt;COUNTIF(Maximum_RawData!$A:$A,"5_Maximum"),"",INDEX(Maximum_RawData!C:C,MATCH("5_Maximum",Maximum_RawData!$A:$A,0)+ROWS($2:88)-1))</f>
        <v>5.73</v>
      </c>
      <c r="D88">
        <f>IF(ROWS($2:88)&gt;COUNTIF(Maximum_RawData!$A:$A,"5_Maximum"),"",INDEX(Maximum_RawData!D:D,MATCH("5_Maximum",Maximum_RawData!$A:$A,0)+ROWS($2:88)-1))</f>
        <v>1308.4970000000001</v>
      </c>
      <c r="E88">
        <f>IF(ROWS($2:88)&gt;COUNTIF(Maximum_RawData!$A:$A,"5_Maximum"),"",INDEX(Maximum_RawData!E:E,MATCH("5_Maximum",Maximum_RawData!$A:$A,0)+ROWS($2:88)-1))</f>
        <v>9.65</v>
      </c>
      <c r="F88">
        <f>IF(ROWS($2:88)&gt;COUNTIF(Maximum_RawData!$A:$A,"5_Maximum"),"",INDEX(Maximum_RawData!F:F,MATCH("5_Maximum",Maximum_RawData!$A:$A,0)+ROWS($2:88)-1))</f>
        <v>399</v>
      </c>
      <c r="G88">
        <f>IF(ROWS($2:88)&gt;COUNTIF(Maximum_RawData!$A:$A,"5_Maximum"),"",INDEX(Maximum_RawData!G:G,MATCH("5_Maximum",Maximum_RawData!$A:$A,0)+ROWS($2:88)-1))</f>
        <v>399</v>
      </c>
      <c r="H88">
        <f>IF(ROWS($2:88)&gt;COUNTIF(Maximum_RawData!$A:$A,"5_Maximum"),"",INDEX(Maximum_RawData!H:H,MATCH("5_Maximum",Maximum_RawData!$A:$A,0)+ROWS($2:88)-1))</f>
        <v>399</v>
      </c>
      <c r="I88">
        <f>IF(ROWS($2:88)&gt;COUNTIF(Maximum_RawData!$A:$A,"5_Maximum"),"",INDEX(Maximum_RawData!I:I,MATCH("5_Maximum",Maximum_RawData!$A:$A,0)+ROWS($2:88)-1))</f>
        <v>399</v>
      </c>
      <c r="J88">
        <f>IF(ROWS($2:88)&gt;COUNTIF(Maximum_RawData!$A:$A,"5_Maximum"),"",INDEX(Maximum_RawData!J:J,MATCH("5_Maximum",Maximum_RawData!$A:$A,0)+ROWS($2:88)-1))</f>
        <v>399</v>
      </c>
      <c r="K88">
        <f>IF(ROWS($2:88)&gt;COUNTIF(Maximum_RawData!$A:$A,"5_Maximum"),"",INDEX(Maximum_RawData!K:K,MATCH("5_Maximum",Maximum_RawData!$A:$A,0)+ROWS($2:88)-1))</f>
        <v>399</v>
      </c>
      <c r="L88">
        <f>IF(ROWS($2:88)&gt;COUNTIF(Maximum_RawData!$A:$A,"5_Maximum"),"",INDEX(Maximum_RawData!L:L,MATCH("5_Maximum",Maximum_RawData!$A:$A,0)+ROWS($2:88)-1))</f>
        <v>399</v>
      </c>
      <c r="M88">
        <f>IF(ROWS($2:88)&gt;COUNTIF(Maximum_RawData!$A:$A,"5_Maximum"),"",INDEX(Maximum_RawData!M:M,MATCH("5_Maximum",Maximum_RawData!$A:$A,0)+ROWS($2:88)-1))</f>
        <v>399</v>
      </c>
      <c r="N88">
        <f>IF(ROWS($2:88)&gt;COUNTIF(Maximum_RawData!$A:$A,"5_Maximum"),"",INDEX(Maximum_RawData!N:N,MATCH("5_Maximum",Maximum_RawData!$A:$A,0)+ROWS($2:88)-1))</f>
        <v>0.09</v>
      </c>
      <c r="O88">
        <f>IF(ROWS($2:88)&gt;COUNTIF(Maximum_RawData!$A:$A,"5_Maximum"),"",INDEX(Maximum_RawData!O:O,MATCH("5_Maximum",Maximum_RawData!$A:$A,0)+ROWS($2:88)-1))</f>
        <v>0.11</v>
      </c>
      <c r="P88">
        <f>IF(ROWS($2:88)&gt;COUNTIF(Maximum_RawData!$A:$A,"5_Maximum"),"",INDEX(Maximum_RawData!P:P,MATCH("5_Maximum",Maximum_RawData!$A:$A,0)+ROWS($2:88)-1))</f>
        <v>0.08</v>
      </c>
      <c r="Q88">
        <f>IF(ROWS($2:88)&gt;COUNTIF(Maximum_RawData!$A:$A,"5_Maximum"),"",INDEX(Maximum_RawData!Q:Q,MATCH("5_Maximum",Maximum_RawData!$A:$A,0)+ROWS($2:88)-1))</f>
        <v>0.1</v>
      </c>
      <c r="R88" t="str">
        <f>IF(ROWS($2:88)&gt;COUNTIF(Maximum_RawData!$A:$A,"5_Maximum"),"",INDEX(Maximum_RawData!R:R,MATCH("5_Maximum",Maximum_RawData!$A:$A,0)+ROWS($2:88)-1))</f>
        <v>Pass</v>
      </c>
      <c r="S88">
        <f>IF(ROWS($2:88)&gt;COUNTIF(Maximum_RawData!$A:$A,"5_Maximum"),"",INDEX(Maximum_RawData!S:S,MATCH("5_Maximum",Maximum_RawData!$A:$A,0)+ROWS($2:88)-1))</f>
        <v>0</v>
      </c>
      <c r="T88">
        <f>IF(ROWS($2:88)&gt;COUNTIF(Maximum_RawData!$A:$A,"5_Maximum"),"",INDEX(Maximum_RawData!T:T,MATCH("5_Maximum",Maximum_RawData!$A:$A,0)+ROWS($2:88)-1))</f>
        <v>0</v>
      </c>
    </row>
    <row r="89" spans="1:20">
      <c r="A89" t="str">
        <f>IF(ROWS($2:89)&gt;COUNTIF(Maximum_RawData!$A:$A,"5_Maximum"),"",INDEX(Maximum_RawData!A:A,MATCH("5_Maximum",Maximum_RawData!$A:$A,0)+ROWS($2:89)-1))</f>
        <v>5_Maximum</v>
      </c>
      <c r="B89">
        <f>IF(ROWS($2:89)&gt;COUNTIF(Maximum_RawData!$A:$A,"5_Maximum"),"",INDEX(Maximum_RawData!B:B,MATCH("5_Maximum",Maximum_RawData!$A:$A,0)+ROWS($2:89)-1))</f>
        <v>150238.12299999999</v>
      </c>
      <c r="C89">
        <f>IF(ROWS($2:89)&gt;COUNTIF(Maximum_RawData!$A:$A,"5_Maximum"),"",INDEX(Maximum_RawData!C:C,MATCH("5_Maximum",Maximum_RawData!$A:$A,0)+ROWS($2:89)-1))</f>
        <v>4.99</v>
      </c>
      <c r="D89">
        <f>IF(ROWS($2:89)&gt;COUNTIF(Maximum_RawData!$A:$A,"5_Maximum"),"",INDEX(Maximum_RawData!D:D,MATCH("5_Maximum",Maximum_RawData!$A:$A,0)+ROWS($2:89)-1))</f>
        <v>1308.434</v>
      </c>
      <c r="E89">
        <f>IF(ROWS($2:89)&gt;COUNTIF(Maximum_RawData!$A:$A,"5_Maximum"),"",INDEX(Maximum_RawData!E:E,MATCH("5_Maximum",Maximum_RawData!$A:$A,0)+ROWS($2:89)-1))</f>
        <v>9.5500000000000007</v>
      </c>
      <c r="F89">
        <f>IF(ROWS($2:89)&gt;COUNTIF(Maximum_RawData!$A:$A,"5_Maximum"),"",INDEX(Maximum_RawData!F:F,MATCH("5_Maximum",Maximum_RawData!$A:$A,0)+ROWS($2:89)-1))</f>
        <v>399</v>
      </c>
      <c r="G89">
        <f>IF(ROWS($2:89)&gt;COUNTIF(Maximum_RawData!$A:$A,"5_Maximum"),"",INDEX(Maximum_RawData!G:G,MATCH("5_Maximum",Maximum_RawData!$A:$A,0)+ROWS($2:89)-1))</f>
        <v>399</v>
      </c>
      <c r="H89">
        <f>IF(ROWS($2:89)&gt;COUNTIF(Maximum_RawData!$A:$A,"5_Maximum"),"",INDEX(Maximum_RawData!H:H,MATCH("5_Maximum",Maximum_RawData!$A:$A,0)+ROWS($2:89)-1))</f>
        <v>399</v>
      </c>
      <c r="I89">
        <f>IF(ROWS($2:89)&gt;COUNTIF(Maximum_RawData!$A:$A,"5_Maximum"),"",INDEX(Maximum_RawData!I:I,MATCH("5_Maximum",Maximum_RawData!$A:$A,0)+ROWS($2:89)-1))</f>
        <v>399</v>
      </c>
      <c r="J89">
        <f>IF(ROWS($2:89)&gt;COUNTIF(Maximum_RawData!$A:$A,"5_Maximum"),"",INDEX(Maximum_RawData!J:J,MATCH("5_Maximum",Maximum_RawData!$A:$A,0)+ROWS($2:89)-1))</f>
        <v>399</v>
      </c>
      <c r="K89">
        <f>IF(ROWS($2:89)&gt;COUNTIF(Maximum_RawData!$A:$A,"5_Maximum"),"",INDEX(Maximum_RawData!K:K,MATCH("5_Maximum",Maximum_RawData!$A:$A,0)+ROWS($2:89)-1))</f>
        <v>399</v>
      </c>
      <c r="L89">
        <f>IF(ROWS($2:89)&gt;COUNTIF(Maximum_RawData!$A:$A,"5_Maximum"),"",INDEX(Maximum_RawData!L:L,MATCH("5_Maximum",Maximum_RawData!$A:$A,0)+ROWS($2:89)-1))</f>
        <v>399</v>
      </c>
      <c r="M89">
        <f>IF(ROWS($2:89)&gt;COUNTIF(Maximum_RawData!$A:$A,"5_Maximum"),"",INDEX(Maximum_RawData!M:M,MATCH("5_Maximum",Maximum_RawData!$A:$A,0)+ROWS($2:89)-1))</f>
        <v>399</v>
      </c>
      <c r="N89">
        <f>IF(ROWS($2:89)&gt;COUNTIF(Maximum_RawData!$A:$A,"5_Maximum"),"",INDEX(Maximum_RawData!N:N,MATCH("5_Maximum",Maximum_RawData!$A:$A,0)+ROWS($2:89)-1))</f>
        <v>0.09</v>
      </c>
      <c r="O89">
        <f>IF(ROWS($2:89)&gt;COUNTIF(Maximum_RawData!$A:$A,"5_Maximum"),"",INDEX(Maximum_RawData!O:O,MATCH("5_Maximum",Maximum_RawData!$A:$A,0)+ROWS($2:89)-1))</f>
        <v>0.11</v>
      </c>
      <c r="P89">
        <f>IF(ROWS($2:89)&gt;COUNTIF(Maximum_RawData!$A:$A,"5_Maximum"),"",INDEX(Maximum_RawData!P:P,MATCH("5_Maximum",Maximum_RawData!$A:$A,0)+ROWS($2:89)-1))</f>
        <v>0.08</v>
      </c>
      <c r="Q89">
        <f>IF(ROWS($2:89)&gt;COUNTIF(Maximum_RawData!$A:$A,"5_Maximum"),"",INDEX(Maximum_RawData!Q:Q,MATCH("5_Maximum",Maximum_RawData!$A:$A,0)+ROWS($2:89)-1))</f>
        <v>0.1</v>
      </c>
      <c r="R89" t="str">
        <f>IF(ROWS($2:89)&gt;COUNTIF(Maximum_RawData!$A:$A,"5_Maximum"),"",INDEX(Maximum_RawData!R:R,MATCH("5_Maximum",Maximum_RawData!$A:$A,0)+ROWS($2:89)-1))</f>
        <v>Pass</v>
      </c>
      <c r="S89">
        <f>IF(ROWS($2:89)&gt;COUNTIF(Maximum_RawData!$A:$A,"5_Maximum"),"",INDEX(Maximum_RawData!S:S,MATCH("5_Maximum",Maximum_RawData!$A:$A,0)+ROWS($2:89)-1))</f>
        <v>0</v>
      </c>
      <c r="T89">
        <f>IF(ROWS($2:89)&gt;COUNTIF(Maximum_RawData!$A:$A,"5_Maximum"),"",INDEX(Maximum_RawData!T:T,MATCH("5_Maximum",Maximum_RawData!$A:$A,0)+ROWS($2:89)-1))</f>
        <v>0</v>
      </c>
    </row>
    <row r="90" spans="1:20">
      <c r="A90" t="str">
        <f>IF(ROWS($2:90)&gt;COUNTIF(Maximum_RawData!$A:$A,"5_Maximum"),"",INDEX(Maximum_RawData!A:A,MATCH("5_Maximum",Maximum_RawData!$A:$A,0)+ROWS($2:90)-1))</f>
        <v>5_Maximum</v>
      </c>
      <c r="B90">
        <f>IF(ROWS($2:90)&gt;COUNTIF(Maximum_RawData!$A:$A,"5_Maximum"),"",INDEX(Maximum_RawData!B:B,MATCH("5_Maximum",Maximum_RawData!$A:$A,0)+ROWS($2:90)-1))</f>
        <v>150243.13</v>
      </c>
      <c r="C90">
        <f>IF(ROWS($2:90)&gt;COUNTIF(Maximum_RawData!$A:$A,"5_Maximum"),"",INDEX(Maximum_RawData!C:C,MATCH("5_Maximum",Maximum_RawData!$A:$A,0)+ROWS($2:90)-1))</f>
        <v>4.24</v>
      </c>
      <c r="D90">
        <f>IF(ROWS($2:90)&gt;COUNTIF(Maximum_RawData!$A:$A,"5_Maximum"),"",INDEX(Maximum_RawData!D:D,MATCH("5_Maximum",Maximum_RawData!$A:$A,0)+ROWS($2:90)-1))</f>
        <v>1308.357</v>
      </c>
      <c r="E90">
        <f>IF(ROWS($2:90)&gt;COUNTIF(Maximum_RawData!$A:$A,"5_Maximum"),"",INDEX(Maximum_RawData!E:E,MATCH("5_Maximum",Maximum_RawData!$A:$A,0)+ROWS($2:90)-1))</f>
        <v>9.6</v>
      </c>
      <c r="F90">
        <f>IF(ROWS($2:90)&gt;COUNTIF(Maximum_RawData!$A:$A,"5_Maximum"),"",INDEX(Maximum_RawData!F:F,MATCH("5_Maximum",Maximum_RawData!$A:$A,0)+ROWS($2:90)-1))</f>
        <v>399</v>
      </c>
      <c r="G90">
        <f>IF(ROWS($2:90)&gt;COUNTIF(Maximum_RawData!$A:$A,"5_Maximum"),"",INDEX(Maximum_RawData!G:G,MATCH("5_Maximum",Maximum_RawData!$A:$A,0)+ROWS($2:90)-1))</f>
        <v>399</v>
      </c>
      <c r="H90">
        <f>IF(ROWS($2:90)&gt;COUNTIF(Maximum_RawData!$A:$A,"5_Maximum"),"",INDEX(Maximum_RawData!H:H,MATCH("5_Maximum",Maximum_RawData!$A:$A,0)+ROWS($2:90)-1))</f>
        <v>399</v>
      </c>
      <c r="I90">
        <f>IF(ROWS($2:90)&gt;COUNTIF(Maximum_RawData!$A:$A,"5_Maximum"),"",INDEX(Maximum_RawData!I:I,MATCH("5_Maximum",Maximum_RawData!$A:$A,0)+ROWS($2:90)-1))</f>
        <v>399</v>
      </c>
      <c r="J90">
        <f>IF(ROWS($2:90)&gt;COUNTIF(Maximum_RawData!$A:$A,"5_Maximum"),"",INDEX(Maximum_RawData!J:J,MATCH("5_Maximum",Maximum_RawData!$A:$A,0)+ROWS($2:90)-1))</f>
        <v>399</v>
      </c>
      <c r="K90">
        <f>IF(ROWS($2:90)&gt;COUNTIF(Maximum_RawData!$A:$A,"5_Maximum"),"",INDEX(Maximum_RawData!K:K,MATCH("5_Maximum",Maximum_RawData!$A:$A,0)+ROWS($2:90)-1))</f>
        <v>399</v>
      </c>
      <c r="L90">
        <f>IF(ROWS($2:90)&gt;COUNTIF(Maximum_RawData!$A:$A,"5_Maximum"),"",INDEX(Maximum_RawData!L:L,MATCH("5_Maximum",Maximum_RawData!$A:$A,0)+ROWS($2:90)-1))</f>
        <v>399</v>
      </c>
      <c r="M90">
        <f>IF(ROWS($2:90)&gt;COUNTIF(Maximum_RawData!$A:$A,"5_Maximum"),"",INDEX(Maximum_RawData!M:M,MATCH("5_Maximum",Maximum_RawData!$A:$A,0)+ROWS($2:90)-1))</f>
        <v>399</v>
      </c>
      <c r="N90">
        <f>IF(ROWS($2:90)&gt;COUNTIF(Maximum_RawData!$A:$A,"5_Maximum"),"",INDEX(Maximum_RawData!N:N,MATCH("5_Maximum",Maximum_RawData!$A:$A,0)+ROWS($2:90)-1))</f>
        <v>0.1</v>
      </c>
      <c r="O90">
        <f>IF(ROWS($2:90)&gt;COUNTIF(Maximum_RawData!$A:$A,"5_Maximum"),"",INDEX(Maximum_RawData!O:O,MATCH("5_Maximum",Maximum_RawData!$A:$A,0)+ROWS($2:90)-1))</f>
        <v>0.11</v>
      </c>
      <c r="P90">
        <f>IF(ROWS($2:90)&gt;COUNTIF(Maximum_RawData!$A:$A,"5_Maximum"),"",INDEX(Maximum_RawData!P:P,MATCH("5_Maximum",Maximum_RawData!$A:$A,0)+ROWS($2:90)-1))</f>
        <v>0.08</v>
      </c>
      <c r="Q90">
        <f>IF(ROWS($2:90)&gt;COUNTIF(Maximum_RawData!$A:$A,"5_Maximum"),"",INDEX(Maximum_RawData!Q:Q,MATCH("5_Maximum",Maximum_RawData!$A:$A,0)+ROWS($2:90)-1))</f>
        <v>0.1</v>
      </c>
      <c r="R90" t="str">
        <f>IF(ROWS($2:90)&gt;COUNTIF(Maximum_RawData!$A:$A,"5_Maximum"),"",INDEX(Maximum_RawData!R:R,MATCH("5_Maximum",Maximum_RawData!$A:$A,0)+ROWS($2:90)-1))</f>
        <v>Pass</v>
      </c>
      <c r="S90">
        <f>IF(ROWS($2:90)&gt;COUNTIF(Maximum_RawData!$A:$A,"5_Maximum"),"",INDEX(Maximum_RawData!S:S,MATCH("5_Maximum",Maximum_RawData!$A:$A,0)+ROWS($2:90)-1))</f>
        <v>0</v>
      </c>
      <c r="T90">
        <f>IF(ROWS($2:90)&gt;COUNTIF(Maximum_RawData!$A:$A,"5_Maximum"),"",INDEX(Maximum_RawData!T:T,MATCH("5_Maximum",Maximum_RawData!$A:$A,0)+ROWS($2:90)-1))</f>
        <v>0</v>
      </c>
    </row>
    <row r="91" spans="1:20">
      <c r="A91" t="str">
        <f>IF(ROWS($2:91)&gt;COUNTIF(Maximum_RawData!$A:$A,"5_Maximum"),"",INDEX(Maximum_RawData!A:A,MATCH("5_Maximum",Maximum_RawData!$A:$A,0)+ROWS($2:91)-1))</f>
        <v>5_Maximum</v>
      </c>
      <c r="B91">
        <f>IF(ROWS($2:91)&gt;COUNTIF(Maximum_RawData!$A:$A,"5_Maximum"),"",INDEX(Maximum_RawData!B:B,MATCH("5_Maximum",Maximum_RawData!$A:$A,0)+ROWS($2:91)-1))</f>
        <v>150248.13</v>
      </c>
      <c r="C91">
        <f>IF(ROWS($2:91)&gt;COUNTIF(Maximum_RawData!$A:$A,"5_Maximum"),"",INDEX(Maximum_RawData!C:C,MATCH("5_Maximum",Maximum_RawData!$A:$A,0)+ROWS($2:91)-1))</f>
        <v>3.51</v>
      </c>
      <c r="D91">
        <f>IF(ROWS($2:91)&gt;COUNTIF(Maximum_RawData!$A:$A,"5_Maximum"),"",INDEX(Maximum_RawData!D:D,MATCH("5_Maximum",Maximum_RawData!$A:$A,0)+ROWS($2:91)-1))</f>
        <v>1308.2940000000001</v>
      </c>
      <c r="E91">
        <f>IF(ROWS($2:91)&gt;COUNTIF(Maximum_RawData!$A:$A,"5_Maximum"),"",INDEX(Maximum_RawData!E:E,MATCH("5_Maximum",Maximum_RawData!$A:$A,0)+ROWS($2:91)-1))</f>
        <v>9.5500000000000007</v>
      </c>
      <c r="F91">
        <f>IF(ROWS($2:91)&gt;COUNTIF(Maximum_RawData!$A:$A,"5_Maximum"),"",INDEX(Maximum_RawData!F:F,MATCH("5_Maximum",Maximum_RawData!$A:$A,0)+ROWS($2:91)-1))</f>
        <v>399</v>
      </c>
      <c r="G91">
        <f>IF(ROWS($2:91)&gt;COUNTIF(Maximum_RawData!$A:$A,"5_Maximum"),"",INDEX(Maximum_RawData!G:G,MATCH("5_Maximum",Maximum_RawData!$A:$A,0)+ROWS($2:91)-1))</f>
        <v>399</v>
      </c>
      <c r="H91">
        <f>IF(ROWS($2:91)&gt;COUNTIF(Maximum_RawData!$A:$A,"5_Maximum"),"",INDEX(Maximum_RawData!H:H,MATCH("5_Maximum",Maximum_RawData!$A:$A,0)+ROWS($2:91)-1))</f>
        <v>399</v>
      </c>
      <c r="I91">
        <f>IF(ROWS($2:91)&gt;COUNTIF(Maximum_RawData!$A:$A,"5_Maximum"),"",INDEX(Maximum_RawData!I:I,MATCH("5_Maximum",Maximum_RawData!$A:$A,0)+ROWS($2:91)-1))</f>
        <v>399</v>
      </c>
      <c r="J91">
        <f>IF(ROWS($2:91)&gt;COUNTIF(Maximum_RawData!$A:$A,"5_Maximum"),"",INDEX(Maximum_RawData!J:J,MATCH("5_Maximum",Maximum_RawData!$A:$A,0)+ROWS($2:91)-1))</f>
        <v>399</v>
      </c>
      <c r="K91">
        <f>IF(ROWS($2:91)&gt;COUNTIF(Maximum_RawData!$A:$A,"5_Maximum"),"",INDEX(Maximum_RawData!K:K,MATCH("5_Maximum",Maximum_RawData!$A:$A,0)+ROWS($2:91)-1))</f>
        <v>399</v>
      </c>
      <c r="L91">
        <f>IF(ROWS($2:91)&gt;COUNTIF(Maximum_RawData!$A:$A,"5_Maximum"),"",INDEX(Maximum_RawData!L:L,MATCH("5_Maximum",Maximum_RawData!$A:$A,0)+ROWS($2:91)-1))</f>
        <v>399</v>
      </c>
      <c r="M91">
        <f>IF(ROWS($2:91)&gt;COUNTIF(Maximum_RawData!$A:$A,"5_Maximum"),"",INDEX(Maximum_RawData!M:M,MATCH("5_Maximum",Maximum_RawData!$A:$A,0)+ROWS($2:91)-1))</f>
        <v>399</v>
      </c>
      <c r="N91">
        <f>IF(ROWS($2:91)&gt;COUNTIF(Maximum_RawData!$A:$A,"5_Maximum"),"",INDEX(Maximum_RawData!N:N,MATCH("5_Maximum",Maximum_RawData!$A:$A,0)+ROWS($2:91)-1))</f>
        <v>0.09</v>
      </c>
      <c r="O91">
        <f>IF(ROWS($2:91)&gt;COUNTIF(Maximum_RawData!$A:$A,"5_Maximum"),"",INDEX(Maximum_RawData!O:O,MATCH("5_Maximum",Maximum_RawData!$A:$A,0)+ROWS($2:91)-1))</f>
        <v>0.11</v>
      </c>
      <c r="P91">
        <f>IF(ROWS($2:91)&gt;COUNTIF(Maximum_RawData!$A:$A,"5_Maximum"),"",INDEX(Maximum_RawData!P:P,MATCH("5_Maximum",Maximum_RawData!$A:$A,0)+ROWS($2:91)-1))</f>
        <v>0.08</v>
      </c>
      <c r="Q91">
        <f>IF(ROWS($2:91)&gt;COUNTIF(Maximum_RawData!$A:$A,"5_Maximum"),"",INDEX(Maximum_RawData!Q:Q,MATCH("5_Maximum",Maximum_RawData!$A:$A,0)+ROWS($2:91)-1))</f>
        <v>0.1</v>
      </c>
      <c r="R91" t="str">
        <f>IF(ROWS($2:91)&gt;COUNTIF(Maximum_RawData!$A:$A,"5_Maximum"),"",INDEX(Maximum_RawData!R:R,MATCH("5_Maximum",Maximum_RawData!$A:$A,0)+ROWS($2:91)-1))</f>
        <v>Pass</v>
      </c>
      <c r="S91">
        <f>IF(ROWS($2:91)&gt;COUNTIF(Maximum_RawData!$A:$A,"5_Maximum"),"",INDEX(Maximum_RawData!S:S,MATCH("5_Maximum",Maximum_RawData!$A:$A,0)+ROWS($2:91)-1))</f>
        <v>0</v>
      </c>
      <c r="T91">
        <f>IF(ROWS($2:91)&gt;COUNTIF(Maximum_RawData!$A:$A,"5_Maximum"),"",INDEX(Maximum_RawData!T:T,MATCH("5_Maximum",Maximum_RawData!$A:$A,0)+ROWS($2:91)-1))</f>
        <v>0</v>
      </c>
    </row>
    <row r="92" spans="1:20">
      <c r="A92" t="str">
        <f>IF(ROWS($2:92)&gt;COUNTIF(Maximum_RawData!$A:$A,"5_Maximum"),"",INDEX(Maximum_RawData!A:A,MATCH("5_Maximum",Maximum_RawData!$A:$A,0)+ROWS($2:92)-1))</f>
        <v>5_Maximum</v>
      </c>
      <c r="B92">
        <f>IF(ROWS($2:92)&gt;COUNTIF(Maximum_RawData!$A:$A,"5_Maximum"),"",INDEX(Maximum_RawData!B:B,MATCH("5_Maximum",Maximum_RawData!$A:$A,0)+ROWS($2:92)-1))</f>
        <v>150253.13500000001</v>
      </c>
      <c r="C92">
        <f>IF(ROWS($2:92)&gt;COUNTIF(Maximum_RawData!$A:$A,"5_Maximum"),"",INDEX(Maximum_RawData!C:C,MATCH("5_Maximum",Maximum_RawData!$A:$A,0)+ROWS($2:92)-1))</f>
        <v>2.76</v>
      </c>
      <c r="D92">
        <f>IF(ROWS($2:92)&gt;COUNTIF(Maximum_RawData!$A:$A,"5_Maximum"),"",INDEX(Maximum_RawData!D:D,MATCH("5_Maximum",Maximum_RawData!$A:$A,0)+ROWS($2:92)-1))</f>
        <v>1308.223</v>
      </c>
      <c r="E92">
        <f>IF(ROWS($2:92)&gt;COUNTIF(Maximum_RawData!$A:$A,"5_Maximum"),"",INDEX(Maximum_RawData!E:E,MATCH("5_Maximum",Maximum_RawData!$A:$A,0)+ROWS($2:92)-1))</f>
        <v>9.49</v>
      </c>
      <c r="F92">
        <f>IF(ROWS($2:92)&gt;COUNTIF(Maximum_RawData!$A:$A,"5_Maximum"),"",INDEX(Maximum_RawData!F:F,MATCH("5_Maximum",Maximum_RawData!$A:$A,0)+ROWS($2:92)-1))</f>
        <v>399</v>
      </c>
      <c r="G92">
        <f>IF(ROWS($2:92)&gt;COUNTIF(Maximum_RawData!$A:$A,"5_Maximum"),"",INDEX(Maximum_RawData!G:G,MATCH("5_Maximum",Maximum_RawData!$A:$A,0)+ROWS($2:92)-1))</f>
        <v>399</v>
      </c>
      <c r="H92">
        <f>IF(ROWS($2:92)&gt;COUNTIF(Maximum_RawData!$A:$A,"5_Maximum"),"",INDEX(Maximum_RawData!H:H,MATCH("5_Maximum",Maximum_RawData!$A:$A,0)+ROWS($2:92)-1))</f>
        <v>399</v>
      </c>
      <c r="I92">
        <f>IF(ROWS($2:92)&gt;COUNTIF(Maximum_RawData!$A:$A,"5_Maximum"),"",INDEX(Maximum_RawData!I:I,MATCH("5_Maximum",Maximum_RawData!$A:$A,0)+ROWS($2:92)-1))</f>
        <v>399</v>
      </c>
      <c r="J92">
        <f>IF(ROWS($2:92)&gt;COUNTIF(Maximum_RawData!$A:$A,"5_Maximum"),"",INDEX(Maximum_RawData!J:J,MATCH("5_Maximum",Maximum_RawData!$A:$A,0)+ROWS($2:92)-1))</f>
        <v>399</v>
      </c>
      <c r="K92">
        <f>IF(ROWS($2:92)&gt;COUNTIF(Maximum_RawData!$A:$A,"5_Maximum"),"",INDEX(Maximum_RawData!K:K,MATCH("5_Maximum",Maximum_RawData!$A:$A,0)+ROWS($2:92)-1))</f>
        <v>399</v>
      </c>
      <c r="L92">
        <f>IF(ROWS($2:92)&gt;COUNTIF(Maximum_RawData!$A:$A,"5_Maximum"),"",INDEX(Maximum_RawData!L:L,MATCH("5_Maximum",Maximum_RawData!$A:$A,0)+ROWS($2:92)-1))</f>
        <v>399</v>
      </c>
      <c r="M92">
        <f>IF(ROWS($2:92)&gt;COUNTIF(Maximum_RawData!$A:$A,"5_Maximum"),"",INDEX(Maximum_RawData!M:M,MATCH("5_Maximum",Maximum_RawData!$A:$A,0)+ROWS($2:92)-1))</f>
        <v>399</v>
      </c>
      <c r="N92">
        <f>IF(ROWS($2:92)&gt;COUNTIF(Maximum_RawData!$A:$A,"5_Maximum"),"",INDEX(Maximum_RawData!N:N,MATCH("5_Maximum",Maximum_RawData!$A:$A,0)+ROWS($2:92)-1))</f>
        <v>0.09</v>
      </c>
      <c r="O92">
        <f>IF(ROWS($2:92)&gt;COUNTIF(Maximum_RawData!$A:$A,"5_Maximum"),"",INDEX(Maximum_RawData!O:O,MATCH("5_Maximum",Maximum_RawData!$A:$A,0)+ROWS($2:92)-1))</f>
        <v>0.11</v>
      </c>
      <c r="P92">
        <f>IF(ROWS($2:92)&gt;COUNTIF(Maximum_RawData!$A:$A,"5_Maximum"),"",INDEX(Maximum_RawData!P:P,MATCH("5_Maximum",Maximum_RawData!$A:$A,0)+ROWS($2:92)-1))</f>
        <v>0.08</v>
      </c>
      <c r="Q92">
        <f>IF(ROWS($2:92)&gt;COUNTIF(Maximum_RawData!$A:$A,"5_Maximum"),"",INDEX(Maximum_RawData!Q:Q,MATCH("5_Maximum",Maximum_RawData!$A:$A,0)+ROWS($2:92)-1))</f>
        <v>0.1</v>
      </c>
      <c r="R92" t="str">
        <f>IF(ROWS($2:92)&gt;COUNTIF(Maximum_RawData!$A:$A,"5_Maximum"),"",INDEX(Maximum_RawData!R:R,MATCH("5_Maximum",Maximum_RawData!$A:$A,0)+ROWS($2:92)-1))</f>
        <v>Pass</v>
      </c>
      <c r="S92">
        <f>IF(ROWS($2:92)&gt;COUNTIF(Maximum_RawData!$A:$A,"5_Maximum"),"",INDEX(Maximum_RawData!S:S,MATCH("5_Maximum",Maximum_RawData!$A:$A,0)+ROWS($2:92)-1))</f>
        <v>0</v>
      </c>
      <c r="T92">
        <f>IF(ROWS($2:92)&gt;COUNTIF(Maximum_RawData!$A:$A,"5_Maximum"),"",INDEX(Maximum_RawData!T:T,MATCH("5_Maximum",Maximum_RawData!$A:$A,0)+ROWS($2:92)-1))</f>
        <v>0</v>
      </c>
    </row>
    <row r="93" spans="1:20">
      <c r="A93" t="str">
        <f>IF(ROWS($2:93)&gt;COUNTIF(Maximum_RawData!$A:$A,"5_Maximum"),"",INDEX(Maximum_RawData!A:A,MATCH("5_Maximum",Maximum_RawData!$A:$A,0)+ROWS($2:93)-1))</f>
        <v>5_Maximum</v>
      </c>
      <c r="B93">
        <f>IF(ROWS($2:93)&gt;COUNTIF(Maximum_RawData!$A:$A,"5_Maximum"),"",INDEX(Maximum_RawData!B:B,MATCH("5_Maximum",Maximum_RawData!$A:$A,0)+ROWS($2:93)-1))</f>
        <v>150258.15100000001</v>
      </c>
      <c r="C93">
        <f>IF(ROWS($2:93)&gt;COUNTIF(Maximum_RawData!$A:$A,"5_Maximum"),"",INDEX(Maximum_RawData!C:C,MATCH("5_Maximum",Maximum_RawData!$A:$A,0)+ROWS($2:93)-1))</f>
        <v>2.0299999999999998</v>
      </c>
      <c r="D93">
        <f>IF(ROWS($2:93)&gt;COUNTIF(Maximum_RawData!$A:$A,"5_Maximum"),"",INDEX(Maximum_RawData!D:D,MATCH("5_Maximum",Maximum_RawData!$A:$A,0)+ROWS($2:93)-1))</f>
        <v>1308.153</v>
      </c>
      <c r="E93">
        <f>IF(ROWS($2:93)&gt;COUNTIF(Maximum_RawData!$A:$A,"5_Maximum"),"",INDEX(Maximum_RawData!E:E,MATCH("5_Maximum",Maximum_RawData!$A:$A,0)+ROWS($2:93)-1))</f>
        <v>9.4499999999999993</v>
      </c>
      <c r="F93">
        <f>IF(ROWS($2:93)&gt;COUNTIF(Maximum_RawData!$A:$A,"5_Maximum"),"",INDEX(Maximum_RawData!F:F,MATCH("5_Maximum",Maximum_RawData!$A:$A,0)+ROWS($2:93)-1))</f>
        <v>399</v>
      </c>
      <c r="G93">
        <f>IF(ROWS($2:93)&gt;COUNTIF(Maximum_RawData!$A:$A,"5_Maximum"),"",INDEX(Maximum_RawData!G:G,MATCH("5_Maximum",Maximum_RawData!$A:$A,0)+ROWS($2:93)-1))</f>
        <v>399</v>
      </c>
      <c r="H93">
        <f>IF(ROWS($2:93)&gt;COUNTIF(Maximum_RawData!$A:$A,"5_Maximum"),"",INDEX(Maximum_RawData!H:H,MATCH("5_Maximum",Maximum_RawData!$A:$A,0)+ROWS($2:93)-1))</f>
        <v>399</v>
      </c>
      <c r="I93">
        <f>IF(ROWS($2:93)&gt;COUNTIF(Maximum_RawData!$A:$A,"5_Maximum"),"",INDEX(Maximum_RawData!I:I,MATCH("5_Maximum",Maximum_RawData!$A:$A,0)+ROWS($2:93)-1))</f>
        <v>399</v>
      </c>
      <c r="J93">
        <f>IF(ROWS($2:93)&gt;COUNTIF(Maximum_RawData!$A:$A,"5_Maximum"),"",INDEX(Maximum_RawData!J:J,MATCH("5_Maximum",Maximum_RawData!$A:$A,0)+ROWS($2:93)-1))</f>
        <v>399</v>
      </c>
      <c r="K93">
        <f>IF(ROWS($2:93)&gt;COUNTIF(Maximum_RawData!$A:$A,"5_Maximum"),"",INDEX(Maximum_RawData!K:K,MATCH("5_Maximum",Maximum_RawData!$A:$A,0)+ROWS($2:93)-1))</f>
        <v>399</v>
      </c>
      <c r="L93">
        <f>IF(ROWS($2:93)&gt;COUNTIF(Maximum_RawData!$A:$A,"5_Maximum"),"",INDEX(Maximum_RawData!L:L,MATCH("5_Maximum",Maximum_RawData!$A:$A,0)+ROWS($2:93)-1))</f>
        <v>399</v>
      </c>
      <c r="M93">
        <f>IF(ROWS($2:93)&gt;COUNTIF(Maximum_RawData!$A:$A,"5_Maximum"),"",INDEX(Maximum_RawData!M:M,MATCH("5_Maximum",Maximum_RawData!$A:$A,0)+ROWS($2:93)-1))</f>
        <v>399</v>
      </c>
      <c r="N93">
        <f>IF(ROWS($2:93)&gt;COUNTIF(Maximum_RawData!$A:$A,"5_Maximum"),"",INDEX(Maximum_RawData!N:N,MATCH("5_Maximum",Maximum_RawData!$A:$A,0)+ROWS($2:93)-1))</f>
        <v>0.1</v>
      </c>
      <c r="O93">
        <f>IF(ROWS($2:93)&gt;COUNTIF(Maximum_RawData!$A:$A,"5_Maximum"),"",INDEX(Maximum_RawData!O:O,MATCH("5_Maximum",Maximum_RawData!$A:$A,0)+ROWS($2:93)-1))</f>
        <v>0.11</v>
      </c>
      <c r="P93">
        <f>IF(ROWS($2:93)&gt;COUNTIF(Maximum_RawData!$A:$A,"5_Maximum"),"",INDEX(Maximum_RawData!P:P,MATCH("5_Maximum",Maximum_RawData!$A:$A,0)+ROWS($2:93)-1))</f>
        <v>0.08</v>
      </c>
      <c r="Q93">
        <f>IF(ROWS($2:93)&gt;COUNTIF(Maximum_RawData!$A:$A,"5_Maximum"),"",INDEX(Maximum_RawData!Q:Q,MATCH("5_Maximum",Maximum_RawData!$A:$A,0)+ROWS($2:93)-1))</f>
        <v>0.1</v>
      </c>
      <c r="R93" t="str">
        <f>IF(ROWS($2:93)&gt;COUNTIF(Maximum_RawData!$A:$A,"5_Maximum"),"",INDEX(Maximum_RawData!R:R,MATCH("5_Maximum",Maximum_RawData!$A:$A,0)+ROWS($2:93)-1))</f>
        <v>Pass</v>
      </c>
      <c r="S93">
        <f>IF(ROWS($2:93)&gt;COUNTIF(Maximum_RawData!$A:$A,"5_Maximum"),"",INDEX(Maximum_RawData!S:S,MATCH("5_Maximum",Maximum_RawData!$A:$A,0)+ROWS($2:93)-1))</f>
        <v>0</v>
      </c>
      <c r="T93">
        <f>IF(ROWS($2:93)&gt;COUNTIF(Maximum_RawData!$A:$A,"5_Maximum"),"",INDEX(Maximum_RawData!T:T,MATCH("5_Maximum",Maximum_RawData!$A:$A,0)+ROWS($2:93)-1))</f>
        <v>0</v>
      </c>
    </row>
    <row r="94" spans="1:20">
      <c r="A94" t="str">
        <f>IF(ROWS($2:94)&gt;COUNTIF(Maximum_RawData!$A:$A,"5_Maximum"),"",INDEX(Maximum_RawData!A:A,MATCH("5_Maximum",Maximum_RawData!$A:$A,0)+ROWS($2:94)-1))</f>
        <v>5_Maximum</v>
      </c>
      <c r="B94">
        <f>IF(ROWS($2:94)&gt;COUNTIF(Maximum_RawData!$A:$A,"5_Maximum"),"",INDEX(Maximum_RawData!B:B,MATCH("5_Maximum",Maximum_RawData!$A:$A,0)+ROWS($2:94)-1))</f>
        <v>150303.13099999999</v>
      </c>
      <c r="C94">
        <f>IF(ROWS($2:94)&gt;COUNTIF(Maximum_RawData!$A:$A,"5_Maximum"),"",INDEX(Maximum_RawData!C:C,MATCH("5_Maximum",Maximum_RawData!$A:$A,0)+ROWS($2:94)-1))</f>
        <v>1.3</v>
      </c>
      <c r="D94">
        <f>IF(ROWS($2:94)&gt;COUNTIF(Maximum_RawData!$A:$A,"5_Maximum"),"",INDEX(Maximum_RawData!D:D,MATCH("5_Maximum",Maximum_RawData!$A:$A,0)+ROWS($2:94)-1))</f>
        <v>1308.076</v>
      </c>
      <c r="E94">
        <f>IF(ROWS($2:94)&gt;COUNTIF(Maximum_RawData!$A:$A,"5_Maximum"),"",INDEX(Maximum_RawData!E:E,MATCH("5_Maximum",Maximum_RawData!$A:$A,0)+ROWS($2:94)-1))</f>
        <v>9.35</v>
      </c>
      <c r="F94">
        <f>IF(ROWS($2:94)&gt;COUNTIF(Maximum_RawData!$A:$A,"5_Maximum"),"",INDEX(Maximum_RawData!F:F,MATCH("5_Maximum",Maximum_RawData!$A:$A,0)+ROWS($2:94)-1))</f>
        <v>399</v>
      </c>
      <c r="G94">
        <f>IF(ROWS($2:94)&gt;COUNTIF(Maximum_RawData!$A:$A,"5_Maximum"),"",INDEX(Maximum_RawData!G:G,MATCH("5_Maximum",Maximum_RawData!$A:$A,0)+ROWS($2:94)-1))</f>
        <v>399</v>
      </c>
      <c r="H94">
        <f>IF(ROWS($2:94)&gt;COUNTIF(Maximum_RawData!$A:$A,"5_Maximum"),"",INDEX(Maximum_RawData!H:H,MATCH("5_Maximum",Maximum_RawData!$A:$A,0)+ROWS($2:94)-1))</f>
        <v>399</v>
      </c>
      <c r="I94">
        <f>IF(ROWS($2:94)&gt;COUNTIF(Maximum_RawData!$A:$A,"5_Maximum"),"",INDEX(Maximum_RawData!I:I,MATCH("5_Maximum",Maximum_RawData!$A:$A,0)+ROWS($2:94)-1))</f>
        <v>399</v>
      </c>
      <c r="J94">
        <f>IF(ROWS($2:94)&gt;COUNTIF(Maximum_RawData!$A:$A,"5_Maximum"),"",INDEX(Maximum_RawData!J:J,MATCH("5_Maximum",Maximum_RawData!$A:$A,0)+ROWS($2:94)-1))</f>
        <v>399</v>
      </c>
      <c r="K94">
        <f>IF(ROWS($2:94)&gt;COUNTIF(Maximum_RawData!$A:$A,"5_Maximum"),"",INDEX(Maximum_RawData!K:K,MATCH("5_Maximum",Maximum_RawData!$A:$A,0)+ROWS($2:94)-1))</f>
        <v>399</v>
      </c>
      <c r="L94">
        <f>IF(ROWS($2:94)&gt;COUNTIF(Maximum_RawData!$A:$A,"5_Maximum"),"",INDEX(Maximum_RawData!L:L,MATCH("5_Maximum",Maximum_RawData!$A:$A,0)+ROWS($2:94)-1))</f>
        <v>399</v>
      </c>
      <c r="M94">
        <f>IF(ROWS($2:94)&gt;COUNTIF(Maximum_RawData!$A:$A,"5_Maximum"),"",INDEX(Maximum_RawData!M:M,MATCH("5_Maximum",Maximum_RawData!$A:$A,0)+ROWS($2:94)-1))</f>
        <v>399</v>
      </c>
      <c r="N94">
        <f>IF(ROWS($2:94)&gt;COUNTIF(Maximum_RawData!$A:$A,"5_Maximum"),"",INDEX(Maximum_RawData!N:N,MATCH("5_Maximum",Maximum_RawData!$A:$A,0)+ROWS($2:94)-1))</f>
        <v>0.11</v>
      </c>
      <c r="O94">
        <f>IF(ROWS($2:94)&gt;COUNTIF(Maximum_RawData!$A:$A,"5_Maximum"),"",INDEX(Maximum_RawData!O:O,MATCH("5_Maximum",Maximum_RawData!$A:$A,0)+ROWS($2:94)-1))</f>
        <v>0.11</v>
      </c>
      <c r="P94">
        <f>IF(ROWS($2:94)&gt;COUNTIF(Maximum_RawData!$A:$A,"5_Maximum"),"",INDEX(Maximum_RawData!P:P,MATCH("5_Maximum",Maximum_RawData!$A:$A,0)+ROWS($2:94)-1))</f>
        <v>0.08</v>
      </c>
      <c r="Q94">
        <f>IF(ROWS($2:94)&gt;COUNTIF(Maximum_RawData!$A:$A,"5_Maximum"),"",INDEX(Maximum_RawData!Q:Q,MATCH("5_Maximum",Maximum_RawData!$A:$A,0)+ROWS($2:94)-1))</f>
        <v>0.1</v>
      </c>
      <c r="R94" t="str">
        <f>IF(ROWS($2:94)&gt;COUNTIF(Maximum_RawData!$A:$A,"5_Maximum"),"",INDEX(Maximum_RawData!R:R,MATCH("5_Maximum",Maximum_RawData!$A:$A,0)+ROWS($2:94)-1))</f>
        <v>Pass</v>
      </c>
      <c r="S94">
        <f>IF(ROWS($2:94)&gt;COUNTIF(Maximum_RawData!$A:$A,"5_Maximum"),"",INDEX(Maximum_RawData!S:S,MATCH("5_Maximum",Maximum_RawData!$A:$A,0)+ROWS($2:94)-1))</f>
        <v>0</v>
      </c>
      <c r="T94">
        <f>IF(ROWS($2:94)&gt;COUNTIF(Maximum_RawData!$A:$A,"5_Maximum"),"",INDEX(Maximum_RawData!T:T,MATCH("5_Maximum",Maximum_RawData!$A:$A,0)+ROWS($2:94)-1))</f>
        <v>0</v>
      </c>
    </row>
    <row r="95" spans="1:20">
      <c r="A95" t="str">
        <f>IF(ROWS($2:95)&gt;COUNTIF(Maximum_RawData!$A:$A,"5_Maximum"),"",INDEX(Maximum_RawData!A:A,MATCH("5_Maximum",Maximum_RawData!$A:$A,0)+ROWS($2:95)-1))</f>
        <v>5_Maximum</v>
      </c>
      <c r="B95">
        <f>IF(ROWS($2:95)&gt;COUNTIF(Maximum_RawData!$A:$A,"5_Maximum"),"",INDEX(Maximum_RawData!B:B,MATCH("5_Maximum",Maximum_RawData!$A:$A,0)+ROWS($2:95)-1))</f>
        <v>150308.141</v>
      </c>
      <c r="C95">
        <f>IF(ROWS($2:95)&gt;COUNTIF(Maximum_RawData!$A:$A,"5_Maximum"),"",INDEX(Maximum_RawData!C:C,MATCH("5_Maximum",Maximum_RawData!$A:$A,0)+ROWS($2:95)-1))</f>
        <v>0.54</v>
      </c>
      <c r="D95">
        <f>IF(ROWS($2:95)&gt;COUNTIF(Maximum_RawData!$A:$A,"5_Maximum"),"",INDEX(Maximum_RawData!D:D,MATCH("5_Maximum",Maximum_RawData!$A:$A,0)+ROWS($2:95)-1))</f>
        <v>1308.0129999999999</v>
      </c>
      <c r="E95">
        <f>IF(ROWS($2:95)&gt;COUNTIF(Maximum_RawData!$A:$A,"5_Maximum"),"",INDEX(Maximum_RawData!E:E,MATCH("5_Maximum",Maximum_RawData!$A:$A,0)+ROWS($2:95)-1))</f>
        <v>9.31</v>
      </c>
      <c r="F95">
        <f>IF(ROWS($2:95)&gt;COUNTIF(Maximum_RawData!$A:$A,"5_Maximum"),"",INDEX(Maximum_RawData!F:F,MATCH("5_Maximum",Maximum_RawData!$A:$A,0)+ROWS($2:95)-1))</f>
        <v>399</v>
      </c>
      <c r="G95">
        <f>IF(ROWS($2:95)&gt;COUNTIF(Maximum_RawData!$A:$A,"5_Maximum"),"",INDEX(Maximum_RawData!G:G,MATCH("5_Maximum",Maximum_RawData!$A:$A,0)+ROWS($2:95)-1))</f>
        <v>399</v>
      </c>
      <c r="H95">
        <f>IF(ROWS($2:95)&gt;COUNTIF(Maximum_RawData!$A:$A,"5_Maximum"),"",INDEX(Maximum_RawData!H:H,MATCH("5_Maximum",Maximum_RawData!$A:$A,0)+ROWS($2:95)-1))</f>
        <v>399</v>
      </c>
      <c r="I95">
        <f>IF(ROWS($2:95)&gt;COUNTIF(Maximum_RawData!$A:$A,"5_Maximum"),"",INDEX(Maximum_RawData!I:I,MATCH("5_Maximum",Maximum_RawData!$A:$A,0)+ROWS($2:95)-1))</f>
        <v>399</v>
      </c>
      <c r="J95">
        <f>IF(ROWS($2:95)&gt;COUNTIF(Maximum_RawData!$A:$A,"5_Maximum"),"",INDEX(Maximum_RawData!J:J,MATCH("5_Maximum",Maximum_RawData!$A:$A,0)+ROWS($2:95)-1))</f>
        <v>399</v>
      </c>
      <c r="K95">
        <f>IF(ROWS($2:95)&gt;COUNTIF(Maximum_RawData!$A:$A,"5_Maximum"),"",INDEX(Maximum_RawData!K:K,MATCH("5_Maximum",Maximum_RawData!$A:$A,0)+ROWS($2:95)-1))</f>
        <v>399</v>
      </c>
      <c r="L95">
        <f>IF(ROWS($2:95)&gt;COUNTIF(Maximum_RawData!$A:$A,"5_Maximum"),"",INDEX(Maximum_RawData!L:L,MATCH("5_Maximum",Maximum_RawData!$A:$A,0)+ROWS($2:95)-1))</f>
        <v>399</v>
      </c>
      <c r="M95">
        <f>IF(ROWS($2:95)&gt;COUNTIF(Maximum_RawData!$A:$A,"5_Maximum"),"",INDEX(Maximum_RawData!M:M,MATCH("5_Maximum",Maximum_RawData!$A:$A,0)+ROWS($2:95)-1))</f>
        <v>399</v>
      </c>
      <c r="N95">
        <f>IF(ROWS($2:95)&gt;COUNTIF(Maximum_RawData!$A:$A,"5_Maximum"),"",INDEX(Maximum_RawData!N:N,MATCH("5_Maximum",Maximum_RawData!$A:$A,0)+ROWS($2:95)-1))</f>
        <v>0.08</v>
      </c>
      <c r="O95">
        <f>IF(ROWS($2:95)&gt;COUNTIF(Maximum_RawData!$A:$A,"5_Maximum"),"",INDEX(Maximum_RawData!O:O,MATCH("5_Maximum",Maximum_RawData!$A:$A,0)+ROWS($2:95)-1))</f>
        <v>0.11</v>
      </c>
      <c r="P95">
        <f>IF(ROWS($2:95)&gt;COUNTIF(Maximum_RawData!$A:$A,"5_Maximum"),"",INDEX(Maximum_RawData!P:P,MATCH("5_Maximum",Maximum_RawData!$A:$A,0)+ROWS($2:95)-1))</f>
        <v>0.08</v>
      </c>
      <c r="Q95">
        <f>IF(ROWS($2:95)&gt;COUNTIF(Maximum_RawData!$A:$A,"5_Maximum"),"",INDEX(Maximum_RawData!Q:Q,MATCH("5_Maximum",Maximum_RawData!$A:$A,0)+ROWS($2:95)-1))</f>
        <v>0.1</v>
      </c>
      <c r="R95" t="str">
        <f>IF(ROWS($2:95)&gt;COUNTIF(Maximum_RawData!$A:$A,"5_Maximum"),"",INDEX(Maximum_RawData!R:R,MATCH("5_Maximum",Maximum_RawData!$A:$A,0)+ROWS($2:95)-1))</f>
        <v>Pass</v>
      </c>
      <c r="S95">
        <f>IF(ROWS($2:95)&gt;COUNTIF(Maximum_RawData!$A:$A,"5_Maximum"),"",INDEX(Maximum_RawData!S:S,MATCH("5_Maximum",Maximum_RawData!$A:$A,0)+ROWS($2:95)-1))</f>
        <v>0</v>
      </c>
      <c r="T95">
        <f>IF(ROWS($2:95)&gt;COUNTIF(Maximum_RawData!$A:$A,"5_Maximum"),"",INDEX(Maximum_RawData!T:T,MATCH("5_Maximum",Maximum_RawData!$A:$A,0)+ROWS($2:95)-1))</f>
        <v>0</v>
      </c>
    </row>
  </sheetData>
  <autoFilter ref="A1:T1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89"/>
  <sheetViews>
    <sheetView workbookViewId="0">
      <pane ySplit="1" topLeftCell="A2" activePane="bottomLeft" state="frozen"/>
      <selection pane="bottomLeft" activeCell="F16" sqref="F16"/>
    </sheetView>
  </sheetViews>
  <sheetFormatPr defaultRowHeight="15.6"/>
  <sheetData>
    <row r="1" spans="1:20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</row>
    <row r="2" spans="1:20">
      <c r="A2" t="s">
        <v>49</v>
      </c>
      <c r="B2">
        <v>145523.04399999999</v>
      </c>
      <c r="C2">
        <v>69.760000000000005</v>
      </c>
      <c r="D2">
        <v>1314.8579999999999</v>
      </c>
      <c r="E2">
        <v>-2.15</v>
      </c>
      <c r="F2">
        <v>399</v>
      </c>
      <c r="G2">
        <v>399</v>
      </c>
      <c r="H2">
        <v>399</v>
      </c>
      <c r="I2">
        <v>399</v>
      </c>
      <c r="J2">
        <v>399</v>
      </c>
      <c r="K2">
        <v>399</v>
      </c>
      <c r="L2">
        <v>399</v>
      </c>
      <c r="M2">
        <v>399</v>
      </c>
      <c r="N2">
        <v>0.08</v>
      </c>
      <c r="O2">
        <v>0.11</v>
      </c>
      <c r="P2">
        <v>0.08</v>
      </c>
      <c r="Q2">
        <v>0.1</v>
      </c>
      <c r="R2" t="s">
        <v>43</v>
      </c>
      <c r="S2" t="s">
        <v>50</v>
      </c>
      <c r="T2" t="s">
        <v>51</v>
      </c>
    </row>
    <row r="3" spans="1:20">
      <c r="A3" t="s">
        <v>49</v>
      </c>
      <c r="B3">
        <v>145528.05300000001</v>
      </c>
      <c r="C3">
        <v>69.010000000000005</v>
      </c>
      <c r="D3">
        <v>1314.7840000000001</v>
      </c>
      <c r="E3">
        <v>-1.9</v>
      </c>
      <c r="F3">
        <v>399</v>
      </c>
      <c r="G3">
        <v>399</v>
      </c>
      <c r="H3">
        <v>399</v>
      </c>
      <c r="I3">
        <v>399</v>
      </c>
      <c r="J3">
        <v>399</v>
      </c>
      <c r="K3">
        <v>399</v>
      </c>
      <c r="L3">
        <v>399</v>
      </c>
      <c r="M3">
        <v>399</v>
      </c>
      <c r="N3">
        <v>0.1</v>
      </c>
      <c r="O3">
        <v>0.11</v>
      </c>
      <c r="P3">
        <v>0.08</v>
      </c>
      <c r="Q3">
        <v>0.1</v>
      </c>
      <c r="R3" t="s">
        <v>41</v>
      </c>
      <c r="S3">
        <v>0</v>
      </c>
      <c r="T3">
        <v>0</v>
      </c>
    </row>
    <row r="4" spans="1:20">
      <c r="A4" t="s">
        <v>49</v>
      </c>
      <c r="B4">
        <v>145533.04999999999</v>
      </c>
      <c r="C4">
        <v>68.260000000000005</v>
      </c>
      <c r="D4">
        <v>1314.7180000000001</v>
      </c>
      <c r="E4">
        <v>-1.7</v>
      </c>
      <c r="F4">
        <v>399</v>
      </c>
      <c r="G4">
        <v>399</v>
      </c>
      <c r="H4">
        <v>399</v>
      </c>
      <c r="I4">
        <v>399</v>
      </c>
      <c r="J4">
        <v>399</v>
      </c>
      <c r="K4">
        <v>399</v>
      </c>
      <c r="L4">
        <v>399</v>
      </c>
      <c r="M4">
        <v>399</v>
      </c>
      <c r="N4">
        <v>0.09</v>
      </c>
      <c r="O4">
        <v>0.11</v>
      </c>
      <c r="P4">
        <v>0.08</v>
      </c>
      <c r="Q4">
        <v>0.1</v>
      </c>
      <c r="R4" t="s">
        <v>41</v>
      </c>
      <c r="S4">
        <v>0</v>
      </c>
      <c r="T4">
        <v>0</v>
      </c>
    </row>
    <row r="5" spans="1:20">
      <c r="A5" t="s">
        <v>49</v>
      </c>
      <c r="B5">
        <v>145538.049</v>
      </c>
      <c r="C5">
        <v>67.510000000000005</v>
      </c>
      <c r="D5">
        <v>1314.6479999999999</v>
      </c>
      <c r="E5">
        <v>-1.47</v>
      </c>
      <c r="F5">
        <v>399</v>
      </c>
      <c r="G5">
        <v>399</v>
      </c>
      <c r="H5">
        <v>399</v>
      </c>
      <c r="I5">
        <v>399</v>
      </c>
      <c r="J5">
        <v>399</v>
      </c>
      <c r="K5">
        <v>399</v>
      </c>
      <c r="L5">
        <v>399</v>
      </c>
      <c r="M5">
        <v>399</v>
      </c>
      <c r="N5">
        <v>0.09</v>
      </c>
      <c r="O5">
        <v>0.11</v>
      </c>
      <c r="P5">
        <v>0.08</v>
      </c>
      <c r="Q5">
        <v>0.1</v>
      </c>
      <c r="R5" t="s">
        <v>41</v>
      </c>
      <c r="S5">
        <v>0</v>
      </c>
      <c r="T5">
        <v>0</v>
      </c>
    </row>
    <row r="6" spans="1:20">
      <c r="A6" t="s">
        <v>49</v>
      </c>
      <c r="B6">
        <v>145543.05100000001</v>
      </c>
      <c r="C6">
        <v>66.78</v>
      </c>
      <c r="D6">
        <v>1314.579</v>
      </c>
      <c r="E6">
        <v>-1.23</v>
      </c>
      <c r="F6">
        <v>399</v>
      </c>
      <c r="G6">
        <v>399</v>
      </c>
      <c r="H6">
        <v>399</v>
      </c>
      <c r="I6">
        <v>399</v>
      </c>
      <c r="J6">
        <v>399</v>
      </c>
      <c r="K6">
        <v>399</v>
      </c>
      <c r="L6">
        <v>399</v>
      </c>
      <c r="M6">
        <v>399</v>
      </c>
      <c r="N6">
        <v>0.09</v>
      </c>
      <c r="O6">
        <v>0.11</v>
      </c>
      <c r="P6">
        <v>0.08</v>
      </c>
      <c r="Q6">
        <v>0.1</v>
      </c>
      <c r="R6" t="s">
        <v>41</v>
      </c>
      <c r="S6">
        <v>0</v>
      </c>
      <c r="T6">
        <v>0</v>
      </c>
    </row>
    <row r="7" spans="1:20">
      <c r="A7" t="s">
        <v>49</v>
      </c>
      <c r="B7">
        <v>145548.05300000001</v>
      </c>
      <c r="C7">
        <v>66.040000000000006</v>
      </c>
      <c r="D7">
        <v>1314.5150000000001</v>
      </c>
      <c r="E7">
        <v>-0.98</v>
      </c>
      <c r="F7">
        <v>399</v>
      </c>
      <c r="G7">
        <v>399</v>
      </c>
      <c r="H7">
        <v>399</v>
      </c>
      <c r="I7">
        <v>399</v>
      </c>
      <c r="J7">
        <v>399</v>
      </c>
      <c r="K7">
        <v>399</v>
      </c>
      <c r="L7">
        <v>399</v>
      </c>
      <c r="M7">
        <v>399</v>
      </c>
      <c r="N7">
        <v>0.09</v>
      </c>
      <c r="O7">
        <v>0.11</v>
      </c>
      <c r="P7">
        <v>0.08</v>
      </c>
      <c r="Q7">
        <v>0.1</v>
      </c>
      <c r="R7" t="s">
        <v>41</v>
      </c>
      <c r="S7">
        <v>0</v>
      </c>
      <c r="T7">
        <v>0</v>
      </c>
    </row>
    <row r="8" spans="1:20">
      <c r="A8" t="s">
        <v>49</v>
      </c>
      <c r="B8">
        <v>145553.04999999999</v>
      </c>
      <c r="C8">
        <v>65.31</v>
      </c>
      <c r="D8">
        <v>1314.4359999999999</v>
      </c>
      <c r="E8">
        <v>-0.66</v>
      </c>
      <c r="F8">
        <v>399</v>
      </c>
      <c r="G8">
        <v>399</v>
      </c>
      <c r="H8">
        <v>399</v>
      </c>
      <c r="I8">
        <v>399</v>
      </c>
      <c r="J8">
        <v>399</v>
      </c>
      <c r="K8">
        <v>399</v>
      </c>
      <c r="L8">
        <v>399</v>
      </c>
      <c r="M8">
        <v>399</v>
      </c>
      <c r="N8">
        <v>0.11</v>
      </c>
      <c r="O8">
        <v>0.11</v>
      </c>
      <c r="P8">
        <v>0.08</v>
      </c>
      <c r="Q8">
        <v>0.1</v>
      </c>
      <c r="R8" t="s">
        <v>41</v>
      </c>
      <c r="S8">
        <v>0</v>
      </c>
      <c r="T8">
        <v>0</v>
      </c>
    </row>
    <row r="9" spans="1:20">
      <c r="A9" t="s">
        <v>49</v>
      </c>
      <c r="B9">
        <v>145558.05499999999</v>
      </c>
      <c r="C9">
        <v>64.569999999999993</v>
      </c>
      <c r="D9">
        <v>1314.364</v>
      </c>
      <c r="E9">
        <v>-0.51</v>
      </c>
      <c r="F9">
        <v>399</v>
      </c>
      <c r="G9">
        <v>399</v>
      </c>
      <c r="H9">
        <v>399</v>
      </c>
      <c r="I9">
        <v>399</v>
      </c>
      <c r="J9">
        <v>399</v>
      </c>
      <c r="K9">
        <v>399</v>
      </c>
      <c r="L9">
        <v>399</v>
      </c>
      <c r="M9">
        <v>399</v>
      </c>
      <c r="N9">
        <v>0.1</v>
      </c>
      <c r="O9">
        <v>0.11</v>
      </c>
      <c r="P9">
        <v>0.08</v>
      </c>
      <c r="Q9">
        <v>0.1</v>
      </c>
      <c r="R9" t="s">
        <v>41</v>
      </c>
      <c r="S9">
        <v>0</v>
      </c>
      <c r="T9">
        <v>0</v>
      </c>
    </row>
    <row r="10" spans="1:20">
      <c r="A10" t="s">
        <v>49</v>
      </c>
      <c r="B10">
        <v>145603.05499999999</v>
      </c>
      <c r="C10">
        <v>63.84</v>
      </c>
      <c r="D10">
        <v>1314.3</v>
      </c>
      <c r="E10">
        <v>-0.35</v>
      </c>
      <c r="F10">
        <v>399</v>
      </c>
      <c r="G10">
        <v>399</v>
      </c>
      <c r="H10">
        <v>399</v>
      </c>
      <c r="I10">
        <v>399</v>
      </c>
      <c r="J10">
        <v>399</v>
      </c>
      <c r="K10">
        <v>399</v>
      </c>
      <c r="L10">
        <v>399</v>
      </c>
      <c r="M10">
        <v>399</v>
      </c>
      <c r="N10">
        <v>0.09</v>
      </c>
      <c r="O10">
        <v>0.11</v>
      </c>
      <c r="P10">
        <v>0.08</v>
      </c>
      <c r="Q10">
        <v>0.1</v>
      </c>
      <c r="R10" t="s">
        <v>41</v>
      </c>
      <c r="S10">
        <v>0</v>
      </c>
      <c r="T10">
        <v>0</v>
      </c>
    </row>
    <row r="11" spans="1:20">
      <c r="A11" t="s">
        <v>49</v>
      </c>
      <c r="B11">
        <v>145608.049</v>
      </c>
      <c r="C11">
        <v>63.09</v>
      </c>
      <c r="D11">
        <v>1314.221</v>
      </c>
      <c r="E11">
        <v>-0.1</v>
      </c>
      <c r="F11">
        <v>399</v>
      </c>
      <c r="G11">
        <v>399</v>
      </c>
      <c r="H11">
        <v>399</v>
      </c>
      <c r="I11">
        <v>399</v>
      </c>
      <c r="J11">
        <v>399</v>
      </c>
      <c r="K11">
        <v>399</v>
      </c>
      <c r="L11">
        <v>399</v>
      </c>
      <c r="M11">
        <v>399</v>
      </c>
      <c r="N11">
        <v>0.11</v>
      </c>
      <c r="O11">
        <v>0.11</v>
      </c>
      <c r="P11">
        <v>0.08</v>
      </c>
      <c r="Q11">
        <v>0.1</v>
      </c>
      <c r="R11" t="s">
        <v>41</v>
      </c>
      <c r="S11">
        <v>0</v>
      </c>
      <c r="T11">
        <v>0</v>
      </c>
    </row>
    <row r="12" spans="1:20">
      <c r="A12" t="s">
        <v>49</v>
      </c>
      <c r="B12">
        <v>145613.04699999999</v>
      </c>
      <c r="C12">
        <v>62.37</v>
      </c>
      <c r="D12">
        <v>1314.1510000000001</v>
      </c>
      <c r="E12">
        <v>0.13</v>
      </c>
      <c r="F12">
        <v>399</v>
      </c>
      <c r="G12">
        <v>399</v>
      </c>
      <c r="H12">
        <v>399</v>
      </c>
      <c r="I12">
        <v>399</v>
      </c>
      <c r="J12">
        <v>399</v>
      </c>
      <c r="K12">
        <v>399</v>
      </c>
      <c r="L12">
        <v>399</v>
      </c>
      <c r="M12">
        <v>399</v>
      </c>
      <c r="N12">
        <v>0.1</v>
      </c>
      <c r="O12">
        <v>0.11</v>
      </c>
      <c r="P12">
        <v>0.08</v>
      </c>
      <c r="Q12">
        <v>0.1</v>
      </c>
      <c r="R12" t="s">
        <v>41</v>
      </c>
      <c r="S12">
        <v>0</v>
      </c>
      <c r="T12">
        <v>0</v>
      </c>
    </row>
    <row r="13" spans="1:20">
      <c r="A13" t="s">
        <v>49</v>
      </c>
      <c r="B13">
        <v>145618.052</v>
      </c>
      <c r="C13">
        <v>61.62</v>
      </c>
      <c r="D13">
        <v>1314.077</v>
      </c>
      <c r="E13">
        <v>0.31</v>
      </c>
      <c r="F13">
        <v>399</v>
      </c>
      <c r="G13">
        <v>399</v>
      </c>
      <c r="H13">
        <v>399</v>
      </c>
      <c r="I13">
        <v>399</v>
      </c>
      <c r="J13">
        <v>399</v>
      </c>
      <c r="K13">
        <v>399</v>
      </c>
      <c r="L13">
        <v>399</v>
      </c>
      <c r="M13">
        <v>399</v>
      </c>
      <c r="N13">
        <v>0.1</v>
      </c>
      <c r="O13">
        <v>0.11</v>
      </c>
      <c r="P13">
        <v>0.08</v>
      </c>
      <c r="Q13">
        <v>0.1</v>
      </c>
      <c r="R13" t="s">
        <v>41</v>
      </c>
      <c r="S13">
        <v>0</v>
      </c>
      <c r="T13">
        <v>0</v>
      </c>
    </row>
    <row r="14" spans="1:20">
      <c r="A14" t="s">
        <v>49</v>
      </c>
      <c r="B14">
        <v>145623.057</v>
      </c>
      <c r="C14">
        <v>60.89</v>
      </c>
      <c r="D14">
        <v>1314.0060000000001</v>
      </c>
      <c r="E14">
        <v>0.48</v>
      </c>
      <c r="F14">
        <v>399</v>
      </c>
      <c r="G14">
        <v>399</v>
      </c>
      <c r="H14">
        <v>399</v>
      </c>
      <c r="I14">
        <v>399</v>
      </c>
      <c r="J14">
        <v>399</v>
      </c>
      <c r="K14">
        <v>399</v>
      </c>
      <c r="L14">
        <v>399</v>
      </c>
      <c r="M14">
        <v>399</v>
      </c>
      <c r="N14">
        <v>0.1</v>
      </c>
      <c r="O14">
        <v>0.11</v>
      </c>
      <c r="P14">
        <v>0.08</v>
      </c>
      <c r="Q14">
        <v>0.1</v>
      </c>
      <c r="R14" t="s">
        <v>41</v>
      </c>
      <c r="S14">
        <v>0</v>
      </c>
      <c r="T14">
        <v>0</v>
      </c>
    </row>
    <row r="15" spans="1:20">
      <c r="A15" t="s">
        <v>49</v>
      </c>
      <c r="B15">
        <v>145628.06099999999</v>
      </c>
      <c r="C15">
        <v>60.12</v>
      </c>
      <c r="D15">
        <v>1313.9349999999999</v>
      </c>
      <c r="E15">
        <v>0.77</v>
      </c>
      <c r="F15">
        <v>399</v>
      </c>
      <c r="G15">
        <v>399</v>
      </c>
      <c r="H15">
        <v>399</v>
      </c>
      <c r="I15">
        <v>399</v>
      </c>
      <c r="J15">
        <v>399</v>
      </c>
      <c r="K15">
        <v>399</v>
      </c>
      <c r="L15">
        <v>399</v>
      </c>
      <c r="M15">
        <v>399</v>
      </c>
      <c r="N15">
        <v>0.09</v>
      </c>
      <c r="O15">
        <v>0.11</v>
      </c>
      <c r="P15">
        <v>0.08</v>
      </c>
      <c r="Q15">
        <v>0.1</v>
      </c>
      <c r="R15" t="s">
        <v>41</v>
      </c>
      <c r="S15">
        <v>0</v>
      </c>
      <c r="T15">
        <v>0</v>
      </c>
    </row>
    <row r="16" spans="1:20">
      <c r="A16" t="s">
        <v>49</v>
      </c>
      <c r="B16">
        <v>145633.05900000001</v>
      </c>
      <c r="C16">
        <v>59.35</v>
      </c>
      <c r="D16">
        <v>1313.8620000000001</v>
      </c>
      <c r="E16">
        <v>1.02</v>
      </c>
      <c r="F16">
        <v>399</v>
      </c>
      <c r="G16">
        <v>399</v>
      </c>
      <c r="H16">
        <v>399</v>
      </c>
      <c r="I16">
        <v>399</v>
      </c>
      <c r="J16">
        <v>399</v>
      </c>
      <c r="K16">
        <v>399</v>
      </c>
      <c r="L16">
        <v>399</v>
      </c>
      <c r="M16">
        <v>399</v>
      </c>
      <c r="N16">
        <v>0.09</v>
      </c>
      <c r="O16">
        <v>0.11</v>
      </c>
      <c r="P16">
        <v>0.08</v>
      </c>
      <c r="Q16">
        <v>0.1</v>
      </c>
      <c r="R16" t="s">
        <v>41</v>
      </c>
      <c r="S16">
        <v>0</v>
      </c>
      <c r="T16">
        <v>0</v>
      </c>
    </row>
    <row r="17" spans="1:20">
      <c r="A17" t="s">
        <v>49</v>
      </c>
      <c r="B17">
        <v>145638.054</v>
      </c>
      <c r="C17">
        <v>58.59</v>
      </c>
      <c r="D17">
        <v>1313.789</v>
      </c>
      <c r="E17">
        <v>1.25</v>
      </c>
      <c r="F17">
        <v>399</v>
      </c>
      <c r="G17">
        <v>399</v>
      </c>
      <c r="H17">
        <v>399</v>
      </c>
      <c r="I17">
        <v>399</v>
      </c>
      <c r="J17">
        <v>399</v>
      </c>
      <c r="K17">
        <v>399</v>
      </c>
      <c r="L17">
        <v>399</v>
      </c>
      <c r="M17">
        <v>399</v>
      </c>
      <c r="N17">
        <v>0.1</v>
      </c>
      <c r="O17">
        <v>0.11</v>
      </c>
      <c r="P17">
        <v>0.08</v>
      </c>
      <c r="Q17">
        <v>0.1</v>
      </c>
      <c r="R17" t="s">
        <v>41</v>
      </c>
      <c r="S17">
        <v>0</v>
      </c>
      <c r="T17">
        <v>0</v>
      </c>
    </row>
    <row r="18" spans="1:20">
      <c r="A18" t="s">
        <v>49</v>
      </c>
      <c r="B18">
        <v>145643.065</v>
      </c>
      <c r="C18">
        <v>57.84</v>
      </c>
      <c r="D18">
        <v>1313.7149999999999</v>
      </c>
      <c r="E18">
        <v>1.41</v>
      </c>
      <c r="F18">
        <v>399</v>
      </c>
      <c r="G18">
        <v>399</v>
      </c>
      <c r="H18">
        <v>399</v>
      </c>
      <c r="I18">
        <v>399</v>
      </c>
      <c r="J18">
        <v>399</v>
      </c>
      <c r="K18">
        <v>399</v>
      </c>
      <c r="L18">
        <v>399</v>
      </c>
      <c r="M18">
        <v>399</v>
      </c>
      <c r="N18">
        <v>0.1</v>
      </c>
      <c r="O18">
        <v>0.11</v>
      </c>
      <c r="P18">
        <v>0.08</v>
      </c>
      <c r="Q18">
        <v>0.1</v>
      </c>
      <c r="R18" t="s">
        <v>41</v>
      </c>
      <c r="S18">
        <v>0</v>
      </c>
      <c r="T18">
        <v>0</v>
      </c>
    </row>
    <row r="19" spans="1:20">
      <c r="A19" t="s">
        <v>49</v>
      </c>
      <c r="B19">
        <v>145648.06200000001</v>
      </c>
      <c r="C19">
        <v>57.11</v>
      </c>
      <c r="D19">
        <v>1313.6420000000001</v>
      </c>
      <c r="E19">
        <v>1.62</v>
      </c>
      <c r="F19">
        <v>399</v>
      </c>
      <c r="G19">
        <v>399</v>
      </c>
      <c r="H19">
        <v>399</v>
      </c>
      <c r="I19">
        <v>399</v>
      </c>
      <c r="J19">
        <v>399</v>
      </c>
      <c r="K19">
        <v>399</v>
      </c>
      <c r="L19">
        <v>399</v>
      </c>
      <c r="M19">
        <v>399</v>
      </c>
      <c r="N19">
        <v>0.1</v>
      </c>
      <c r="O19">
        <v>0.11</v>
      </c>
      <c r="P19">
        <v>0.08</v>
      </c>
      <c r="Q19">
        <v>0.1</v>
      </c>
      <c r="R19" t="s">
        <v>41</v>
      </c>
      <c r="S19">
        <v>0</v>
      </c>
      <c r="T19">
        <v>0</v>
      </c>
    </row>
    <row r="20" spans="1:20">
      <c r="A20" t="s">
        <v>49</v>
      </c>
      <c r="B20">
        <v>145653.06400000001</v>
      </c>
      <c r="C20">
        <v>56.35</v>
      </c>
      <c r="D20">
        <v>1313.57</v>
      </c>
      <c r="E20">
        <v>1.75</v>
      </c>
      <c r="F20">
        <v>399</v>
      </c>
      <c r="G20">
        <v>399</v>
      </c>
      <c r="H20">
        <v>399</v>
      </c>
      <c r="I20">
        <v>399</v>
      </c>
      <c r="J20">
        <v>399</v>
      </c>
      <c r="K20">
        <v>399</v>
      </c>
      <c r="L20">
        <v>399</v>
      </c>
      <c r="M20">
        <v>399</v>
      </c>
      <c r="N20">
        <v>0.09</v>
      </c>
      <c r="O20">
        <v>0.11</v>
      </c>
      <c r="P20">
        <v>0.08</v>
      </c>
      <c r="Q20">
        <v>0.1</v>
      </c>
      <c r="R20" t="s">
        <v>41</v>
      </c>
      <c r="S20">
        <v>0</v>
      </c>
      <c r="T20">
        <v>0</v>
      </c>
    </row>
    <row r="21" spans="1:20">
      <c r="A21" t="s">
        <v>49</v>
      </c>
      <c r="B21">
        <v>145658.06299999999</v>
      </c>
      <c r="C21">
        <v>55.61</v>
      </c>
      <c r="D21">
        <v>1313.5</v>
      </c>
      <c r="E21">
        <v>1.93</v>
      </c>
      <c r="F21">
        <v>399</v>
      </c>
      <c r="G21">
        <v>399</v>
      </c>
      <c r="H21">
        <v>399</v>
      </c>
      <c r="I21">
        <v>399</v>
      </c>
      <c r="J21">
        <v>399</v>
      </c>
      <c r="K21">
        <v>399</v>
      </c>
      <c r="L21">
        <v>399</v>
      </c>
      <c r="M21">
        <v>399</v>
      </c>
      <c r="N21">
        <v>0.09</v>
      </c>
      <c r="O21">
        <v>0.11</v>
      </c>
      <c r="P21">
        <v>0.08</v>
      </c>
      <c r="Q21">
        <v>0.1</v>
      </c>
      <c r="R21" t="s">
        <v>41</v>
      </c>
      <c r="S21">
        <v>0</v>
      </c>
      <c r="T21">
        <v>0</v>
      </c>
    </row>
    <row r="22" spans="1:20">
      <c r="A22" t="s">
        <v>49</v>
      </c>
      <c r="B22">
        <v>145703.076</v>
      </c>
      <c r="C22">
        <v>54.86</v>
      </c>
      <c r="D22">
        <v>1313.4259999999999</v>
      </c>
      <c r="E22">
        <v>2.17</v>
      </c>
      <c r="F22">
        <v>399</v>
      </c>
      <c r="G22">
        <v>399</v>
      </c>
      <c r="H22">
        <v>399</v>
      </c>
      <c r="I22">
        <v>399</v>
      </c>
      <c r="J22">
        <v>399</v>
      </c>
      <c r="K22">
        <v>399</v>
      </c>
      <c r="L22">
        <v>399</v>
      </c>
      <c r="M22">
        <v>399</v>
      </c>
      <c r="N22">
        <v>0.1</v>
      </c>
      <c r="O22">
        <v>0.11</v>
      </c>
      <c r="P22">
        <v>0.08</v>
      </c>
      <c r="Q22">
        <v>0.1</v>
      </c>
      <c r="R22" t="s">
        <v>41</v>
      </c>
      <c r="S22">
        <v>0</v>
      </c>
      <c r="T22">
        <v>0</v>
      </c>
    </row>
    <row r="23" spans="1:20">
      <c r="A23" t="s">
        <v>49</v>
      </c>
      <c r="B23">
        <v>145708.07199999999</v>
      </c>
      <c r="C23">
        <v>54.1</v>
      </c>
      <c r="D23">
        <v>1313.3610000000001</v>
      </c>
      <c r="E23">
        <v>2.37</v>
      </c>
      <c r="F23">
        <v>399</v>
      </c>
      <c r="G23">
        <v>399</v>
      </c>
      <c r="H23">
        <v>399</v>
      </c>
      <c r="I23">
        <v>399</v>
      </c>
      <c r="J23">
        <v>399</v>
      </c>
      <c r="K23">
        <v>399</v>
      </c>
      <c r="L23">
        <v>399</v>
      </c>
      <c r="M23">
        <v>399</v>
      </c>
      <c r="N23">
        <v>0.09</v>
      </c>
      <c r="O23">
        <v>0.11</v>
      </c>
      <c r="P23">
        <v>0.08</v>
      </c>
      <c r="Q23">
        <v>0.1</v>
      </c>
      <c r="R23" t="s">
        <v>41</v>
      </c>
      <c r="S23">
        <v>0</v>
      </c>
      <c r="T23">
        <v>0</v>
      </c>
    </row>
    <row r="24" spans="1:20">
      <c r="A24" t="s">
        <v>49</v>
      </c>
      <c r="B24">
        <v>145713.06400000001</v>
      </c>
      <c r="C24">
        <v>53.36</v>
      </c>
      <c r="D24">
        <v>1313.289</v>
      </c>
      <c r="E24">
        <v>2.5099999999999998</v>
      </c>
      <c r="F24">
        <v>399</v>
      </c>
      <c r="G24">
        <v>399</v>
      </c>
      <c r="H24">
        <v>399</v>
      </c>
      <c r="I24">
        <v>399</v>
      </c>
      <c r="J24">
        <v>399</v>
      </c>
      <c r="K24">
        <v>399</v>
      </c>
      <c r="L24">
        <v>399</v>
      </c>
      <c r="M24">
        <v>399</v>
      </c>
      <c r="N24">
        <v>0.1</v>
      </c>
      <c r="O24">
        <v>0.11</v>
      </c>
      <c r="P24">
        <v>0.08</v>
      </c>
      <c r="Q24">
        <v>0.1</v>
      </c>
      <c r="R24" t="s">
        <v>41</v>
      </c>
      <c r="S24">
        <v>0</v>
      </c>
      <c r="T24">
        <v>0</v>
      </c>
    </row>
    <row r="25" spans="1:20">
      <c r="A25" t="s">
        <v>49</v>
      </c>
      <c r="B25">
        <v>145718.065</v>
      </c>
      <c r="C25">
        <v>52.6</v>
      </c>
      <c r="D25">
        <v>1313.2170000000001</v>
      </c>
      <c r="E25">
        <v>2.74</v>
      </c>
      <c r="F25">
        <v>399</v>
      </c>
      <c r="G25">
        <v>399</v>
      </c>
      <c r="H25">
        <v>399</v>
      </c>
      <c r="I25">
        <v>399</v>
      </c>
      <c r="J25">
        <v>399</v>
      </c>
      <c r="K25">
        <v>399</v>
      </c>
      <c r="L25">
        <v>399</v>
      </c>
      <c r="M25">
        <v>399</v>
      </c>
      <c r="N25">
        <v>0.09</v>
      </c>
      <c r="O25">
        <v>0.11</v>
      </c>
      <c r="P25">
        <v>0.08</v>
      </c>
      <c r="Q25">
        <v>0.1</v>
      </c>
      <c r="R25" t="s">
        <v>41</v>
      </c>
      <c r="S25">
        <v>0</v>
      </c>
      <c r="T25">
        <v>0</v>
      </c>
    </row>
    <row r="26" spans="1:20">
      <c r="A26" t="s">
        <v>49</v>
      </c>
      <c r="B26">
        <v>145723.068</v>
      </c>
      <c r="C26">
        <v>51.88</v>
      </c>
      <c r="D26">
        <v>1313.1369999999999</v>
      </c>
      <c r="E26">
        <v>2.94</v>
      </c>
      <c r="F26">
        <v>399</v>
      </c>
      <c r="G26">
        <v>399</v>
      </c>
      <c r="H26">
        <v>399</v>
      </c>
      <c r="I26">
        <v>399</v>
      </c>
      <c r="J26">
        <v>399</v>
      </c>
      <c r="K26">
        <v>399</v>
      </c>
      <c r="L26">
        <v>399</v>
      </c>
      <c r="M26">
        <v>399</v>
      </c>
      <c r="N26">
        <v>0.11</v>
      </c>
      <c r="O26">
        <v>0.11</v>
      </c>
      <c r="P26">
        <v>0.08</v>
      </c>
      <c r="Q26">
        <v>0.1</v>
      </c>
      <c r="R26" t="s">
        <v>41</v>
      </c>
      <c r="S26">
        <v>0</v>
      </c>
      <c r="T26">
        <v>0</v>
      </c>
    </row>
    <row r="27" spans="1:20">
      <c r="A27" t="s">
        <v>49</v>
      </c>
      <c r="B27">
        <v>145728.068</v>
      </c>
      <c r="C27">
        <v>51.12</v>
      </c>
      <c r="D27">
        <v>1313.0719999999999</v>
      </c>
      <c r="E27">
        <v>3.05</v>
      </c>
      <c r="F27">
        <v>399</v>
      </c>
      <c r="G27">
        <v>399</v>
      </c>
      <c r="H27">
        <v>399</v>
      </c>
      <c r="I27">
        <v>399</v>
      </c>
      <c r="J27">
        <v>399</v>
      </c>
      <c r="K27">
        <v>399</v>
      </c>
      <c r="L27">
        <v>399</v>
      </c>
      <c r="M27">
        <v>399</v>
      </c>
      <c r="N27">
        <v>0.09</v>
      </c>
      <c r="O27">
        <v>0.11</v>
      </c>
      <c r="P27">
        <v>0.08</v>
      </c>
      <c r="Q27">
        <v>0.1</v>
      </c>
      <c r="R27" t="s">
        <v>41</v>
      </c>
      <c r="S27">
        <v>0</v>
      </c>
      <c r="T27">
        <v>0</v>
      </c>
    </row>
    <row r="28" spans="1:20">
      <c r="A28" t="s">
        <v>49</v>
      </c>
      <c r="B28">
        <v>145733.071</v>
      </c>
      <c r="C28">
        <v>50.38</v>
      </c>
      <c r="D28">
        <v>1312.9949999999999</v>
      </c>
      <c r="E28">
        <v>3.24</v>
      </c>
      <c r="F28">
        <v>399</v>
      </c>
      <c r="G28">
        <v>399</v>
      </c>
      <c r="H28">
        <v>399</v>
      </c>
      <c r="I28">
        <v>399</v>
      </c>
      <c r="J28">
        <v>399</v>
      </c>
      <c r="K28">
        <v>399</v>
      </c>
      <c r="L28">
        <v>399</v>
      </c>
      <c r="M28">
        <v>399</v>
      </c>
      <c r="N28">
        <v>0.1</v>
      </c>
      <c r="O28">
        <v>0.11</v>
      </c>
      <c r="P28">
        <v>0.08</v>
      </c>
      <c r="Q28">
        <v>0.1</v>
      </c>
      <c r="R28" t="s">
        <v>41</v>
      </c>
      <c r="S28">
        <v>0</v>
      </c>
      <c r="T28">
        <v>0</v>
      </c>
    </row>
    <row r="29" spans="1:20">
      <c r="A29" t="s">
        <v>49</v>
      </c>
      <c r="B29">
        <v>145738.07500000001</v>
      </c>
      <c r="C29">
        <v>49.64</v>
      </c>
      <c r="D29">
        <v>1312.921</v>
      </c>
      <c r="E29">
        <v>3.36</v>
      </c>
      <c r="F29">
        <v>399</v>
      </c>
      <c r="G29">
        <v>399</v>
      </c>
      <c r="H29">
        <v>399</v>
      </c>
      <c r="I29">
        <v>399</v>
      </c>
      <c r="J29">
        <v>399</v>
      </c>
      <c r="K29">
        <v>399</v>
      </c>
      <c r="L29">
        <v>399</v>
      </c>
      <c r="M29">
        <v>399</v>
      </c>
      <c r="N29">
        <v>0.1</v>
      </c>
      <c r="O29">
        <v>0.11</v>
      </c>
      <c r="P29">
        <v>0.08</v>
      </c>
      <c r="Q29">
        <v>0.1</v>
      </c>
      <c r="R29" t="s">
        <v>41</v>
      </c>
      <c r="S29">
        <v>0</v>
      </c>
      <c r="T29">
        <v>0</v>
      </c>
    </row>
    <row r="30" spans="1:20">
      <c r="A30" t="s">
        <v>49</v>
      </c>
      <c r="B30">
        <v>145743.07500000001</v>
      </c>
      <c r="C30">
        <v>48.91</v>
      </c>
      <c r="D30">
        <v>1312.85</v>
      </c>
      <c r="E30">
        <v>3.49</v>
      </c>
      <c r="F30">
        <v>399</v>
      </c>
      <c r="G30">
        <v>399</v>
      </c>
      <c r="H30">
        <v>399</v>
      </c>
      <c r="I30">
        <v>399</v>
      </c>
      <c r="J30">
        <v>399</v>
      </c>
      <c r="K30">
        <v>399</v>
      </c>
      <c r="L30">
        <v>399</v>
      </c>
      <c r="M30">
        <v>399</v>
      </c>
      <c r="N30">
        <v>0.1</v>
      </c>
      <c r="O30">
        <v>0.11</v>
      </c>
      <c r="P30">
        <v>0.08</v>
      </c>
      <c r="Q30">
        <v>0.1</v>
      </c>
      <c r="R30" t="s">
        <v>41</v>
      </c>
      <c r="S30">
        <v>0</v>
      </c>
      <c r="T30">
        <v>0</v>
      </c>
    </row>
    <row r="31" spans="1:20">
      <c r="A31" t="s">
        <v>49</v>
      </c>
      <c r="B31">
        <v>145748.07199999999</v>
      </c>
      <c r="C31">
        <v>48.15</v>
      </c>
      <c r="D31">
        <v>1312.777</v>
      </c>
      <c r="E31">
        <v>3.72</v>
      </c>
      <c r="F31">
        <v>399</v>
      </c>
      <c r="G31">
        <v>399</v>
      </c>
      <c r="H31">
        <v>399</v>
      </c>
      <c r="I31">
        <v>399</v>
      </c>
      <c r="J31">
        <v>399</v>
      </c>
      <c r="K31">
        <v>399</v>
      </c>
      <c r="L31">
        <v>399</v>
      </c>
      <c r="M31">
        <v>399</v>
      </c>
      <c r="N31">
        <v>0.1</v>
      </c>
      <c r="O31">
        <v>0.11</v>
      </c>
      <c r="P31">
        <v>0.08</v>
      </c>
      <c r="Q31">
        <v>0.1</v>
      </c>
      <c r="R31" t="s">
        <v>41</v>
      </c>
      <c r="S31">
        <v>0</v>
      </c>
      <c r="T31">
        <v>0</v>
      </c>
    </row>
    <row r="32" spans="1:20">
      <c r="A32" t="s">
        <v>49</v>
      </c>
      <c r="B32">
        <v>145753.07500000001</v>
      </c>
      <c r="C32">
        <v>47.4</v>
      </c>
      <c r="D32">
        <v>1312.712</v>
      </c>
      <c r="E32">
        <v>3.9</v>
      </c>
      <c r="F32">
        <v>399</v>
      </c>
      <c r="G32">
        <v>399</v>
      </c>
      <c r="H32">
        <v>399</v>
      </c>
      <c r="I32">
        <v>399</v>
      </c>
      <c r="J32">
        <v>399</v>
      </c>
      <c r="K32">
        <v>399</v>
      </c>
      <c r="L32">
        <v>399</v>
      </c>
      <c r="M32">
        <v>399</v>
      </c>
      <c r="N32">
        <v>0.09</v>
      </c>
      <c r="O32">
        <v>0.11</v>
      </c>
      <c r="P32">
        <v>0.08</v>
      </c>
      <c r="Q32">
        <v>0.1</v>
      </c>
      <c r="R32" t="s">
        <v>41</v>
      </c>
      <c r="S32">
        <v>0</v>
      </c>
      <c r="T32">
        <v>0</v>
      </c>
    </row>
    <row r="33" spans="1:20">
      <c r="A33" t="s">
        <v>49</v>
      </c>
      <c r="B33">
        <v>145758.073</v>
      </c>
      <c r="C33">
        <v>46.65</v>
      </c>
      <c r="D33">
        <v>1312.6320000000001</v>
      </c>
      <c r="E33">
        <v>4.05</v>
      </c>
      <c r="F33">
        <v>399</v>
      </c>
      <c r="G33">
        <v>399</v>
      </c>
      <c r="H33">
        <v>399</v>
      </c>
      <c r="I33">
        <v>399</v>
      </c>
      <c r="J33">
        <v>399</v>
      </c>
      <c r="K33">
        <v>399</v>
      </c>
      <c r="L33">
        <v>399</v>
      </c>
      <c r="M33">
        <v>399</v>
      </c>
      <c r="N33">
        <v>0.11</v>
      </c>
      <c r="O33">
        <v>0.11</v>
      </c>
      <c r="P33">
        <v>0.08</v>
      </c>
      <c r="Q33">
        <v>0.1</v>
      </c>
      <c r="R33" t="s">
        <v>41</v>
      </c>
      <c r="S33">
        <v>0</v>
      </c>
      <c r="T33">
        <v>0</v>
      </c>
    </row>
    <row r="34" spans="1:20">
      <c r="A34" t="s">
        <v>49</v>
      </c>
      <c r="B34">
        <v>145803.07</v>
      </c>
      <c r="C34">
        <v>45.9</v>
      </c>
      <c r="D34">
        <v>1312.56</v>
      </c>
      <c r="E34">
        <v>4.16</v>
      </c>
      <c r="F34">
        <v>399</v>
      </c>
      <c r="G34">
        <v>399</v>
      </c>
      <c r="H34">
        <v>399</v>
      </c>
      <c r="I34">
        <v>399</v>
      </c>
      <c r="J34">
        <v>399</v>
      </c>
      <c r="K34">
        <v>399</v>
      </c>
      <c r="L34">
        <v>399</v>
      </c>
      <c r="M34">
        <v>399</v>
      </c>
      <c r="N34">
        <v>0.1</v>
      </c>
      <c r="O34">
        <v>0.11</v>
      </c>
      <c r="P34">
        <v>0.08</v>
      </c>
      <c r="Q34">
        <v>0.1</v>
      </c>
      <c r="R34" t="s">
        <v>41</v>
      </c>
      <c r="S34">
        <v>0</v>
      </c>
      <c r="T34">
        <v>0</v>
      </c>
    </row>
    <row r="35" spans="1:20">
      <c r="A35" t="s">
        <v>49</v>
      </c>
      <c r="B35">
        <v>145808.08100000001</v>
      </c>
      <c r="C35">
        <v>45.17</v>
      </c>
      <c r="D35">
        <v>1312.4860000000001</v>
      </c>
      <c r="E35">
        <v>4.34</v>
      </c>
      <c r="F35">
        <v>399</v>
      </c>
      <c r="G35">
        <v>399</v>
      </c>
      <c r="H35">
        <v>399</v>
      </c>
      <c r="I35">
        <v>399</v>
      </c>
      <c r="J35">
        <v>399</v>
      </c>
      <c r="K35">
        <v>399</v>
      </c>
      <c r="L35">
        <v>399</v>
      </c>
      <c r="M35">
        <v>399</v>
      </c>
      <c r="N35">
        <v>0.1</v>
      </c>
      <c r="O35">
        <v>0.11</v>
      </c>
      <c r="P35">
        <v>0.08</v>
      </c>
      <c r="Q35">
        <v>0.1</v>
      </c>
      <c r="R35" t="s">
        <v>41</v>
      </c>
      <c r="S35">
        <v>0</v>
      </c>
      <c r="T35">
        <v>0</v>
      </c>
    </row>
    <row r="36" spans="1:20">
      <c r="A36" t="s">
        <v>49</v>
      </c>
      <c r="B36">
        <v>145813.07399999999</v>
      </c>
      <c r="C36">
        <v>44.44</v>
      </c>
      <c r="D36">
        <v>1312.421</v>
      </c>
      <c r="E36">
        <v>4.47</v>
      </c>
      <c r="F36">
        <v>399</v>
      </c>
      <c r="G36">
        <v>399</v>
      </c>
      <c r="H36">
        <v>399</v>
      </c>
      <c r="I36">
        <v>399</v>
      </c>
      <c r="J36">
        <v>399</v>
      </c>
      <c r="K36">
        <v>399</v>
      </c>
      <c r="L36">
        <v>399</v>
      </c>
      <c r="M36">
        <v>399</v>
      </c>
      <c r="N36">
        <v>0.09</v>
      </c>
      <c r="O36">
        <v>0.11</v>
      </c>
      <c r="P36">
        <v>0.08</v>
      </c>
      <c r="Q36">
        <v>0.1</v>
      </c>
      <c r="R36" t="s">
        <v>41</v>
      </c>
      <c r="S36">
        <v>0</v>
      </c>
      <c r="T36">
        <v>0</v>
      </c>
    </row>
    <row r="37" spans="1:20">
      <c r="A37" t="s">
        <v>49</v>
      </c>
      <c r="B37">
        <v>145818.076</v>
      </c>
      <c r="C37">
        <v>43.72</v>
      </c>
      <c r="D37">
        <v>1312.3420000000001</v>
      </c>
      <c r="E37">
        <v>4.59</v>
      </c>
      <c r="F37">
        <v>399</v>
      </c>
      <c r="G37">
        <v>399</v>
      </c>
      <c r="H37">
        <v>399</v>
      </c>
      <c r="I37">
        <v>399</v>
      </c>
      <c r="J37">
        <v>399</v>
      </c>
      <c r="K37">
        <v>399</v>
      </c>
      <c r="L37">
        <v>399</v>
      </c>
      <c r="M37">
        <v>399</v>
      </c>
      <c r="N37">
        <v>0.11</v>
      </c>
      <c r="O37">
        <v>0.11</v>
      </c>
      <c r="P37">
        <v>0.08</v>
      </c>
      <c r="Q37">
        <v>0.1</v>
      </c>
      <c r="R37" t="s">
        <v>41</v>
      </c>
      <c r="S37">
        <v>0</v>
      </c>
      <c r="T37">
        <v>0</v>
      </c>
    </row>
    <row r="38" spans="1:20">
      <c r="A38" t="s">
        <v>49</v>
      </c>
      <c r="B38">
        <v>145823.079</v>
      </c>
      <c r="C38">
        <v>42.98</v>
      </c>
      <c r="D38">
        <v>1312.269</v>
      </c>
      <c r="E38">
        <v>4.79</v>
      </c>
      <c r="F38">
        <v>399</v>
      </c>
      <c r="G38">
        <v>399</v>
      </c>
      <c r="H38">
        <v>399</v>
      </c>
      <c r="I38">
        <v>399</v>
      </c>
      <c r="J38">
        <v>399</v>
      </c>
      <c r="K38">
        <v>399</v>
      </c>
      <c r="L38">
        <v>399</v>
      </c>
      <c r="M38">
        <v>399</v>
      </c>
      <c r="N38">
        <v>0.1</v>
      </c>
      <c r="O38">
        <v>0.11</v>
      </c>
      <c r="P38">
        <v>0.08</v>
      </c>
      <c r="Q38">
        <v>0.1</v>
      </c>
      <c r="R38" t="s">
        <v>41</v>
      </c>
      <c r="S38">
        <v>0</v>
      </c>
      <c r="T38">
        <v>0</v>
      </c>
    </row>
    <row r="39" spans="1:20">
      <c r="A39" t="s">
        <v>49</v>
      </c>
      <c r="B39">
        <v>145828.07699999999</v>
      </c>
      <c r="C39">
        <v>42.25</v>
      </c>
      <c r="D39">
        <v>1312.202</v>
      </c>
      <c r="E39">
        <v>4.9000000000000004</v>
      </c>
      <c r="F39">
        <v>399</v>
      </c>
      <c r="G39">
        <v>399</v>
      </c>
      <c r="H39">
        <v>399</v>
      </c>
      <c r="I39">
        <v>399</v>
      </c>
      <c r="J39">
        <v>399</v>
      </c>
      <c r="K39">
        <v>399</v>
      </c>
      <c r="L39">
        <v>399</v>
      </c>
      <c r="M39">
        <v>399</v>
      </c>
      <c r="N39">
        <v>0.09</v>
      </c>
      <c r="O39">
        <v>0.11</v>
      </c>
      <c r="P39">
        <v>0.08</v>
      </c>
      <c r="Q39">
        <v>0.1</v>
      </c>
      <c r="R39" t="s">
        <v>41</v>
      </c>
      <c r="S39">
        <v>0</v>
      </c>
      <c r="T39">
        <v>0</v>
      </c>
    </row>
    <row r="40" spans="1:20">
      <c r="A40" t="s">
        <v>49</v>
      </c>
      <c r="B40">
        <v>145833.087</v>
      </c>
      <c r="C40">
        <v>41.5</v>
      </c>
      <c r="D40">
        <v>1312.125</v>
      </c>
      <c r="E40">
        <v>4.96</v>
      </c>
      <c r="F40">
        <v>399</v>
      </c>
      <c r="G40">
        <v>399</v>
      </c>
      <c r="H40">
        <v>399</v>
      </c>
      <c r="I40">
        <v>399</v>
      </c>
      <c r="J40">
        <v>399</v>
      </c>
      <c r="K40">
        <v>399</v>
      </c>
      <c r="L40">
        <v>399</v>
      </c>
      <c r="M40">
        <v>399</v>
      </c>
      <c r="N40">
        <v>0.1</v>
      </c>
      <c r="O40">
        <v>0.11</v>
      </c>
      <c r="P40">
        <v>0.08</v>
      </c>
      <c r="Q40">
        <v>0.1</v>
      </c>
      <c r="R40" t="s">
        <v>41</v>
      </c>
      <c r="S40">
        <v>0</v>
      </c>
      <c r="T40">
        <v>0</v>
      </c>
    </row>
    <row r="41" spans="1:20">
      <c r="A41" t="s">
        <v>49</v>
      </c>
      <c r="B41">
        <v>145838.08199999999</v>
      </c>
      <c r="C41">
        <v>40.74</v>
      </c>
      <c r="D41">
        <v>1312.0519999999999</v>
      </c>
      <c r="E41">
        <v>5.15</v>
      </c>
      <c r="F41">
        <v>399</v>
      </c>
      <c r="G41">
        <v>399</v>
      </c>
      <c r="H41">
        <v>399</v>
      </c>
      <c r="I41">
        <v>399</v>
      </c>
      <c r="J41">
        <v>399</v>
      </c>
      <c r="K41">
        <v>399</v>
      </c>
      <c r="L41">
        <v>399</v>
      </c>
      <c r="M41">
        <v>399</v>
      </c>
      <c r="N41">
        <v>0.1</v>
      </c>
      <c r="O41">
        <v>0.11</v>
      </c>
      <c r="P41">
        <v>0.08</v>
      </c>
      <c r="Q41">
        <v>0.1</v>
      </c>
      <c r="R41" t="s">
        <v>41</v>
      </c>
      <c r="S41">
        <v>0</v>
      </c>
      <c r="T41">
        <v>0</v>
      </c>
    </row>
    <row r="42" spans="1:20">
      <c r="A42" t="s">
        <v>49</v>
      </c>
      <c r="B42">
        <v>145843.08600000001</v>
      </c>
      <c r="C42">
        <v>40</v>
      </c>
      <c r="D42">
        <v>1311.979</v>
      </c>
      <c r="E42">
        <v>5.27</v>
      </c>
      <c r="F42">
        <v>399</v>
      </c>
      <c r="G42">
        <v>399</v>
      </c>
      <c r="H42">
        <v>399</v>
      </c>
      <c r="I42">
        <v>399</v>
      </c>
      <c r="J42">
        <v>399</v>
      </c>
      <c r="K42">
        <v>399</v>
      </c>
      <c r="L42">
        <v>399</v>
      </c>
      <c r="M42">
        <v>399</v>
      </c>
      <c r="N42">
        <v>0.1</v>
      </c>
      <c r="O42">
        <v>0.11</v>
      </c>
      <c r="P42">
        <v>0.08</v>
      </c>
      <c r="Q42">
        <v>0.1</v>
      </c>
      <c r="R42" t="s">
        <v>41</v>
      </c>
      <c r="S42">
        <v>0</v>
      </c>
      <c r="T42">
        <v>0</v>
      </c>
    </row>
    <row r="43" spans="1:20">
      <c r="A43" t="s">
        <v>49</v>
      </c>
      <c r="B43">
        <v>145848.084</v>
      </c>
      <c r="C43">
        <v>39.24</v>
      </c>
      <c r="D43">
        <v>1311.9069999999999</v>
      </c>
      <c r="E43">
        <v>5.35</v>
      </c>
      <c r="F43">
        <v>399</v>
      </c>
      <c r="G43">
        <v>399</v>
      </c>
      <c r="H43">
        <v>399</v>
      </c>
      <c r="I43">
        <v>399</v>
      </c>
      <c r="J43">
        <v>399</v>
      </c>
      <c r="K43">
        <v>399</v>
      </c>
      <c r="L43">
        <v>399</v>
      </c>
      <c r="M43">
        <v>399</v>
      </c>
      <c r="N43">
        <v>0.09</v>
      </c>
      <c r="O43">
        <v>0.11</v>
      </c>
      <c r="P43">
        <v>0.08</v>
      </c>
      <c r="Q43">
        <v>0.1</v>
      </c>
      <c r="R43" t="s">
        <v>41</v>
      </c>
      <c r="S43">
        <v>0</v>
      </c>
      <c r="T43">
        <v>0</v>
      </c>
    </row>
    <row r="44" spans="1:20">
      <c r="A44" t="s">
        <v>49</v>
      </c>
      <c r="B44">
        <v>145853.08199999999</v>
      </c>
      <c r="C44">
        <v>38.51</v>
      </c>
      <c r="D44">
        <v>1311.835</v>
      </c>
      <c r="E44">
        <v>5.48</v>
      </c>
      <c r="F44">
        <v>399</v>
      </c>
      <c r="G44">
        <v>399</v>
      </c>
      <c r="H44">
        <v>399</v>
      </c>
      <c r="I44">
        <v>399</v>
      </c>
      <c r="J44">
        <v>399</v>
      </c>
      <c r="K44">
        <v>399</v>
      </c>
      <c r="L44">
        <v>399</v>
      </c>
      <c r="M44">
        <v>399</v>
      </c>
      <c r="N44">
        <v>0.1</v>
      </c>
      <c r="O44">
        <v>0.11</v>
      </c>
      <c r="P44">
        <v>0.08</v>
      </c>
      <c r="Q44">
        <v>0.1</v>
      </c>
      <c r="R44" t="s">
        <v>41</v>
      </c>
      <c r="S44">
        <v>0</v>
      </c>
      <c r="T44">
        <v>0</v>
      </c>
    </row>
    <row r="45" spans="1:20">
      <c r="A45" t="s">
        <v>49</v>
      </c>
      <c r="B45">
        <v>145858.087</v>
      </c>
      <c r="C45">
        <v>37.74</v>
      </c>
      <c r="D45">
        <v>1311.77</v>
      </c>
      <c r="E45">
        <v>5.6</v>
      </c>
      <c r="F45">
        <v>399</v>
      </c>
      <c r="G45">
        <v>399</v>
      </c>
      <c r="H45">
        <v>399</v>
      </c>
      <c r="I45">
        <v>399</v>
      </c>
      <c r="J45">
        <v>399</v>
      </c>
      <c r="K45">
        <v>399</v>
      </c>
      <c r="L45">
        <v>399</v>
      </c>
      <c r="M45">
        <v>399</v>
      </c>
      <c r="N45">
        <v>0.08</v>
      </c>
      <c r="O45">
        <v>0.11</v>
      </c>
      <c r="P45">
        <v>0.08</v>
      </c>
      <c r="Q45">
        <v>0.1</v>
      </c>
      <c r="R45" t="s">
        <v>41</v>
      </c>
      <c r="S45">
        <v>0</v>
      </c>
      <c r="T45">
        <v>0</v>
      </c>
    </row>
    <row r="46" spans="1:20">
      <c r="A46" t="s">
        <v>49</v>
      </c>
      <c r="B46">
        <v>145903.087</v>
      </c>
      <c r="C46">
        <v>37.01</v>
      </c>
      <c r="D46">
        <v>1311.691</v>
      </c>
      <c r="E46">
        <v>5.67</v>
      </c>
      <c r="F46">
        <v>399</v>
      </c>
      <c r="G46">
        <v>399</v>
      </c>
      <c r="H46">
        <v>399</v>
      </c>
      <c r="I46">
        <v>399</v>
      </c>
      <c r="J46">
        <v>399</v>
      </c>
      <c r="K46">
        <v>399</v>
      </c>
      <c r="L46">
        <v>399</v>
      </c>
      <c r="M46">
        <v>399</v>
      </c>
      <c r="N46">
        <v>0.11</v>
      </c>
      <c r="O46">
        <v>0.11</v>
      </c>
      <c r="P46">
        <v>0.08</v>
      </c>
      <c r="Q46">
        <v>0.1</v>
      </c>
      <c r="R46" t="s">
        <v>41</v>
      </c>
      <c r="S46">
        <v>0</v>
      </c>
      <c r="T46">
        <v>0</v>
      </c>
    </row>
    <row r="47" spans="1:20">
      <c r="A47" t="s">
        <v>49</v>
      </c>
      <c r="B47">
        <v>145908.084</v>
      </c>
      <c r="C47">
        <v>36.26</v>
      </c>
      <c r="D47">
        <v>1311.6179999999999</v>
      </c>
      <c r="E47">
        <v>5.75</v>
      </c>
      <c r="F47">
        <v>399</v>
      </c>
      <c r="G47">
        <v>399</v>
      </c>
      <c r="H47">
        <v>399</v>
      </c>
      <c r="I47">
        <v>399</v>
      </c>
      <c r="J47">
        <v>399</v>
      </c>
      <c r="K47">
        <v>399</v>
      </c>
      <c r="L47">
        <v>399</v>
      </c>
      <c r="M47">
        <v>399</v>
      </c>
      <c r="N47">
        <v>0.1</v>
      </c>
      <c r="O47">
        <v>0.11</v>
      </c>
      <c r="P47">
        <v>0.08</v>
      </c>
      <c r="Q47">
        <v>0.1</v>
      </c>
      <c r="R47" t="s">
        <v>41</v>
      </c>
      <c r="S47">
        <v>0</v>
      </c>
      <c r="T47">
        <v>0</v>
      </c>
    </row>
    <row r="48" spans="1:20">
      <c r="A48" t="s">
        <v>49</v>
      </c>
      <c r="B48">
        <v>145913.08799999999</v>
      </c>
      <c r="C48">
        <v>35.53</v>
      </c>
      <c r="D48">
        <v>1311.5540000000001</v>
      </c>
      <c r="E48">
        <v>5.8</v>
      </c>
      <c r="F48">
        <v>399</v>
      </c>
      <c r="G48">
        <v>399</v>
      </c>
      <c r="H48">
        <v>399</v>
      </c>
      <c r="I48">
        <v>399</v>
      </c>
      <c r="J48">
        <v>399</v>
      </c>
      <c r="K48">
        <v>399</v>
      </c>
      <c r="L48">
        <v>399</v>
      </c>
      <c r="M48">
        <v>399</v>
      </c>
      <c r="N48">
        <v>0.09</v>
      </c>
      <c r="O48">
        <v>0.11</v>
      </c>
      <c r="P48">
        <v>0.08</v>
      </c>
      <c r="Q48">
        <v>0.1</v>
      </c>
      <c r="R48" t="s">
        <v>41</v>
      </c>
      <c r="S48">
        <v>0</v>
      </c>
      <c r="T48">
        <v>0</v>
      </c>
    </row>
    <row r="49" spans="1:20">
      <c r="A49" t="s">
        <v>49</v>
      </c>
      <c r="B49">
        <v>145918.09299999999</v>
      </c>
      <c r="C49">
        <v>34.78</v>
      </c>
      <c r="D49">
        <v>1311.4749999999999</v>
      </c>
      <c r="E49">
        <v>5.96</v>
      </c>
      <c r="F49">
        <v>399</v>
      </c>
      <c r="G49">
        <v>399</v>
      </c>
      <c r="H49">
        <v>399</v>
      </c>
      <c r="I49">
        <v>399</v>
      </c>
      <c r="J49">
        <v>399</v>
      </c>
      <c r="K49">
        <v>399</v>
      </c>
      <c r="L49">
        <v>399</v>
      </c>
      <c r="M49">
        <v>399</v>
      </c>
      <c r="N49">
        <v>0.11</v>
      </c>
      <c r="O49">
        <v>0.11</v>
      </c>
      <c r="P49">
        <v>0.08</v>
      </c>
      <c r="Q49">
        <v>0.1</v>
      </c>
      <c r="R49" t="s">
        <v>41</v>
      </c>
      <c r="S49">
        <v>0</v>
      </c>
      <c r="T49">
        <v>0</v>
      </c>
    </row>
    <row r="50" spans="1:20">
      <c r="A50" t="s">
        <v>49</v>
      </c>
      <c r="B50">
        <v>145923.095</v>
      </c>
      <c r="C50">
        <v>34</v>
      </c>
      <c r="D50">
        <v>1311.403</v>
      </c>
      <c r="E50">
        <v>6.11</v>
      </c>
      <c r="F50">
        <v>399</v>
      </c>
      <c r="G50">
        <v>399</v>
      </c>
      <c r="H50">
        <v>399</v>
      </c>
      <c r="I50">
        <v>399</v>
      </c>
      <c r="J50">
        <v>399</v>
      </c>
      <c r="K50">
        <v>399</v>
      </c>
      <c r="L50">
        <v>399</v>
      </c>
      <c r="M50">
        <v>399</v>
      </c>
      <c r="N50">
        <v>0.09</v>
      </c>
      <c r="O50">
        <v>0.11</v>
      </c>
      <c r="P50">
        <v>0.08</v>
      </c>
      <c r="Q50">
        <v>0.1</v>
      </c>
      <c r="R50" t="s">
        <v>41</v>
      </c>
      <c r="S50">
        <v>0</v>
      </c>
      <c r="T50">
        <v>0</v>
      </c>
    </row>
    <row r="51" spans="1:20">
      <c r="A51" t="s">
        <v>49</v>
      </c>
      <c r="B51">
        <v>145928.09599999999</v>
      </c>
      <c r="C51">
        <v>33.26</v>
      </c>
      <c r="D51">
        <v>1311.3309999999999</v>
      </c>
      <c r="E51">
        <v>6.19</v>
      </c>
      <c r="F51">
        <v>399</v>
      </c>
      <c r="G51">
        <v>399</v>
      </c>
      <c r="H51">
        <v>399</v>
      </c>
      <c r="I51">
        <v>399</v>
      </c>
      <c r="J51">
        <v>399</v>
      </c>
      <c r="K51">
        <v>399</v>
      </c>
      <c r="L51">
        <v>399</v>
      </c>
      <c r="M51">
        <v>399</v>
      </c>
      <c r="N51">
        <v>0.1</v>
      </c>
      <c r="O51">
        <v>0.11</v>
      </c>
      <c r="P51">
        <v>0.08</v>
      </c>
      <c r="Q51">
        <v>0.1</v>
      </c>
      <c r="R51" t="s">
        <v>41</v>
      </c>
      <c r="S51">
        <v>0</v>
      </c>
      <c r="T51">
        <v>0</v>
      </c>
    </row>
    <row r="52" spans="1:20">
      <c r="A52" t="s">
        <v>49</v>
      </c>
      <c r="B52">
        <v>145933.095</v>
      </c>
      <c r="C52">
        <v>32.51</v>
      </c>
      <c r="D52">
        <v>1311.26</v>
      </c>
      <c r="E52">
        <v>6.28</v>
      </c>
      <c r="F52">
        <v>399</v>
      </c>
      <c r="G52">
        <v>399</v>
      </c>
      <c r="H52">
        <v>399</v>
      </c>
      <c r="I52">
        <v>399</v>
      </c>
      <c r="J52">
        <v>399</v>
      </c>
      <c r="K52">
        <v>399</v>
      </c>
      <c r="L52">
        <v>399</v>
      </c>
      <c r="M52">
        <v>399</v>
      </c>
      <c r="N52">
        <v>0.09</v>
      </c>
      <c r="O52">
        <v>0.11</v>
      </c>
      <c r="P52">
        <v>0.08</v>
      </c>
      <c r="Q52">
        <v>0.1</v>
      </c>
      <c r="R52" t="s">
        <v>41</v>
      </c>
      <c r="S52">
        <v>0</v>
      </c>
      <c r="T52">
        <v>0</v>
      </c>
    </row>
    <row r="53" spans="1:20">
      <c r="A53" t="s">
        <v>49</v>
      </c>
      <c r="B53">
        <v>145938.098</v>
      </c>
      <c r="C53">
        <v>31.78</v>
      </c>
      <c r="D53">
        <v>1311.1880000000001</v>
      </c>
      <c r="E53">
        <v>6.3</v>
      </c>
      <c r="F53">
        <v>399</v>
      </c>
      <c r="G53">
        <v>399</v>
      </c>
      <c r="H53">
        <v>399</v>
      </c>
      <c r="I53">
        <v>399</v>
      </c>
      <c r="J53">
        <v>399</v>
      </c>
      <c r="K53">
        <v>399</v>
      </c>
      <c r="L53">
        <v>399</v>
      </c>
      <c r="M53">
        <v>399</v>
      </c>
      <c r="N53">
        <v>0.1</v>
      </c>
      <c r="O53">
        <v>0.11</v>
      </c>
      <c r="P53">
        <v>0.08</v>
      </c>
      <c r="Q53">
        <v>0.1</v>
      </c>
      <c r="R53" t="s">
        <v>41</v>
      </c>
      <c r="S53">
        <v>0</v>
      </c>
      <c r="T53">
        <v>0</v>
      </c>
    </row>
    <row r="54" spans="1:20">
      <c r="A54" t="s">
        <v>49</v>
      </c>
      <c r="B54">
        <v>145943.10200000001</v>
      </c>
      <c r="C54">
        <v>31.03</v>
      </c>
      <c r="D54">
        <v>1311.117</v>
      </c>
      <c r="E54">
        <v>6.33</v>
      </c>
      <c r="F54">
        <v>399</v>
      </c>
      <c r="G54">
        <v>399</v>
      </c>
      <c r="H54">
        <v>399</v>
      </c>
      <c r="I54">
        <v>399</v>
      </c>
      <c r="J54">
        <v>399</v>
      </c>
      <c r="K54">
        <v>399</v>
      </c>
      <c r="L54">
        <v>399</v>
      </c>
      <c r="M54">
        <v>399</v>
      </c>
      <c r="N54">
        <v>0.09</v>
      </c>
      <c r="O54">
        <v>0.11</v>
      </c>
      <c r="P54">
        <v>0.08</v>
      </c>
      <c r="Q54">
        <v>0.1</v>
      </c>
      <c r="R54" t="s">
        <v>41</v>
      </c>
      <c r="S54">
        <v>0</v>
      </c>
      <c r="T54">
        <v>0</v>
      </c>
    </row>
    <row r="55" spans="1:20">
      <c r="A55" t="s">
        <v>49</v>
      </c>
      <c r="B55">
        <v>145948.101</v>
      </c>
      <c r="C55">
        <v>30.3</v>
      </c>
      <c r="D55">
        <v>1311.0450000000001</v>
      </c>
      <c r="E55">
        <v>6.48</v>
      </c>
      <c r="F55">
        <v>399</v>
      </c>
      <c r="G55">
        <v>399</v>
      </c>
      <c r="H55">
        <v>399</v>
      </c>
      <c r="I55">
        <v>399</v>
      </c>
      <c r="J55">
        <v>399</v>
      </c>
      <c r="K55">
        <v>399</v>
      </c>
      <c r="L55">
        <v>399</v>
      </c>
      <c r="M55">
        <v>399</v>
      </c>
      <c r="N55">
        <v>0.1</v>
      </c>
      <c r="O55">
        <v>0.11</v>
      </c>
      <c r="P55">
        <v>0.08</v>
      </c>
      <c r="Q55">
        <v>0.1</v>
      </c>
      <c r="R55" t="s">
        <v>41</v>
      </c>
      <c r="S55">
        <v>0</v>
      </c>
      <c r="T55">
        <v>0</v>
      </c>
    </row>
    <row r="56" spans="1:20">
      <c r="A56" t="s">
        <v>49</v>
      </c>
      <c r="B56">
        <v>145953.09899999999</v>
      </c>
      <c r="C56">
        <v>29.54</v>
      </c>
      <c r="D56">
        <v>1310.981</v>
      </c>
      <c r="E56">
        <v>6.6</v>
      </c>
      <c r="F56">
        <v>399</v>
      </c>
      <c r="G56">
        <v>399</v>
      </c>
      <c r="H56">
        <v>399</v>
      </c>
      <c r="I56">
        <v>399</v>
      </c>
      <c r="J56">
        <v>399</v>
      </c>
      <c r="K56">
        <v>399</v>
      </c>
      <c r="L56">
        <v>399</v>
      </c>
      <c r="M56">
        <v>399</v>
      </c>
      <c r="N56">
        <v>0.08</v>
      </c>
      <c r="O56">
        <v>0.11</v>
      </c>
      <c r="P56">
        <v>0.08</v>
      </c>
      <c r="Q56">
        <v>0.1</v>
      </c>
      <c r="R56" t="s">
        <v>41</v>
      </c>
      <c r="S56">
        <v>0</v>
      </c>
      <c r="T56">
        <v>0</v>
      </c>
    </row>
    <row r="57" spans="1:20">
      <c r="A57" t="s">
        <v>49</v>
      </c>
      <c r="B57">
        <v>145958.10200000001</v>
      </c>
      <c r="C57">
        <v>28.81</v>
      </c>
      <c r="D57">
        <v>1310.902</v>
      </c>
      <c r="E57">
        <v>6.66</v>
      </c>
      <c r="F57">
        <v>399</v>
      </c>
      <c r="G57">
        <v>399</v>
      </c>
      <c r="H57">
        <v>399</v>
      </c>
      <c r="I57">
        <v>399</v>
      </c>
      <c r="J57">
        <v>399</v>
      </c>
      <c r="K57">
        <v>399</v>
      </c>
      <c r="L57">
        <v>399</v>
      </c>
      <c r="M57">
        <v>399</v>
      </c>
      <c r="N57">
        <v>0.11</v>
      </c>
      <c r="O57">
        <v>0.11</v>
      </c>
      <c r="P57">
        <v>0.08</v>
      </c>
      <c r="Q57">
        <v>0.1</v>
      </c>
      <c r="R57" t="s">
        <v>41</v>
      </c>
      <c r="S57">
        <v>0</v>
      </c>
      <c r="T57">
        <v>0</v>
      </c>
    </row>
    <row r="58" spans="1:20">
      <c r="A58" t="s">
        <v>49</v>
      </c>
      <c r="B58">
        <v>150003.10699999999</v>
      </c>
      <c r="C58">
        <v>28.06</v>
      </c>
      <c r="D58">
        <v>1310.83</v>
      </c>
      <c r="E58">
        <v>6.8</v>
      </c>
      <c r="F58">
        <v>399</v>
      </c>
      <c r="G58">
        <v>399</v>
      </c>
      <c r="H58">
        <v>399</v>
      </c>
      <c r="I58">
        <v>399</v>
      </c>
      <c r="J58">
        <v>399</v>
      </c>
      <c r="K58">
        <v>399</v>
      </c>
      <c r="L58">
        <v>399</v>
      </c>
      <c r="M58">
        <v>399</v>
      </c>
      <c r="N58">
        <v>0.1</v>
      </c>
      <c r="O58">
        <v>0.11</v>
      </c>
      <c r="P58">
        <v>0.08</v>
      </c>
      <c r="Q58">
        <v>0.1</v>
      </c>
      <c r="R58" t="s">
        <v>41</v>
      </c>
      <c r="S58">
        <v>0</v>
      </c>
      <c r="T58">
        <v>0</v>
      </c>
    </row>
    <row r="59" spans="1:20">
      <c r="A59" t="s">
        <v>49</v>
      </c>
      <c r="B59">
        <v>150008.10500000001</v>
      </c>
      <c r="C59">
        <v>27.3</v>
      </c>
      <c r="D59">
        <v>1310.759</v>
      </c>
      <c r="E59">
        <v>6.9</v>
      </c>
      <c r="F59">
        <v>399</v>
      </c>
      <c r="G59">
        <v>399</v>
      </c>
      <c r="H59">
        <v>399</v>
      </c>
      <c r="I59">
        <v>399</v>
      </c>
      <c r="J59">
        <v>399</v>
      </c>
      <c r="K59">
        <v>399</v>
      </c>
      <c r="L59">
        <v>399</v>
      </c>
      <c r="M59">
        <v>399</v>
      </c>
      <c r="N59">
        <v>0.09</v>
      </c>
      <c r="O59">
        <v>0.11</v>
      </c>
      <c r="P59">
        <v>0.08</v>
      </c>
      <c r="Q59">
        <v>0.1</v>
      </c>
      <c r="R59" t="s">
        <v>41</v>
      </c>
      <c r="S59">
        <v>0</v>
      </c>
      <c r="T59">
        <v>0</v>
      </c>
    </row>
    <row r="60" spans="1:20">
      <c r="A60" t="s">
        <v>49</v>
      </c>
      <c r="B60">
        <v>150013.10699999999</v>
      </c>
      <c r="C60">
        <v>26.57</v>
      </c>
      <c r="D60">
        <v>1310.694</v>
      </c>
      <c r="E60">
        <v>6.92</v>
      </c>
      <c r="F60">
        <v>399</v>
      </c>
      <c r="G60">
        <v>399</v>
      </c>
      <c r="H60">
        <v>399</v>
      </c>
      <c r="I60">
        <v>399</v>
      </c>
      <c r="J60">
        <v>399</v>
      </c>
      <c r="K60">
        <v>399</v>
      </c>
      <c r="L60">
        <v>399</v>
      </c>
      <c r="M60">
        <v>399</v>
      </c>
      <c r="N60">
        <v>0.09</v>
      </c>
      <c r="O60">
        <v>0.11</v>
      </c>
      <c r="P60">
        <v>0.08</v>
      </c>
      <c r="Q60">
        <v>0.1</v>
      </c>
      <c r="R60" t="s">
        <v>41</v>
      </c>
      <c r="S60">
        <v>0</v>
      </c>
      <c r="T60">
        <v>0</v>
      </c>
    </row>
    <row r="61" spans="1:20">
      <c r="A61" t="s">
        <v>49</v>
      </c>
      <c r="B61">
        <v>150018.103</v>
      </c>
      <c r="C61">
        <v>25.81</v>
      </c>
      <c r="D61">
        <v>1310.614</v>
      </c>
      <c r="E61">
        <v>6.95</v>
      </c>
      <c r="F61">
        <v>399</v>
      </c>
      <c r="G61">
        <v>399</v>
      </c>
      <c r="H61">
        <v>399</v>
      </c>
      <c r="I61">
        <v>399</v>
      </c>
      <c r="J61">
        <v>399</v>
      </c>
      <c r="K61">
        <v>399</v>
      </c>
      <c r="L61">
        <v>399</v>
      </c>
      <c r="M61">
        <v>399</v>
      </c>
      <c r="N61">
        <v>0.11</v>
      </c>
      <c r="O61">
        <v>0.11</v>
      </c>
      <c r="P61">
        <v>0.08</v>
      </c>
      <c r="Q61">
        <v>0.1</v>
      </c>
      <c r="R61" t="s">
        <v>41</v>
      </c>
      <c r="S61">
        <v>0</v>
      </c>
      <c r="T61">
        <v>0</v>
      </c>
    </row>
    <row r="62" spans="1:20">
      <c r="A62" t="s">
        <v>49</v>
      </c>
      <c r="B62">
        <v>150023.106</v>
      </c>
      <c r="C62">
        <v>25.09</v>
      </c>
      <c r="D62">
        <v>1310.5419999999999</v>
      </c>
      <c r="E62">
        <v>7.05</v>
      </c>
      <c r="F62">
        <v>399</v>
      </c>
      <c r="G62">
        <v>399</v>
      </c>
      <c r="H62">
        <v>399</v>
      </c>
      <c r="I62">
        <v>399</v>
      </c>
      <c r="J62">
        <v>399</v>
      </c>
      <c r="K62">
        <v>399</v>
      </c>
      <c r="L62">
        <v>399</v>
      </c>
      <c r="M62">
        <v>399</v>
      </c>
      <c r="N62">
        <v>0.1</v>
      </c>
      <c r="O62">
        <v>0.11</v>
      </c>
      <c r="P62">
        <v>0.08</v>
      </c>
      <c r="Q62">
        <v>0.1</v>
      </c>
      <c r="R62" t="s">
        <v>41</v>
      </c>
      <c r="S62">
        <v>0</v>
      </c>
      <c r="T62">
        <v>0</v>
      </c>
    </row>
    <row r="63" spans="1:20">
      <c r="A63" t="s">
        <v>49</v>
      </c>
      <c r="B63">
        <v>150028.101</v>
      </c>
      <c r="C63">
        <v>24.32</v>
      </c>
      <c r="D63">
        <v>1310.472</v>
      </c>
      <c r="E63">
        <v>6.97</v>
      </c>
      <c r="F63">
        <v>399</v>
      </c>
      <c r="G63">
        <v>399</v>
      </c>
      <c r="H63">
        <v>399</v>
      </c>
      <c r="I63">
        <v>399</v>
      </c>
      <c r="J63">
        <v>399</v>
      </c>
      <c r="K63">
        <v>399</v>
      </c>
      <c r="L63">
        <v>399</v>
      </c>
      <c r="M63">
        <v>399</v>
      </c>
      <c r="N63">
        <v>0.09</v>
      </c>
      <c r="O63">
        <v>0.11</v>
      </c>
      <c r="P63">
        <v>0.08</v>
      </c>
      <c r="Q63">
        <v>0.1</v>
      </c>
      <c r="R63" t="s">
        <v>41</v>
      </c>
      <c r="S63">
        <v>0</v>
      </c>
      <c r="T63">
        <v>0</v>
      </c>
    </row>
    <row r="64" spans="1:20">
      <c r="A64" t="s">
        <v>49</v>
      </c>
      <c r="B64">
        <v>150033.10999999999</v>
      </c>
      <c r="C64">
        <v>23.61</v>
      </c>
      <c r="D64">
        <v>1310.4010000000001</v>
      </c>
      <c r="E64">
        <v>7.12</v>
      </c>
      <c r="F64">
        <v>399</v>
      </c>
      <c r="G64">
        <v>399</v>
      </c>
      <c r="H64">
        <v>399</v>
      </c>
      <c r="I64">
        <v>399</v>
      </c>
      <c r="J64">
        <v>399</v>
      </c>
      <c r="K64">
        <v>399</v>
      </c>
      <c r="L64">
        <v>399</v>
      </c>
      <c r="M64">
        <v>399</v>
      </c>
      <c r="N64">
        <v>0.1</v>
      </c>
      <c r="O64">
        <v>0.11</v>
      </c>
      <c r="P64">
        <v>0.08</v>
      </c>
      <c r="Q64">
        <v>0.1</v>
      </c>
      <c r="R64" t="s">
        <v>41</v>
      </c>
      <c r="S64">
        <v>0</v>
      </c>
      <c r="T64">
        <v>0</v>
      </c>
    </row>
    <row r="65" spans="1:20">
      <c r="A65" t="s">
        <v>49</v>
      </c>
      <c r="B65">
        <v>150038.10200000001</v>
      </c>
      <c r="C65">
        <v>22.89</v>
      </c>
      <c r="D65">
        <v>1310.337</v>
      </c>
      <c r="E65">
        <v>7.2</v>
      </c>
      <c r="F65">
        <v>399</v>
      </c>
      <c r="G65">
        <v>399</v>
      </c>
      <c r="H65">
        <v>399</v>
      </c>
      <c r="I65">
        <v>399</v>
      </c>
      <c r="J65">
        <v>399</v>
      </c>
      <c r="K65">
        <v>399</v>
      </c>
      <c r="L65">
        <v>399</v>
      </c>
      <c r="M65">
        <v>399</v>
      </c>
      <c r="N65">
        <v>0.09</v>
      </c>
      <c r="O65">
        <v>0.11</v>
      </c>
      <c r="P65">
        <v>0.08</v>
      </c>
      <c r="Q65">
        <v>0.1</v>
      </c>
      <c r="R65" t="s">
        <v>41</v>
      </c>
      <c r="S65">
        <v>0</v>
      </c>
      <c r="T65">
        <v>0</v>
      </c>
    </row>
    <row r="66" spans="1:20">
      <c r="A66" t="s">
        <v>49</v>
      </c>
      <c r="B66">
        <v>150043.10200000001</v>
      </c>
      <c r="C66">
        <v>22.15</v>
      </c>
      <c r="D66">
        <v>1310.258</v>
      </c>
      <c r="E66">
        <v>7.13</v>
      </c>
      <c r="F66">
        <v>399</v>
      </c>
      <c r="G66">
        <v>399</v>
      </c>
      <c r="H66">
        <v>399</v>
      </c>
      <c r="I66">
        <v>399</v>
      </c>
      <c r="J66">
        <v>399</v>
      </c>
      <c r="K66">
        <v>399</v>
      </c>
      <c r="L66">
        <v>399</v>
      </c>
      <c r="M66">
        <v>399</v>
      </c>
      <c r="N66">
        <v>0.11</v>
      </c>
      <c r="O66">
        <v>0.11</v>
      </c>
      <c r="P66">
        <v>0.08</v>
      </c>
      <c r="Q66">
        <v>0.1</v>
      </c>
      <c r="R66" t="s">
        <v>41</v>
      </c>
      <c r="S66">
        <v>0</v>
      </c>
      <c r="T66">
        <v>0</v>
      </c>
    </row>
    <row r="67" spans="1:20">
      <c r="A67" t="s">
        <v>49</v>
      </c>
      <c r="B67">
        <v>150048.11799999999</v>
      </c>
      <c r="C67">
        <v>21.39</v>
      </c>
      <c r="D67">
        <v>1310.19</v>
      </c>
      <c r="E67">
        <v>7.23</v>
      </c>
      <c r="F67">
        <v>399</v>
      </c>
      <c r="G67">
        <v>399</v>
      </c>
      <c r="H67">
        <v>399</v>
      </c>
      <c r="I67">
        <v>399</v>
      </c>
      <c r="J67">
        <v>399</v>
      </c>
      <c r="K67">
        <v>399</v>
      </c>
      <c r="L67">
        <v>399</v>
      </c>
      <c r="M67">
        <v>399</v>
      </c>
      <c r="N67">
        <v>0.09</v>
      </c>
      <c r="O67">
        <v>0.11</v>
      </c>
      <c r="P67">
        <v>0.08</v>
      </c>
      <c r="Q67">
        <v>0.1</v>
      </c>
      <c r="R67" t="s">
        <v>41</v>
      </c>
      <c r="S67">
        <v>0</v>
      </c>
      <c r="T67">
        <v>0</v>
      </c>
    </row>
    <row r="68" spans="1:20">
      <c r="A68" t="s">
        <v>49</v>
      </c>
      <c r="B68">
        <v>150053.10200000001</v>
      </c>
      <c r="C68">
        <v>20.63</v>
      </c>
      <c r="D68">
        <v>1310.1189999999999</v>
      </c>
      <c r="E68">
        <v>7.29</v>
      </c>
      <c r="F68">
        <v>399</v>
      </c>
      <c r="G68">
        <v>399</v>
      </c>
      <c r="H68">
        <v>399</v>
      </c>
      <c r="I68">
        <v>399</v>
      </c>
      <c r="J68">
        <v>399</v>
      </c>
      <c r="K68">
        <v>399</v>
      </c>
      <c r="L68">
        <v>399</v>
      </c>
      <c r="M68">
        <v>399</v>
      </c>
      <c r="N68">
        <v>0.09</v>
      </c>
      <c r="O68">
        <v>0.11</v>
      </c>
      <c r="P68">
        <v>0.08</v>
      </c>
      <c r="Q68">
        <v>0.1</v>
      </c>
      <c r="R68" t="s">
        <v>41</v>
      </c>
      <c r="S68">
        <v>0</v>
      </c>
      <c r="T68">
        <v>0</v>
      </c>
    </row>
    <row r="69" spans="1:20">
      <c r="A69" t="s">
        <v>49</v>
      </c>
      <c r="B69">
        <v>150058.10699999999</v>
      </c>
      <c r="C69">
        <v>19.899999999999999</v>
      </c>
      <c r="D69">
        <v>1310.047</v>
      </c>
      <c r="E69">
        <v>7.39</v>
      </c>
      <c r="F69">
        <v>399</v>
      </c>
      <c r="G69">
        <v>399</v>
      </c>
      <c r="H69">
        <v>399</v>
      </c>
      <c r="I69">
        <v>399</v>
      </c>
      <c r="J69">
        <v>399</v>
      </c>
      <c r="K69">
        <v>399</v>
      </c>
      <c r="L69">
        <v>399</v>
      </c>
      <c r="M69">
        <v>399</v>
      </c>
      <c r="N69">
        <v>0.1</v>
      </c>
      <c r="O69">
        <v>0.11</v>
      </c>
      <c r="P69">
        <v>0.08</v>
      </c>
      <c r="Q69">
        <v>0.1</v>
      </c>
      <c r="R69" t="s">
        <v>41</v>
      </c>
      <c r="S69">
        <v>0</v>
      </c>
      <c r="T69">
        <v>0</v>
      </c>
    </row>
    <row r="70" spans="1:20">
      <c r="A70" t="s">
        <v>49</v>
      </c>
      <c r="B70">
        <v>150103.106</v>
      </c>
      <c r="C70">
        <v>19.149999999999999</v>
      </c>
      <c r="D70">
        <v>1309.9749999999999</v>
      </c>
      <c r="E70">
        <v>7.47</v>
      </c>
      <c r="F70">
        <v>399</v>
      </c>
      <c r="G70">
        <v>399</v>
      </c>
      <c r="H70">
        <v>399</v>
      </c>
      <c r="I70">
        <v>399</v>
      </c>
      <c r="J70">
        <v>399</v>
      </c>
      <c r="K70">
        <v>399</v>
      </c>
      <c r="L70">
        <v>399</v>
      </c>
      <c r="M70">
        <v>399</v>
      </c>
      <c r="N70">
        <v>0.1</v>
      </c>
      <c r="O70">
        <v>0.11</v>
      </c>
      <c r="P70">
        <v>0.08</v>
      </c>
      <c r="Q70">
        <v>0.1</v>
      </c>
      <c r="R70" t="s">
        <v>41</v>
      </c>
      <c r="S70">
        <v>0</v>
      </c>
      <c r="T70">
        <v>0</v>
      </c>
    </row>
    <row r="71" spans="1:20">
      <c r="A71" t="s">
        <v>49</v>
      </c>
      <c r="B71">
        <v>150108.10699999999</v>
      </c>
      <c r="C71">
        <v>18.420000000000002</v>
      </c>
      <c r="D71">
        <v>1309.903</v>
      </c>
      <c r="E71">
        <v>7.49</v>
      </c>
      <c r="F71">
        <v>399</v>
      </c>
      <c r="G71">
        <v>399</v>
      </c>
      <c r="H71">
        <v>399</v>
      </c>
      <c r="I71">
        <v>399</v>
      </c>
      <c r="J71">
        <v>399</v>
      </c>
      <c r="K71">
        <v>399</v>
      </c>
      <c r="L71">
        <v>399</v>
      </c>
      <c r="M71">
        <v>399</v>
      </c>
      <c r="N71">
        <v>0.1</v>
      </c>
      <c r="O71">
        <v>0.11</v>
      </c>
      <c r="P71">
        <v>0.08</v>
      </c>
      <c r="Q71">
        <v>0.1</v>
      </c>
      <c r="R71" t="s">
        <v>41</v>
      </c>
      <c r="S71">
        <v>0</v>
      </c>
      <c r="T71">
        <v>0</v>
      </c>
    </row>
    <row r="72" spans="1:20">
      <c r="A72" t="s">
        <v>49</v>
      </c>
      <c r="B72">
        <v>150113.11199999999</v>
      </c>
      <c r="C72">
        <v>17.66</v>
      </c>
      <c r="D72">
        <v>1309.8389999999999</v>
      </c>
      <c r="E72">
        <v>7.45</v>
      </c>
      <c r="F72">
        <v>399</v>
      </c>
      <c r="G72">
        <v>399</v>
      </c>
      <c r="H72">
        <v>399</v>
      </c>
      <c r="I72">
        <v>399</v>
      </c>
      <c r="J72">
        <v>399</v>
      </c>
      <c r="K72">
        <v>399</v>
      </c>
      <c r="L72">
        <v>399</v>
      </c>
      <c r="M72">
        <v>399</v>
      </c>
      <c r="N72">
        <v>0.08</v>
      </c>
      <c r="O72">
        <v>0.11</v>
      </c>
      <c r="P72">
        <v>0.08</v>
      </c>
      <c r="Q72">
        <v>0.1</v>
      </c>
      <c r="R72" t="s">
        <v>41</v>
      </c>
      <c r="S72">
        <v>0</v>
      </c>
      <c r="T72">
        <v>0</v>
      </c>
    </row>
    <row r="73" spans="1:20">
      <c r="A73" t="s">
        <v>49</v>
      </c>
      <c r="B73">
        <v>150118.117</v>
      </c>
      <c r="C73">
        <v>16.920000000000002</v>
      </c>
      <c r="D73">
        <v>1309.761</v>
      </c>
      <c r="E73">
        <v>7.39</v>
      </c>
      <c r="F73">
        <v>399</v>
      </c>
      <c r="G73">
        <v>399</v>
      </c>
      <c r="H73">
        <v>399</v>
      </c>
      <c r="I73">
        <v>399</v>
      </c>
      <c r="J73">
        <v>399</v>
      </c>
      <c r="K73">
        <v>399</v>
      </c>
      <c r="L73">
        <v>399</v>
      </c>
      <c r="M73">
        <v>399</v>
      </c>
      <c r="N73">
        <v>0.11</v>
      </c>
      <c r="O73">
        <v>0.11</v>
      </c>
      <c r="P73">
        <v>0.08</v>
      </c>
      <c r="Q73">
        <v>0.1</v>
      </c>
      <c r="R73" t="s">
        <v>41</v>
      </c>
      <c r="S73">
        <v>0</v>
      </c>
      <c r="T73">
        <v>0</v>
      </c>
    </row>
    <row r="74" spans="1:20">
      <c r="A74" t="s">
        <v>49</v>
      </c>
      <c r="B74">
        <v>150123.11499999999</v>
      </c>
      <c r="C74">
        <v>16.149999999999999</v>
      </c>
      <c r="D74">
        <v>1309.69</v>
      </c>
      <c r="E74">
        <v>7.47</v>
      </c>
      <c r="F74">
        <v>399</v>
      </c>
      <c r="G74">
        <v>399</v>
      </c>
      <c r="H74">
        <v>399</v>
      </c>
      <c r="I74">
        <v>399</v>
      </c>
      <c r="J74">
        <v>399</v>
      </c>
      <c r="K74">
        <v>399</v>
      </c>
      <c r="L74">
        <v>399</v>
      </c>
      <c r="M74">
        <v>399</v>
      </c>
      <c r="N74">
        <v>0.09</v>
      </c>
      <c r="O74">
        <v>0.11</v>
      </c>
      <c r="P74">
        <v>0.08</v>
      </c>
      <c r="Q74">
        <v>0.1</v>
      </c>
      <c r="R74" t="s">
        <v>41</v>
      </c>
      <c r="S74">
        <v>0</v>
      </c>
      <c r="T74">
        <v>0</v>
      </c>
    </row>
    <row r="75" spans="1:20">
      <c r="A75" t="s">
        <v>49</v>
      </c>
      <c r="B75">
        <v>150128.117</v>
      </c>
      <c r="C75">
        <v>15.42</v>
      </c>
      <c r="D75">
        <v>1309.6199999999999</v>
      </c>
      <c r="E75">
        <v>7.53</v>
      </c>
      <c r="F75">
        <v>399</v>
      </c>
      <c r="G75">
        <v>399</v>
      </c>
      <c r="H75">
        <v>399</v>
      </c>
      <c r="I75">
        <v>399</v>
      </c>
      <c r="J75">
        <v>399</v>
      </c>
      <c r="K75">
        <v>399</v>
      </c>
      <c r="L75">
        <v>399</v>
      </c>
      <c r="M75">
        <v>399</v>
      </c>
      <c r="N75">
        <v>0.1</v>
      </c>
      <c r="O75">
        <v>0.11</v>
      </c>
      <c r="P75">
        <v>0.08</v>
      </c>
      <c r="Q75">
        <v>0.1</v>
      </c>
      <c r="R75" t="s">
        <v>41</v>
      </c>
      <c r="S75">
        <v>0</v>
      </c>
      <c r="T75">
        <v>0</v>
      </c>
    </row>
    <row r="76" spans="1:20">
      <c r="A76" t="s">
        <v>49</v>
      </c>
      <c r="B76">
        <v>150133.12100000001</v>
      </c>
      <c r="C76">
        <v>14.67</v>
      </c>
      <c r="D76">
        <v>1309.5550000000001</v>
      </c>
      <c r="E76">
        <v>7.56</v>
      </c>
      <c r="F76">
        <v>399</v>
      </c>
      <c r="G76">
        <v>399</v>
      </c>
      <c r="H76">
        <v>399</v>
      </c>
      <c r="I76">
        <v>399</v>
      </c>
      <c r="J76">
        <v>399</v>
      </c>
      <c r="K76">
        <v>399</v>
      </c>
      <c r="L76">
        <v>399</v>
      </c>
      <c r="M76">
        <v>399</v>
      </c>
      <c r="N76">
        <v>0.09</v>
      </c>
      <c r="O76">
        <v>0.11</v>
      </c>
      <c r="P76">
        <v>0.08</v>
      </c>
      <c r="Q76">
        <v>0.1</v>
      </c>
      <c r="R76" t="s">
        <v>41</v>
      </c>
      <c r="S76">
        <v>0</v>
      </c>
      <c r="T76">
        <v>0</v>
      </c>
    </row>
    <row r="77" spans="1:20">
      <c r="A77" t="s">
        <v>49</v>
      </c>
      <c r="B77">
        <v>150138.11799999999</v>
      </c>
      <c r="C77">
        <v>13.9</v>
      </c>
      <c r="D77">
        <v>1309.4839999999999</v>
      </c>
      <c r="E77">
        <v>7.58</v>
      </c>
      <c r="F77">
        <v>399</v>
      </c>
      <c r="G77">
        <v>399</v>
      </c>
      <c r="H77">
        <v>399</v>
      </c>
      <c r="I77">
        <v>399</v>
      </c>
      <c r="J77">
        <v>399</v>
      </c>
      <c r="K77">
        <v>399</v>
      </c>
      <c r="L77">
        <v>399</v>
      </c>
      <c r="M77">
        <v>399</v>
      </c>
      <c r="N77">
        <v>0.09</v>
      </c>
      <c r="O77">
        <v>0.11</v>
      </c>
      <c r="P77">
        <v>0.08</v>
      </c>
      <c r="Q77">
        <v>0.1</v>
      </c>
      <c r="R77" t="s">
        <v>41</v>
      </c>
      <c r="S77">
        <v>0</v>
      </c>
      <c r="T77">
        <v>0</v>
      </c>
    </row>
    <row r="78" spans="1:20">
      <c r="A78" t="s">
        <v>49</v>
      </c>
      <c r="B78">
        <v>150143.12</v>
      </c>
      <c r="C78">
        <v>13.17</v>
      </c>
      <c r="D78">
        <v>1309.414</v>
      </c>
      <c r="E78">
        <v>7.55</v>
      </c>
      <c r="F78">
        <v>399</v>
      </c>
      <c r="G78">
        <v>399</v>
      </c>
      <c r="H78">
        <v>399</v>
      </c>
      <c r="I78">
        <v>399</v>
      </c>
      <c r="J78">
        <v>399</v>
      </c>
      <c r="K78">
        <v>399</v>
      </c>
      <c r="L78">
        <v>399</v>
      </c>
      <c r="M78">
        <v>399</v>
      </c>
      <c r="N78">
        <v>0.1</v>
      </c>
      <c r="O78">
        <v>0.11</v>
      </c>
      <c r="P78">
        <v>0.08</v>
      </c>
      <c r="Q78">
        <v>0.1</v>
      </c>
      <c r="R78" t="s">
        <v>41</v>
      </c>
      <c r="S78">
        <v>0</v>
      </c>
      <c r="T78">
        <v>0</v>
      </c>
    </row>
    <row r="79" spans="1:20">
      <c r="A79" t="s">
        <v>49</v>
      </c>
      <c r="B79">
        <v>150148.125</v>
      </c>
      <c r="C79">
        <v>12.41</v>
      </c>
      <c r="D79">
        <v>1309.337</v>
      </c>
      <c r="E79">
        <v>7.55</v>
      </c>
      <c r="F79">
        <v>399</v>
      </c>
      <c r="G79">
        <v>399</v>
      </c>
      <c r="H79">
        <v>399</v>
      </c>
      <c r="I79">
        <v>399</v>
      </c>
      <c r="J79">
        <v>399</v>
      </c>
      <c r="K79">
        <v>399</v>
      </c>
      <c r="L79">
        <v>399</v>
      </c>
      <c r="M79">
        <v>399</v>
      </c>
      <c r="N79">
        <v>0.1</v>
      </c>
      <c r="O79">
        <v>0.11</v>
      </c>
      <c r="P79">
        <v>0.08</v>
      </c>
      <c r="Q79">
        <v>0.1</v>
      </c>
      <c r="R79" t="s">
        <v>41</v>
      </c>
      <c r="S79">
        <v>0</v>
      </c>
      <c r="T79">
        <v>0</v>
      </c>
    </row>
    <row r="80" spans="1:20">
      <c r="A80" t="s">
        <v>49</v>
      </c>
      <c r="B80">
        <v>150153.122</v>
      </c>
      <c r="C80">
        <v>11.69</v>
      </c>
      <c r="D80">
        <v>1309.2670000000001</v>
      </c>
      <c r="E80">
        <v>7.57</v>
      </c>
      <c r="F80">
        <v>399</v>
      </c>
      <c r="G80">
        <v>399</v>
      </c>
      <c r="H80">
        <v>399</v>
      </c>
      <c r="I80">
        <v>399</v>
      </c>
      <c r="J80">
        <v>399</v>
      </c>
      <c r="K80">
        <v>399</v>
      </c>
      <c r="L80">
        <v>399</v>
      </c>
      <c r="M80">
        <v>399</v>
      </c>
      <c r="N80">
        <v>0.1</v>
      </c>
      <c r="O80">
        <v>0.11</v>
      </c>
      <c r="P80">
        <v>0.08</v>
      </c>
      <c r="Q80">
        <v>0.1</v>
      </c>
      <c r="R80" t="s">
        <v>41</v>
      </c>
      <c r="S80">
        <v>0</v>
      </c>
      <c r="T80">
        <v>0</v>
      </c>
    </row>
    <row r="81" spans="1:20">
      <c r="A81" t="s">
        <v>49</v>
      </c>
      <c r="B81">
        <v>150158.12</v>
      </c>
      <c r="C81">
        <v>10.94</v>
      </c>
      <c r="D81">
        <v>1309.1969999999999</v>
      </c>
      <c r="E81">
        <v>7.59</v>
      </c>
      <c r="F81">
        <v>399</v>
      </c>
      <c r="G81">
        <v>399</v>
      </c>
      <c r="H81">
        <v>399</v>
      </c>
      <c r="I81">
        <v>399</v>
      </c>
      <c r="J81">
        <v>399</v>
      </c>
      <c r="K81">
        <v>399</v>
      </c>
      <c r="L81">
        <v>399</v>
      </c>
      <c r="M81">
        <v>399</v>
      </c>
      <c r="N81">
        <v>0.09</v>
      </c>
      <c r="O81">
        <v>0.11</v>
      </c>
      <c r="P81">
        <v>0.08</v>
      </c>
      <c r="Q81">
        <v>0.1</v>
      </c>
      <c r="R81" t="s">
        <v>41</v>
      </c>
      <c r="S81">
        <v>0</v>
      </c>
      <c r="T81">
        <v>0</v>
      </c>
    </row>
    <row r="82" spans="1:20">
      <c r="A82" t="s">
        <v>49</v>
      </c>
      <c r="B82">
        <v>150203.122</v>
      </c>
      <c r="C82">
        <v>10.210000000000001</v>
      </c>
      <c r="D82">
        <v>1309.126</v>
      </c>
      <c r="E82">
        <v>7.58</v>
      </c>
      <c r="F82">
        <v>399</v>
      </c>
      <c r="G82">
        <v>399</v>
      </c>
      <c r="H82">
        <v>399</v>
      </c>
      <c r="I82">
        <v>399</v>
      </c>
      <c r="J82">
        <v>399</v>
      </c>
      <c r="K82">
        <v>399</v>
      </c>
      <c r="L82">
        <v>399</v>
      </c>
      <c r="M82">
        <v>399</v>
      </c>
      <c r="N82">
        <v>0.1</v>
      </c>
      <c r="O82">
        <v>0.11</v>
      </c>
      <c r="P82">
        <v>0.08</v>
      </c>
      <c r="Q82">
        <v>0.1</v>
      </c>
      <c r="R82" t="s">
        <v>41</v>
      </c>
      <c r="S82">
        <v>0</v>
      </c>
      <c r="T82">
        <v>0</v>
      </c>
    </row>
    <row r="83" spans="1:20">
      <c r="A83" t="s">
        <v>49</v>
      </c>
      <c r="B83">
        <v>150208.12400000001</v>
      </c>
      <c r="C83">
        <v>9.4499999999999993</v>
      </c>
      <c r="D83">
        <v>1309.056</v>
      </c>
      <c r="E83">
        <v>7.71</v>
      </c>
      <c r="F83">
        <v>399</v>
      </c>
      <c r="G83">
        <v>399</v>
      </c>
      <c r="H83">
        <v>399</v>
      </c>
      <c r="I83">
        <v>399</v>
      </c>
      <c r="J83">
        <v>399</v>
      </c>
      <c r="K83">
        <v>399</v>
      </c>
      <c r="L83">
        <v>399</v>
      </c>
      <c r="M83">
        <v>399</v>
      </c>
      <c r="N83">
        <v>0.09</v>
      </c>
      <c r="O83">
        <v>0.11</v>
      </c>
      <c r="P83">
        <v>0.08</v>
      </c>
      <c r="Q83">
        <v>0.1</v>
      </c>
      <c r="R83" t="s">
        <v>41</v>
      </c>
      <c r="S83">
        <v>0</v>
      </c>
      <c r="T83">
        <v>0</v>
      </c>
    </row>
    <row r="84" spans="1:20">
      <c r="A84" t="s">
        <v>49</v>
      </c>
      <c r="B84">
        <v>150213.14199999999</v>
      </c>
      <c r="C84">
        <v>8.7200000000000006</v>
      </c>
      <c r="D84">
        <v>1308.9849999999999</v>
      </c>
      <c r="E84">
        <v>7.58</v>
      </c>
      <c r="F84">
        <v>399</v>
      </c>
      <c r="G84">
        <v>399</v>
      </c>
      <c r="H84">
        <v>399</v>
      </c>
      <c r="I84">
        <v>399</v>
      </c>
      <c r="J84">
        <v>399</v>
      </c>
      <c r="K84">
        <v>399</v>
      </c>
      <c r="L84">
        <v>399</v>
      </c>
      <c r="M84">
        <v>399</v>
      </c>
      <c r="N84">
        <v>0.1</v>
      </c>
      <c r="O84">
        <v>0.11</v>
      </c>
      <c r="P84">
        <v>0.08</v>
      </c>
      <c r="Q84">
        <v>0.1</v>
      </c>
      <c r="R84" t="s">
        <v>41</v>
      </c>
      <c r="S84">
        <v>0</v>
      </c>
      <c r="T84">
        <v>0</v>
      </c>
    </row>
    <row r="85" spans="1:20">
      <c r="A85" t="s">
        <v>49</v>
      </c>
      <c r="B85">
        <v>150218.12599999999</v>
      </c>
      <c r="C85">
        <v>7.97</v>
      </c>
      <c r="D85">
        <v>1308.914</v>
      </c>
      <c r="E85">
        <v>7.59</v>
      </c>
      <c r="F85">
        <v>399</v>
      </c>
      <c r="G85">
        <v>399</v>
      </c>
      <c r="H85">
        <v>399</v>
      </c>
      <c r="I85">
        <v>399</v>
      </c>
      <c r="J85">
        <v>399</v>
      </c>
      <c r="K85">
        <v>399</v>
      </c>
      <c r="L85">
        <v>399</v>
      </c>
      <c r="M85">
        <v>399</v>
      </c>
      <c r="N85">
        <v>0.09</v>
      </c>
      <c r="O85">
        <v>0.11</v>
      </c>
      <c r="P85">
        <v>0.08</v>
      </c>
      <c r="Q85">
        <v>0.1</v>
      </c>
      <c r="R85" t="s">
        <v>41</v>
      </c>
      <c r="S85">
        <v>0</v>
      </c>
      <c r="T85">
        <v>0</v>
      </c>
    </row>
    <row r="86" spans="1:20">
      <c r="A86" t="s">
        <v>49</v>
      </c>
      <c r="B86">
        <v>150223.149</v>
      </c>
      <c r="C86">
        <v>7.21</v>
      </c>
      <c r="D86">
        <v>1308.8440000000001</v>
      </c>
      <c r="E86">
        <v>7.59</v>
      </c>
      <c r="F86">
        <v>399</v>
      </c>
      <c r="G86">
        <v>399</v>
      </c>
      <c r="H86">
        <v>399</v>
      </c>
      <c r="I86">
        <v>399</v>
      </c>
      <c r="J86">
        <v>399</v>
      </c>
      <c r="K86">
        <v>399</v>
      </c>
      <c r="L86">
        <v>399</v>
      </c>
      <c r="M86">
        <v>399</v>
      </c>
      <c r="N86">
        <v>0.09</v>
      </c>
      <c r="O86">
        <v>0.11</v>
      </c>
      <c r="P86">
        <v>0.08</v>
      </c>
      <c r="Q86">
        <v>0.1</v>
      </c>
      <c r="R86" t="s">
        <v>41</v>
      </c>
      <c r="S86">
        <v>0</v>
      </c>
      <c r="T86">
        <v>0</v>
      </c>
    </row>
    <row r="87" spans="1:20">
      <c r="A87" t="s">
        <v>49</v>
      </c>
      <c r="B87">
        <v>150228.12899999999</v>
      </c>
      <c r="C87">
        <v>6.48</v>
      </c>
      <c r="D87">
        <v>1308.7809999999999</v>
      </c>
      <c r="E87">
        <v>7.54</v>
      </c>
      <c r="F87">
        <v>399</v>
      </c>
      <c r="G87">
        <v>399</v>
      </c>
      <c r="H87">
        <v>399</v>
      </c>
      <c r="I87">
        <v>399</v>
      </c>
      <c r="J87">
        <v>399</v>
      </c>
      <c r="K87">
        <v>399</v>
      </c>
      <c r="L87">
        <v>399</v>
      </c>
      <c r="M87">
        <v>399</v>
      </c>
      <c r="N87">
        <v>0.09</v>
      </c>
      <c r="O87">
        <v>0.11</v>
      </c>
      <c r="P87">
        <v>0.08</v>
      </c>
      <c r="Q87">
        <v>0.1</v>
      </c>
      <c r="R87" t="s">
        <v>41</v>
      </c>
      <c r="S87">
        <v>0</v>
      </c>
      <c r="T87">
        <v>0</v>
      </c>
    </row>
    <row r="88" spans="1:20">
      <c r="A88" t="s">
        <v>49</v>
      </c>
      <c r="B88">
        <v>150233.13399999999</v>
      </c>
      <c r="C88">
        <v>5.73</v>
      </c>
      <c r="D88">
        <v>1308.712</v>
      </c>
      <c r="E88">
        <v>7.5</v>
      </c>
      <c r="F88">
        <v>399</v>
      </c>
      <c r="G88">
        <v>399</v>
      </c>
      <c r="H88">
        <v>399</v>
      </c>
      <c r="I88">
        <v>399</v>
      </c>
      <c r="J88">
        <v>399</v>
      </c>
      <c r="K88">
        <v>399</v>
      </c>
      <c r="L88">
        <v>399</v>
      </c>
      <c r="M88">
        <v>399</v>
      </c>
      <c r="N88">
        <v>0.09</v>
      </c>
      <c r="O88">
        <v>0.11</v>
      </c>
      <c r="P88">
        <v>0.08</v>
      </c>
      <c r="Q88">
        <v>0.1</v>
      </c>
      <c r="R88" t="s">
        <v>41</v>
      </c>
      <c r="S88">
        <v>0</v>
      </c>
      <c r="T88">
        <v>0</v>
      </c>
    </row>
    <row r="89" spans="1:20">
      <c r="A89" t="s">
        <v>49</v>
      </c>
      <c r="B89">
        <v>150238.12299999999</v>
      </c>
      <c r="C89">
        <v>4.99</v>
      </c>
      <c r="D89">
        <v>1308.635</v>
      </c>
      <c r="E89">
        <v>7.41</v>
      </c>
      <c r="F89">
        <v>399</v>
      </c>
      <c r="G89">
        <v>399</v>
      </c>
      <c r="H89">
        <v>399</v>
      </c>
      <c r="I89">
        <v>399</v>
      </c>
      <c r="J89">
        <v>399</v>
      </c>
      <c r="K89">
        <v>399</v>
      </c>
      <c r="L89">
        <v>399</v>
      </c>
      <c r="M89">
        <v>399</v>
      </c>
      <c r="N89">
        <v>0.1</v>
      </c>
      <c r="O89">
        <v>0.11</v>
      </c>
      <c r="P89">
        <v>0.08</v>
      </c>
      <c r="Q89">
        <v>0.1</v>
      </c>
      <c r="R89" t="s">
        <v>41</v>
      </c>
      <c r="S89">
        <v>0</v>
      </c>
      <c r="T89">
        <v>0</v>
      </c>
    </row>
    <row r="90" spans="1:20">
      <c r="A90" t="s">
        <v>49</v>
      </c>
      <c r="B90">
        <v>150243.13</v>
      </c>
      <c r="C90">
        <v>4.24</v>
      </c>
      <c r="D90">
        <v>1308.5730000000001</v>
      </c>
      <c r="E90">
        <v>7.49</v>
      </c>
      <c r="F90">
        <v>399</v>
      </c>
      <c r="G90">
        <v>399</v>
      </c>
      <c r="H90">
        <v>399</v>
      </c>
      <c r="I90">
        <v>399</v>
      </c>
      <c r="J90">
        <v>399</v>
      </c>
      <c r="K90">
        <v>399</v>
      </c>
      <c r="L90">
        <v>399</v>
      </c>
      <c r="M90">
        <v>399</v>
      </c>
      <c r="N90">
        <v>0.08</v>
      </c>
      <c r="O90">
        <v>0.11</v>
      </c>
      <c r="P90">
        <v>0.08</v>
      </c>
      <c r="Q90">
        <v>0.1</v>
      </c>
      <c r="R90" t="s">
        <v>41</v>
      </c>
      <c r="S90">
        <v>0</v>
      </c>
      <c r="T90">
        <v>0</v>
      </c>
    </row>
    <row r="91" spans="1:20">
      <c r="A91" t="s">
        <v>49</v>
      </c>
      <c r="B91">
        <v>150248.13</v>
      </c>
      <c r="C91">
        <v>3.51</v>
      </c>
      <c r="D91">
        <v>1308.4960000000001</v>
      </c>
      <c r="E91">
        <v>7.45</v>
      </c>
      <c r="F91">
        <v>399</v>
      </c>
      <c r="G91">
        <v>399</v>
      </c>
      <c r="H91">
        <v>399</v>
      </c>
      <c r="I91">
        <v>399</v>
      </c>
      <c r="J91">
        <v>399</v>
      </c>
      <c r="K91">
        <v>399</v>
      </c>
      <c r="L91">
        <v>399</v>
      </c>
      <c r="M91">
        <v>399</v>
      </c>
      <c r="N91">
        <v>0.11</v>
      </c>
      <c r="O91">
        <v>0.11</v>
      </c>
      <c r="P91">
        <v>0.08</v>
      </c>
      <c r="Q91">
        <v>0.1</v>
      </c>
      <c r="R91" t="s">
        <v>41</v>
      </c>
      <c r="S91">
        <v>0</v>
      </c>
      <c r="T91">
        <v>0</v>
      </c>
    </row>
    <row r="92" spans="1:20">
      <c r="A92" t="s">
        <v>49</v>
      </c>
      <c r="B92">
        <v>150253.13500000001</v>
      </c>
      <c r="C92">
        <v>2.76</v>
      </c>
      <c r="D92">
        <v>1308.4259999999999</v>
      </c>
      <c r="E92">
        <v>7.48</v>
      </c>
      <c r="F92">
        <v>399</v>
      </c>
      <c r="G92">
        <v>399</v>
      </c>
      <c r="H92">
        <v>399</v>
      </c>
      <c r="I92">
        <v>399</v>
      </c>
      <c r="J92">
        <v>399</v>
      </c>
      <c r="K92">
        <v>399</v>
      </c>
      <c r="L92">
        <v>399</v>
      </c>
      <c r="M92">
        <v>399</v>
      </c>
      <c r="N92">
        <v>0.09</v>
      </c>
      <c r="O92">
        <v>0.11</v>
      </c>
      <c r="P92">
        <v>0.08</v>
      </c>
      <c r="Q92">
        <v>0.1</v>
      </c>
      <c r="R92" t="s">
        <v>41</v>
      </c>
      <c r="S92">
        <v>0</v>
      </c>
      <c r="T92">
        <v>0</v>
      </c>
    </row>
    <row r="93" spans="1:20">
      <c r="A93" t="s">
        <v>49</v>
      </c>
      <c r="B93">
        <v>150258.15100000001</v>
      </c>
      <c r="C93">
        <v>2.0299999999999998</v>
      </c>
      <c r="D93">
        <v>1308.355</v>
      </c>
      <c r="E93">
        <v>7.44</v>
      </c>
      <c r="F93">
        <v>399</v>
      </c>
      <c r="G93">
        <v>399</v>
      </c>
      <c r="H93">
        <v>399</v>
      </c>
      <c r="I93">
        <v>399</v>
      </c>
      <c r="J93">
        <v>399</v>
      </c>
      <c r="K93">
        <v>399</v>
      </c>
      <c r="L93">
        <v>399</v>
      </c>
      <c r="M93">
        <v>399</v>
      </c>
      <c r="N93">
        <v>0.1</v>
      </c>
      <c r="O93">
        <v>0.11</v>
      </c>
      <c r="P93">
        <v>0.08</v>
      </c>
      <c r="Q93">
        <v>0.1</v>
      </c>
      <c r="R93" t="s">
        <v>41</v>
      </c>
      <c r="S93">
        <v>0</v>
      </c>
      <c r="T93">
        <v>0</v>
      </c>
    </row>
    <row r="94" spans="1:20">
      <c r="A94" t="s">
        <v>49</v>
      </c>
      <c r="B94">
        <v>150303.13099999999</v>
      </c>
      <c r="C94">
        <v>1.3</v>
      </c>
      <c r="D94">
        <v>1308.2919999999999</v>
      </c>
      <c r="E94">
        <v>7.39</v>
      </c>
      <c r="F94">
        <v>399</v>
      </c>
      <c r="G94">
        <v>399</v>
      </c>
      <c r="H94">
        <v>399</v>
      </c>
      <c r="I94">
        <v>399</v>
      </c>
      <c r="J94">
        <v>399</v>
      </c>
      <c r="K94">
        <v>399</v>
      </c>
      <c r="L94">
        <v>399</v>
      </c>
      <c r="M94">
        <v>399</v>
      </c>
      <c r="N94">
        <v>0.09</v>
      </c>
      <c r="O94">
        <v>0.11</v>
      </c>
      <c r="P94">
        <v>0.08</v>
      </c>
      <c r="Q94">
        <v>0.1</v>
      </c>
      <c r="R94" t="s">
        <v>41</v>
      </c>
      <c r="S94">
        <v>0</v>
      </c>
      <c r="T94">
        <v>0</v>
      </c>
    </row>
    <row r="95" spans="1:20">
      <c r="A95" t="s">
        <v>49</v>
      </c>
      <c r="B95">
        <v>150308.141</v>
      </c>
      <c r="C95">
        <v>0.54</v>
      </c>
      <c r="D95">
        <v>1308.2159999999999</v>
      </c>
      <c r="E95">
        <v>7.24</v>
      </c>
      <c r="F95">
        <v>399</v>
      </c>
      <c r="G95">
        <v>399</v>
      </c>
      <c r="H95">
        <v>399</v>
      </c>
      <c r="I95">
        <v>399</v>
      </c>
      <c r="J95">
        <v>399</v>
      </c>
      <c r="K95">
        <v>399</v>
      </c>
      <c r="L95">
        <v>399</v>
      </c>
      <c r="M95">
        <v>399</v>
      </c>
      <c r="N95">
        <v>0.1</v>
      </c>
      <c r="O95">
        <v>0.11</v>
      </c>
      <c r="P95">
        <v>0.08</v>
      </c>
      <c r="Q95">
        <v>0.1</v>
      </c>
      <c r="R95" t="s">
        <v>41</v>
      </c>
      <c r="S95">
        <v>0</v>
      </c>
      <c r="T95">
        <v>0</v>
      </c>
    </row>
    <row r="96" spans="1:20">
      <c r="A96" t="s">
        <v>52</v>
      </c>
      <c r="B96">
        <v>145523.04399999999</v>
      </c>
      <c r="C96">
        <v>69.760000000000005</v>
      </c>
      <c r="D96">
        <v>1314.6469999999999</v>
      </c>
      <c r="E96">
        <v>0.32</v>
      </c>
      <c r="F96">
        <v>399</v>
      </c>
      <c r="G96">
        <v>399</v>
      </c>
      <c r="H96">
        <v>399</v>
      </c>
      <c r="I96">
        <v>399</v>
      </c>
      <c r="J96">
        <v>399</v>
      </c>
      <c r="K96">
        <v>399</v>
      </c>
      <c r="L96">
        <v>399</v>
      </c>
      <c r="M96">
        <v>399</v>
      </c>
      <c r="N96">
        <v>0.1</v>
      </c>
      <c r="O96">
        <v>0.11</v>
      </c>
      <c r="P96">
        <v>0.08</v>
      </c>
      <c r="Q96">
        <v>0.1</v>
      </c>
      <c r="R96" t="s">
        <v>41</v>
      </c>
      <c r="S96">
        <v>0</v>
      </c>
      <c r="T96">
        <v>0</v>
      </c>
    </row>
    <row r="97" spans="1:20">
      <c r="A97" t="s">
        <v>52</v>
      </c>
      <c r="B97">
        <v>145528.05300000001</v>
      </c>
      <c r="C97">
        <v>69.010000000000005</v>
      </c>
      <c r="D97">
        <v>1314.586</v>
      </c>
      <c r="E97">
        <v>0.51</v>
      </c>
      <c r="F97">
        <v>399</v>
      </c>
      <c r="G97">
        <v>399</v>
      </c>
      <c r="H97">
        <v>399</v>
      </c>
      <c r="I97">
        <v>399</v>
      </c>
      <c r="J97">
        <v>399</v>
      </c>
      <c r="K97">
        <v>399</v>
      </c>
      <c r="L97">
        <v>399</v>
      </c>
      <c r="M97">
        <v>399</v>
      </c>
      <c r="N97">
        <v>0.08</v>
      </c>
      <c r="O97">
        <v>0.11</v>
      </c>
      <c r="P97">
        <v>0.08</v>
      </c>
      <c r="Q97">
        <v>0.1</v>
      </c>
      <c r="R97" t="s">
        <v>41</v>
      </c>
      <c r="S97">
        <v>0</v>
      </c>
      <c r="T97">
        <v>0</v>
      </c>
    </row>
    <row r="98" spans="1:20">
      <c r="A98" t="s">
        <v>52</v>
      </c>
      <c r="B98">
        <v>145533.04999999999</v>
      </c>
      <c r="C98">
        <v>68.260000000000005</v>
      </c>
      <c r="D98">
        <v>1314.5160000000001</v>
      </c>
      <c r="E98">
        <v>0.7</v>
      </c>
      <c r="F98">
        <v>399</v>
      </c>
      <c r="G98">
        <v>399</v>
      </c>
      <c r="H98">
        <v>399</v>
      </c>
      <c r="I98">
        <v>399</v>
      </c>
      <c r="J98">
        <v>399</v>
      </c>
      <c r="K98">
        <v>399</v>
      </c>
      <c r="L98">
        <v>399</v>
      </c>
      <c r="M98">
        <v>399</v>
      </c>
      <c r="N98">
        <v>0.09</v>
      </c>
      <c r="O98">
        <v>0.11</v>
      </c>
      <c r="P98">
        <v>0.08</v>
      </c>
      <c r="Q98">
        <v>0.1</v>
      </c>
      <c r="R98" t="s">
        <v>41</v>
      </c>
      <c r="S98">
        <v>0</v>
      </c>
      <c r="T98">
        <v>0</v>
      </c>
    </row>
    <row r="99" spans="1:20">
      <c r="A99" t="s">
        <v>52</v>
      </c>
      <c r="B99">
        <v>145538.049</v>
      </c>
      <c r="C99">
        <v>67.510000000000005</v>
      </c>
      <c r="D99">
        <v>1314.4480000000001</v>
      </c>
      <c r="E99">
        <v>1.02</v>
      </c>
      <c r="F99">
        <v>399</v>
      </c>
      <c r="G99">
        <v>399</v>
      </c>
      <c r="H99">
        <v>399</v>
      </c>
      <c r="I99">
        <v>399</v>
      </c>
      <c r="J99">
        <v>399</v>
      </c>
      <c r="K99">
        <v>399</v>
      </c>
      <c r="L99">
        <v>399</v>
      </c>
      <c r="M99">
        <v>399</v>
      </c>
      <c r="N99">
        <v>0.09</v>
      </c>
      <c r="O99">
        <v>0.11</v>
      </c>
      <c r="P99">
        <v>0.08</v>
      </c>
      <c r="Q99">
        <v>0.1</v>
      </c>
      <c r="R99" t="s">
        <v>41</v>
      </c>
      <c r="S99">
        <v>0</v>
      </c>
      <c r="T99">
        <v>0</v>
      </c>
    </row>
    <row r="100" spans="1:20">
      <c r="A100" t="s">
        <v>52</v>
      </c>
      <c r="B100">
        <v>145543.05100000001</v>
      </c>
      <c r="C100">
        <v>66.78</v>
      </c>
      <c r="D100">
        <v>1314.3779999999999</v>
      </c>
      <c r="E100">
        <v>1.17</v>
      </c>
      <c r="F100">
        <v>399</v>
      </c>
      <c r="G100">
        <v>399</v>
      </c>
      <c r="H100">
        <v>399</v>
      </c>
      <c r="I100">
        <v>399</v>
      </c>
      <c r="J100">
        <v>399</v>
      </c>
      <c r="K100">
        <v>399</v>
      </c>
      <c r="L100">
        <v>399</v>
      </c>
      <c r="M100">
        <v>399</v>
      </c>
      <c r="N100">
        <v>0.1</v>
      </c>
      <c r="O100">
        <v>0.11</v>
      </c>
      <c r="P100">
        <v>0.08</v>
      </c>
      <c r="Q100">
        <v>0.1</v>
      </c>
      <c r="R100" t="s">
        <v>41</v>
      </c>
      <c r="S100">
        <v>0</v>
      </c>
      <c r="T100">
        <v>0</v>
      </c>
    </row>
    <row r="101" spans="1:20">
      <c r="A101" t="s">
        <v>52</v>
      </c>
      <c r="B101">
        <v>145548.05300000001</v>
      </c>
      <c r="C101">
        <v>66.040000000000006</v>
      </c>
      <c r="D101">
        <v>1314.3009999999999</v>
      </c>
      <c r="E101">
        <v>1.69</v>
      </c>
      <c r="F101">
        <v>399</v>
      </c>
      <c r="G101">
        <v>399</v>
      </c>
      <c r="H101">
        <v>399</v>
      </c>
      <c r="I101">
        <v>399</v>
      </c>
      <c r="J101">
        <v>399</v>
      </c>
      <c r="K101">
        <v>399</v>
      </c>
      <c r="L101">
        <v>399</v>
      </c>
      <c r="M101">
        <v>399</v>
      </c>
      <c r="N101">
        <v>0.1</v>
      </c>
      <c r="O101">
        <v>0.11</v>
      </c>
      <c r="P101">
        <v>0.08</v>
      </c>
      <c r="Q101">
        <v>0.1</v>
      </c>
      <c r="R101" t="s">
        <v>41</v>
      </c>
      <c r="S101">
        <v>0</v>
      </c>
      <c r="T101">
        <v>0</v>
      </c>
    </row>
    <row r="102" spans="1:20">
      <c r="A102" t="s">
        <v>52</v>
      </c>
      <c r="B102">
        <v>145553.04999999999</v>
      </c>
      <c r="C102">
        <v>65.31</v>
      </c>
      <c r="D102">
        <v>1314.2380000000001</v>
      </c>
      <c r="E102">
        <v>1.97</v>
      </c>
      <c r="F102">
        <v>399</v>
      </c>
      <c r="G102">
        <v>399</v>
      </c>
      <c r="H102">
        <v>399</v>
      </c>
      <c r="I102">
        <v>399</v>
      </c>
      <c r="J102">
        <v>399</v>
      </c>
      <c r="K102">
        <v>399</v>
      </c>
      <c r="L102">
        <v>399</v>
      </c>
      <c r="M102">
        <v>399</v>
      </c>
      <c r="N102">
        <v>0.09</v>
      </c>
      <c r="O102">
        <v>0.11</v>
      </c>
      <c r="P102">
        <v>0.08</v>
      </c>
      <c r="Q102">
        <v>0.1</v>
      </c>
      <c r="R102" t="s">
        <v>41</v>
      </c>
      <c r="S102">
        <v>0</v>
      </c>
      <c r="T102">
        <v>0</v>
      </c>
    </row>
    <row r="103" spans="1:20">
      <c r="A103" t="s">
        <v>52</v>
      </c>
      <c r="B103">
        <v>145558.05499999999</v>
      </c>
      <c r="C103">
        <v>64.569999999999993</v>
      </c>
      <c r="D103">
        <v>1314.1659999999999</v>
      </c>
      <c r="E103">
        <v>2.2599999999999998</v>
      </c>
      <c r="F103">
        <v>399</v>
      </c>
      <c r="G103">
        <v>399</v>
      </c>
      <c r="H103">
        <v>399</v>
      </c>
      <c r="I103">
        <v>399</v>
      </c>
      <c r="J103">
        <v>399</v>
      </c>
      <c r="K103">
        <v>399</v>
      </c>
      <c r="L103">
        <v>399</v>
      </c>
      <c r="M103">
        <v>399</v>
      </c>
      <c r="N103">
        <v>0.1</v>
      </c>
      <c r="O103">
        <v>0.11</v>
      </c>
      <c r="P103">
        <v>0.08</v>
      </c>
      <c r="Q103">
        <v>0.1</v>
      </c>
      <c r="R103" t="s">
        <v>41</v>
      </c>
      <c r="S103">
        <v>0</v>
      </c>
      <c r="T103">
        <v>0</v>
      </c>
    </row>
    <row r="104" spans="1:20">
      <c r="A104" t="s">
        <v>52</v>
      </c>
      <c r="B104">
        <v>145603.05499999999</v>
      </c>
      <c r="C104">
        <v>63.84</v>
      </c>
      <c r="D104">
        <v>1314.088</v>
      </c>
      <c r="E104">
        <v>2.68</v>
      </c>
      <c r="F104">
        <v>399</v>
      </c>
      <c r="G104">
        <v>399</v>
      </c>
      <c r="H104">
        <v>399</v>
      </c>
      <c r="I104">
        <v>399</v>
      </c>
      <c r="J104">
        <v>399</v>
      </c>
      <c r="K104">
        <v>399</v>
      </c>
      <c r="L104">
        <v>399</v>
      </c>
      <c r="M104">
        <v>399</v>
      </c>
      <c r="N104">
        <v>0.11</v>
      </c>
      <c r="O104">
        <v>0.11</v>
      </c>
      <c r="P104">
        <v>0.08</v>
      </c>
      <c r="Q104">
        <v>0.1</v>
      </c>
      <c r="R104" t="s">
        <v>41</v>
      </c>
      <c r="S104">
        <v>0</v>
      </c>
      <c r="T104">
        <v>0</v>
      </c>
    </row>
    <row r="105" spans="1:20">
      <c r="A105" t="s">
        <v>52</v>
      </c>
      <c r="B105">
        <v>145608.049</v>
      </c>
      <c r="C105">
        <v>63.09</v>
      </c>
      <c r="D105">
        <v>1314.0229999999999</v>
      </c>
      <c r="E105">
        <v>2.81</v>
      </c>
      <c r="F105">
        <v>399</v>
      </c>
      <c r="G105">
        <v>399</v>
      </c>
      <c r="H105">
        <v>399</v>
      </c>
      <c r="I105">
        <v>399</v>
      </c>
      <c r="J105">
        <v>399</v>
      </c>
      <c r="K105">
        <v>399</v>
      </c>
      <c r="L105">
        <v>399</v>
      </c>
      <c r="M105">
        <v>399</v>
      </c>
      <c r="N105">
        <v>0.09</v>
      </c>
      <c r="O105">
        <v>0.11</v>
      </c>
      <c r="P105">
        <v>0.08</v>
      </c>
      <c r="Q105">
        <v>0.1</v>
      </c>
      <c r="R105" t="s">
        <v>41</v>
      </c>
      <c r="S105">
        <v>0</v>
      </c>
      <c r="T105">
        <v>0</v>
      </c>
    </row>
    <row r="106" spans="1:20">
      <c r="A106" t="s">
        <v>52</v>
      </c>
      <c r="B106">
        <v>145613.04699999999</v>
      </c>
      <c r="C106">
        <v>62.37</v>
      </c>
      <c r="D106">
        <v>1313.953</v>
      </c>
      <c r="E106">
        <v>3.15</v>
      </c>
      <c r="F106">
        <v>399</v>
      </c>
      <c r="G106">
        <v>399</v>
      </c>
      <c r="H106">
        <v>399</v>
      </c>
      <c r="I106">
        <v>399</v>
      </c>
      <c r="J106">
        <v>399</v>
      </c>
      <c r="K106">
        <v>399</v>
      </c>
      <c r="L106">
        <v>399</v>
      </c>
      <c r="M106">
        <v>399</v>
      </c>
      <c r="N106">
        <v>0.1</v>
      </c>
      <c r="O106">
        <v>0.11</v>
      </c>
      <c r="P106">
        <v>0.08</v>
      </c>
      <c r="Q106">
        <v>0.1</v>
      </c>
      <c r="R106" t="s">
        <v>41</v>
      </c>
      <c r="S106">
        <v>0</v>
      </c>
      <c r="T106">
        <v>0</v>
      </c>
    </row>
    <row r="107" spans="1:20">
      <c r="A107" t="s">
        <v>52</v>
      </c>
      <c r="B107">
        <v>145618.052</v>
      </c>
      <c r="C107">
        <v>61.62</v>
      </c>
      <c r="D107">
        <v>1313.8810000000001</v>
      </c>
      <c r="E107">
        <v>3.62</v>
      </c>
      <c r="F107">
        <v>399</v>
      </c>
      <c r="G107">
        <v>399</v>
      </c>
      <c r="H107">
        <v>399</v>
      </c>
      <c r="I107">
        <v>399</v>
      </c>
      <c r="J107">
        <v>399</v>
      </c>
      <c r="K107">
        <v>399</v>
      </c>
      <c r="L107">
        <v>399</v>
      </c>
      <c r="M107">
        <v>399</v>
      </c>
      <c r="N107">
        <v>0.1</v>
      </c>
      <c r="O107">
        <v>0.11</v>
      </c>
      <c r="P107">
        <v>0.08</v>
      </c>
      <c r="Q107">
        <v>0.1</v>
      </c>
      <c r="R107" t="s">
        <v>41</v>
      </c>
      <c r="S107">
        <v>0</v>
      </c>
      <c r="T107">
        <v>0</v>
      </c>
    </row>
    <row r="108" spans="1:20">
      <c r="A108" t="s">
        <v>52</v>
      </c>
      <c r="B108">
        <v>145623.057</v>
      </c>
      <c r="C108">
        <v>60.89</v>
      </c>
      <c r="D108">
        <v>1313.809</v>
      </c>
      <c r="E108">
        <v>3.98</v>
      </c>
      <c r="F108">
        <v>399</v>
      </c>
      <c r="G108">
        <v>399</v>
      </c>
      <c r="H108">
        <v>399</v>
      </c>
      <c r="I108">
        <v>399</v>
      </c>
      <c r="J108">
        <v>399</v>
      </c>
      <c r="K108">
        <v>399</v>
      </c>
      <c r="L108">
        <v>399</v>
      </c>
      <c r="M108">
        <v>399</v>
      </c>
      <c r="N108">
        <v>0.1</v>
      </c>
      <c r="O108">
        <v>0.11</v>
      </c>
      <c r="P108">
        <v>0.08</v>
      </c>
      <c r="Q108">
        <v>0.1</v>
      </c>
      <c r="R108" t="s">
        <v>41</v>
      </c>
      <c r="S108">
        <v>0</v>
      </c>
      <c r="T108">
        <v>0</v>
      </c>
    </row>
    <row r="109" spans="1:20">
      <c r="A109" t="s">
        <v>52</v>
      </c>
      <c r="B109">
        <v>145628.06099999999</v>
      </c>
      <c r="C109">
        <v>60.12</v>
      </c>
      <c r="D109">
        <v>1313.7370000000001</v>
      </c>
      <c r="E109">
        <v>4.33</v>
      </c>
      <c r="F109">
        <v>399</v>
      </c>
      <c r="G109">
        <v>399</v>
      </c>
      <c r="H109">
        <v>399</v>
      </c>
      <c r="I109">
        <v>399</v>
      </c>
      <c r="J109">
        <v>399</v>
      </c>
      <c r="K109">
        <v>399</v>
      </c>
      <c r="L109">
        <v>399</v>
      </c>
      <c r="M109">
        <v>399</v>
      </c>
      <c r="N109">
        <v>0.09</v>
      </c>
      <c r="O109">
        <v>0.11</v>
      </c>
      <c r="P109">
        <v>0.08</v>
      </c>
      <c r="Q109">
        <v>0.1</v>
      </c>
      <c r="R109" t="s">
        <v>41</v>
      </c>
      <c r="S109">
        <v>0</v>
      </c>
      <c r="T109">
        <v>0</v>
      </c>
    </row>
    <row r="110" spans="1:20">
      <c r="A110" t="s">
        <v>52</v>
      </c>
      <c r="B110">
        <v>145633.05900000001</v>
      </c>
      <c r="C110">
        <v>59.35</v>
      </c>
      <c r="D110">
        <v>1313.663</v>
      </c>
      <c r="E110">
        <v>4.6500000000000004</v>
      </c>
      <c r="F110">
        <v>399</v>
      </c>
      <c r="G110">
        <v>399</v>
      </c>
      <c r="H110">
        <v>399</v>
      </c>
      <c r="I110">
        <v>399</v>
      </c>
      <c r="J110">
        <v>399</v>
      </c>
      <c r="K110">
        <v>399</v>
      </c>
      <c r="L110">
        <v>399</v>
      </c>
      <c r="M110">
        <v>399</v>
      </c>
      <c r="N110">
        <v>0.1</v>
      </c>
      <c r="O110">
        <v>0.11</v>
      </c>
      <c r="P110">
        <v>0.08</v>
      </c>
      <c r="Q110">
        <v>0.1</v>
      </c>
      <c r="R110" t="s">
        <v>41</v>
      </c>
      <c r="S110">
        <v>0</v>
      </c>
      <c r="T110">
        <v>0</v>
      </c>
    </row>
    <row r="111" spans="1:20">
      <c r="A111" t="s">
        <v>52</v>
      </c>
      <c r="B111">
        <v>145638.054</v>
      </c>
      <c r="C111">
        <v>58.59</v>
      </c>
      <c r="D111">
        <v>1313.5909999999999</v>
      </c>
      <c r="E111">
        <v>5.0199999999999996</v>
      </c>
      <c r="F111">
        <v>399</v>
      </c>
      <c r="G111">
        <v>399</v>
      </c>
      <c r="H111">
        <v>399</v>
      </c>
      <c r="I111">
        <v>399</v>
      </c>
      <c r="J111">
        <v>399</v>
      </c>
      <c r="K111">
        <v>399</v>
      </c>
      <c r="L111">
        <v>399</v>
      </c>
      <c r="M111">
        <v>399</v>
      </c>
      <c r="N111">
        <v>0.09</v>
      </c>
      <c r="O111">
        <v>0.11</v>
      </c>
      <c r="P111">
        <v>0.08</v>
      </c>
      <c r="Q111">
        <v>0.1</v>
      </c>
      <c r="R111" t="s">
        <v>41</v>
      </c>
      <c r="S111">
        <v>0</v>
      </c>
      <c r="T111">
        <v>0</v>
      </c>
    </row>
    <row r="112" spans="1:20">
      <c r="A112" t="s">
        <v>52</v>
      </c>
      <c r="B112">
        <v>145643.065</v>
      </c>
      <c r="C112">
        <v>57.84</v>
      </c>
      <c r="D112">
        <v>1313.519</v>
      </c>
      <c r="E112">
        <v>5.34</v>
      </c>
      <c r="F112">
        <v>399</v>
      </c>
      <c r="G112">
        <v>399</v>
      </c>
      <c r="H112">
        <v>399</v>
      </c>
      <c r="I112">
        <v>399</v>
      </c>
      <c r="J112">
        <v>399</v>
      </c>
      <c r="K112">
        <v>399</v>
      </c>
      <c r="L112">
        <v>399</v>
      </c>
      <c r="M112">
        <v>399</v>
      </c>
      <c r="N112">
        <v>0.1</v>
      </c>
      <c r="O112">
        <v>0.11</v>
      </c>
      <c r="P112">
        <v>0.08</v>
      </c>
      <c r="Q112">
        <v>0.1</v>
      </c>
      <c r="R112" t="s">
        <v>41</v>
      </c>
      <c r="S112">
        <v>0</v>
      </c>
      <c r="T112">
        <v>0</v>
      </c>
    </row>
    <row r="113" spans="1:20">
      <c r="A113" t="s">
        <v>52</v>
      </c>
      <c r="B113">
        <v>145648.06200000001</v>
      </c>
      <c r="C113">
        <v>57.11</v>
      </c>
      <c r="D113">
        <v>1313.4449999999999</v>
      </c>
      <c r="E113">
        <v>5.62</v>
      </c>
      <c r="F113">
        <v>399</v>
      </c>
      <c r="G113">
        <v>399</v>
      </c>
      <c r="H113">
        <v>399</v>
      </c>
      <c r="I113">
        <v>399</v>
      </c>
      <c r="J113">
        <v>399</v>
      </c>
      <c r="K113">
        <v>399</v>
      </c>
      <c r="L113">
        <v>399</v>
      </c>
      <c r="M113">
        <v>399</v>
      </c>
      <c r="N113">
        <v>0.1</v>
      </c>
      <c r="O113">
        <v>0.11</v>
      </c>
      <c r="P113">
        <v>0.08</v>
      </c>
      <c r="Q113">
        <v>0.1</v>
      </c>
      <c r="R113" t="s">
        <v>41</v>
      </c>
      <c r="S113">
        <v>0</v>
      </c>
      <c r="T113">
        <v>0</v>
      </c>
    </row>
    <row r="114" spans="1:20">
      <c r="A114" t="s">
        <v>52</v>
      </c>
      <c r="B114">
        <v>145653.06400000001</v>
      </c>
      <c r="C114">
        <v>56.35</v>
      </c>
      <c r="D114">
        <v>1313.373</v>
      </c>
      <c r="E114">
        <v>5.91</v>
      </c>
      <c r="F114">
        <v>399</v>
      </c>
      <c r="G114">
        <v>399</v>
      </c>
      <c r="H114">
        <v>399</v>
      </c>
      <c r="I114">
        <v>399</v>
      </c>
      <c r="J114">
        <v>399</v>
      </c>
      <c r="K114">
        <v>399</v>
      </c>
      <c r="L114">
        <v>399</v>
      </c>
      <c r="M114">
        <v>399</v>
      </c>
      <c r="N114">
        <v>0.09</v>
      </c>
      <c r="O114">
        <v>0.11</v>
      </c>
      <c r="P114">
        <v>0.08</v>
      </c>
      <c r="Q114">
        <v>0.1</v>
      </c>
      <c r="R114" t="s">
        <v>41</v>
      </c>
      <c r="S114">
        <v>0</v>
      </c>
      <c r="T114">
        <v>0</v>
      </c>
    </row>
    <row r="115" spans="1:20">
      <c r="A115" t="s">
        <v>52</v>
      </c>
      <c r="B115">
        <v>145658.06299999999</v>
      </c>
      <c r="C115">
        <v>55.61</v>
      </c>
      <c r="D115">
        <v>1313.3009999999999</v>
      </c>
      <c r="E115">
        <v>6.13</v>
      </c>
      <c r="F115">
        <v>399</v>
      </c>
      <c r="G115">
        <v>399</v>
      </c>
      <c r="H115">
        <v>399</v>
      </c>
      <c r="I115">
        <v>399</v>
      </c>
      <c r="J115">
        <v>399</v>
      </c>
      <c r="K115">
        <v>399</v>
      </c>
      <c r="L115">
        <v>399</v>
      </c>
      <c r="M115">
        <v>399</v>
      </c>
      <c r="N115">
        <v>0.1</v>
      </c>
      <c r="O115">
        <v>0.11</v>
      </c>
      <c r="P115">
        <v>0.08</v>
      </c>
      <c r="Q115">
        <v>0.1</v>
      </c>
      <c r="R115" t="s">
        <v>41</v>
      </c>
      <c r="S115">
        <v>0</v>
      </c>
      <c r="T115">
        <v>0</v>
      </c>
    </row>
    <row r="116" spans="1:20">
      <c r="A116" t="s">
        <v>52</v>
      </c>
      <c r="B116">
        <v>145703.076</v>
      </c>
      <c r="C116">
        <v>54.86</v>
      </c>
      <c r="D116">
        <v>1313.2270000000001</v>
      </c>
      <c r="E116">
        <v>6.26</v>
      </c>
      <c r="F116">
        <v>399</v>
      </c>
      <c r="G116">
        <v>399</v>
      </c>
      <c r="H116">
        <v>399</v>
      </c>
      <c r="I116">
        <v>399</v>
      </c>
      <c r="J116">
        <v>399</v>
      </c>
      <c r="K116">
        <v>399</v>
      </c>
      <c r="L116">
        <v>399</v>
      </c>
      <c r="M116">
        <v>399</v>
      </c>
      <c r="N116">
        <v>0.1</v>
      </c>
      <c r="O116">
        <v>0.11</v>
      </c>
      <c r="P116">
        <v>0.08</v>
      </c>
      <c r="Q116">
        <v>0.1</v>
      </c>
      <c r="R116" t="s">
        <v>41</v>
      </c>
      <c r="S116">
        <v>0</v>
      </c>
      <c r="T116">
        <v>0</v>
      </c>
    </row>
    <row r="117" spans="1:20">
      <c r="A117" t="s">
        <v>52</v>
      </c>
      <c r="B117">
        <v>145708.07199999999</v>
      </c>
      <c r="C117">
        <v>54.1</v>
      </c>
      <c r="D117">
        <v>1313.1489999999999</v>
      </c>
      <c r="E117">
        <v>6.51</v>
      </c>
      <c r="F117">
        <v>399</v>
      </c>
      <c r="G117">
        <v>399</v>
      </c>
      <c r="H117">
        <v>399</v>
      </c>
      <c r="I117">
        <v>399</v>
      </c>
      <c r="J117">
        <v>399</v>
      </c>
      <c r="K117">
        <v>399</v>
      </c>
      <c r="L117">
        <v>399</v>
      </c>
      <c r="M117">
        <v>399</v>
      </c>
      <c r="N117">
        <v>0.1</v>
      </c>
      <c r="O117">
        <v>0.11</v>
      </c>
      <c r="P117">
        <v>0.08</v>
      </c>
      <c r="Q117">
        <v>0.1</v>
      </c>
      <c r="R117" t="s">
        <v>41</v>
      </c>
      <c r="S117">
        <v>0</v>
      </c>
      <c r="T117">
        <v>0</v>
      </c>
    </row>
    <row r="118" spans="1:20">
      <c r="A118" t="s">
        <v>52</v>
      </c>
      <c r="B118">
        <v>145713.06400000001</v>
      </c>
      <c r="C118">
        <v>53.36</v>
      </c>
      <c r="D118">
        <v>1313.077</v>
      </c>
      <c r="E118">
        <v>6.62</v>
      </c>
      <c r="F118">
        <v>399</v>
      </c>
      <c r="G118">
        <v>399</v>
      </c>
      <c r="H118">
        <v>399</v>
      </c>
      <c r="I118">
        <v>399</v>
      </c>
      <c r="J118">
        <v>399</v>
      </c>
      <c r="K118">
        <v>399</v>
      </c>
      <c r="L118">
        <v>399</v>
      </c>
      <c r="M118">
        <v>399</v>
      </c>
      <c r="N118">
        <v>0.1</v>
      </c>
      <c r="O118">
        <v>0.11</v>
      </c>
      <c r="P118">
        <v>0.08</v>
      </c>
      <c r="Q118">
        <v>0.1</v>
      </c>
      <c r="R118" t="s">
        <v>41</v>
      </c>
      <c r="S118">
        <v>0</v>
      </c>
      <c r="T118">
        <v>0</v>
      </c>
    </row>
    <row r="119" spans="1:20">
      <c r="A119" t="s">
        <v>52</v>
      </c>
      <c r="B119">
        <v>145718.065</v>
      </c>
      <c r="C119">
        <v>52.6</v>
      </c>
      <c r="D119">
        <v>1313.0050000000001</v>
      </c>
      <c r="E119">
        <v>6.79</v>
      </c>
      <c r="F119">
        <v>399</v>
      </c>
      <c r="G119">
        <v>399</v>
      </c>
      <c r="H119">
        <v>399</v>
      </c>
      <c r="I119">
        <v>399</v>
      </c>
      <c r="J119">
        <v>399</v>
      </c>
      <c r="K119">
        <v>399</v>
      </c>
      <c r="L119">
        <v>399</v>
      </c>
      <c r="M119">
        <v>399</v>
      </c>
      <c r="N119">
        <v>0.09</v>
      </c>
      <c r="O119">
        <v>0.11</v>
      </c>
      <c r="P119">
        <v>0.08</v>
      </c>
      <c r="Q119">
        <v>0.1</v>
      </c>
      <c r="R119" t="s">
        <v>41</v>
      </c>
      <c r="S119">
        <v>0</v>
      </c>
      <c r="T119">
        <v>0</v>
      </c>
    </row>
    <row r="120" spans="1:20">
      <c r="A120" t="s">
        <v>52</v>
      </c>
      <c r="B120">
        <v>145723.068</v>
      </c>
      <c r="C120">
        <v>51.88</v>
      </c>
      <c r="D120">
        <v>1312.942</v>
      </c>
      <c r="E120">
        <v>6.93</v>
      </c>
      <c r="F120">
        <v>399</v>
      </c>
      <c r="G120">
        <v>399</v>
      </c>
      <c r="H120">
        <v>399</v>
      </c>
      <c r="I120">
        <v>399</v>
      </c>
      <c r="J120">
        <v>399</v>
      </c>
      <c r="K120">
        <v>399</v>
      </c>
      <c r="L120">
        <v>399</v>
      </c>
      <c r="M120">
        <v>399</v>
      </c>
      <c r="N120">
        <v>0.09</v>
      </c>
      <c r="O120">
        <v>0.11</v>
      </c>
      <c r="P120">
        <v>0.08</v>
      </c>
      <c r="Q120">
        <v>0.1</v>
      </c>
      <c r="R120" t="s">
        <v>41</v>
      </c>
      <c r="S120">
        <v>0</v>
      </c>
      <c r="T120">
        <v>0</v>
      </c>
    </row>
    <row r="121" spans="1:20">
      <c r="A121" t="s">
        <v>52</v>
      </c>
      <c r="B121">
        <v>145728.068</v>
      </c>
      <c r="C121">
        <v>51.12</v>
      </c>
      <c r="D121">
        <v>1312.8620000000001</v>
      </c>
      <c r="E121">
        <v>7.13</v>
      </c>
      <c r="F121">
        <v>399</v>
      </c>
      <c r="G121">
        <v>399</v>
      </c>
      <c r="H121">
        <v>399</v>
      </c>
      <c r="I121">
        <v>399</v>
      </c>
      <c r="J121">
        <v>399</v>
      </c>
      <c r="K121">
        <v>399</v>
      </c>
      <c r="L121">
        <v>399</v>
      </c>
      <c r="M121">
        <v>399</v>
      </c>
      <c r="N121">
        <v>0.11</v>
      </c>
      <c r="O121">
        <v>0.11</v>
      </c>
      <c r="P121">
        <v>0.08</v>
      </c>
      <c r="Q121">
        <v>0.1</v>
      </c>
      <c r="R121" t="s">
        <v>41</v>
      </c>
      <c r="S121">
        <v>0</v>
      </c>
      <c r="T121">
        <v>0</v>
      </c>
    </row>
    <row r="122" spans="1:20">
      <c r="A122" t="s">
        <v>52</v>
      </c>
      <c r="B122">
        <v>145733.071</v>
      </c>
      <c r="C122">
        <v>50.38</v>
      </c>
      <c r="D122">
        <v>1312.798</v>
      </c>
      <c r="E122">
        <v>7.3</v>
      </c>
      <c r="F122">
        <v>399</v>
      </c>
      <c r="G122">
        <v>399</v>
      </c>
      <c r="H122">
        <v>399</v>
      </c>
      <c r="I122">
        <v>399</v>
      </c>
      <c r="J122">
        <v>399</v>
      </c>
      <c r="K122">
        <v>399</v>
      </c>
      <c r="L122">
        <v>399</v>
      </c>
      <c r="M122">
        <v>399</v>
      </c>
      <c r="N122">
        <v>0.09</v>
      </c>
      <c r="O122">
        <v>0.11</v>
      </c>
      <c r="P122">
        <v>0.08</v>
      </c>
      <c r="Q122">
        <v>0.1</v>
      </c>
      <c r="R122" t="s">
        <v>41</v>
      </c>
      <c r="S122">
        <v>0</v>
      </c>
      <c r="T122">
        <v>0</v>
      </c>
    </row>
    <row r="123" spans="1:20">
      <c r="A123" t="s">
        <v>52</v>
      </c>
      <c r="B123">
        <v>145738.07500000001</v>
      </c>
      <c r="C123">
        <v>49.64</v>
      </c>
      <c r="D123">
        <v>1312.7260000000001</v>
      </c>
      <c r="E123">
        <v>7.41</v>
      </c>
      <c r="F123">
        <v>399</v>
      </c>
      <c r="G123">
        <v>399</v>
      </c>
      <c r="H123">
        <v>399</v>
      </c>
      <c r="I123">
        <v>399</v>
      </c>
      <c r="J123">
        <v>399</v>
      </c>
      <c r="K123">
        <v>399</v>
      </c>
      <c r="L123">
        <v>399</v>
      </c>
      <c r="M123">
        <v>399</v>
      </c>
      <c r="N123">
        <v>0.1</v>
      </c>
      <c r="O123">
        <v>0.11</v>
      </c>
      <c r="P123">
        <v>0.08</v>
      </c>
      <c r="Q123">
        <v>0.1</v>
      </c>
      <c r="R123" t="s">
        <v>41</v>
      </c>
      <c r="S123">
        <v>0</v>
      </c>
      <c r="T123">
        <v>0</v>
      </c>
    </row>
    <row r="124" spans="1:20">
      <c r="A124" t="s">
        <v>52</v>
      </c>
      <c r="B124">
        <v>145743.07500000001</v>
      </c>
      <c r="C124">
        <v>48.91</v>
      </c>
      <c r="D124">
        <v>1312.653</v>
      </c>
      <c r="E124">
        <v>6.73</v>
      </c>
      <c r="F124">
        <v>399</v>
      </c>
      <c r="G124">
        <v>399</v>
      </c>
      <c r="H124">
        <v>399</v>
      </c>
      <c r="I124">
        <v>399</v>
      </c>
      <c r="J124">
        <v>399</v>
      </c>
      <c r="K124">
        <v>399</v>
      </c>
      <c r="L124">
        <v>399</v>
      </c>
      <c r="M124">
        <v>399</v>
      </c>
      <c r="N124">
        <v>0.1</v>
      </c>
      <c r="O124">
        <v>0.11</v>
      </c>
      <c r="P124">
        <v>0.08</v>
      </c>
      <c r="Q124">
        <v>0.1</v>
      </c>
      <c r="R124" t="s">
        <v>41</v>
      </c>
      <c r="S124">
        <v>0</v>
      </c>
      <c r="T124">
        <v>0</v>
      </c>
    </row>
    <row r="125" spans="1:20">
      <c r="A125" t="s">
        <v>52</v>
      </c>
      <c r="B125">
        <v>145748.07199999999</v>
      </c>
      <c r="C125">
        <v>48.15</v>
      </c>
      <c r="D125">
        <v>1312.5820000000001</v>
      </c>
      <c r="E125">
        <v>6.91</v>
      </c>
      <c r="F125">
        <v>399</v>
      </c>
      <c r="G125">
        <v>399</v>
      </c>
      <c r="H125">
        <v>399</v>
      </c>
      <c r="I125">
        <v>399</v>
      </c>
      <c r="J125">
        <v>399</v>
      </c>
      <c r="K125">
        <v>399</v>
      </c>
      <c r="L125">
        <v>399</v>
      </c>
      <c r="M125">
        <v>399</v>
      </c>
      <c r="N125">
        <v>0.09</v>
      </c>
      <c r="O125">
        <v>0.11</v>
      </c>
      <c r="P125">
        <v>0.08</v>
      </c>
      <c r="Q125">
        <v>0.1</v>
      </c>
      <c r="R125" t="s">
        <v>41</v>
      </c>
      <c r="S125">
        <v>0</v>
      </c>
      <c r="T125">
        <v>0</v>
      </c>
    </row>
    <row r="126" spans="1:20">
      <c r="A126" t="s">
        <v>52</v>
      </c>
      <c r="B126">
        <v>145753.07500000001</v>
      </c>
      <c r="C126">
        <v>47.4</v>
      </c>
      <c r="D126">
        <v>1312.501</v>
      </c>
      <c r="E126">
        <v>7.18</v>
      </c>
      <c r="F126">
        <v>399</v>
      </c>
      <c r="G126">
        <v>399</v>
      </c>
      <c r="H126">
        <v>399</v>
      </c>
      <c r="I126">
        <v>399</v>
      </c>
      <c r="J126">
        <v>399</v>
      </c>
      <c r="K126">
        <v>399</v>
      </c>
      <c r="L126">
        <v>399</v>
      </c>
      <c r="M126">
        <v>399</v>
      </c>
      <c r="N126">
        <v>0.11</v>
      </c>
      <c r="O126">
        <v>0.11</v>
      </c>
      <c r="P126">
        <v>0.08</v>
      </c>
      <c r="Q126">
        <v>0.1</v>
      </c>
      <c r="R126" t="s">
        <v>41</v>
      </c>
      <c r="S126">
        <v>0</v>
      </c>
      <c r="T126">
        <v>0</v>
      </c>
    </row>
    <row r="127" spans="1:20">
      <c r="A127" t="s">
        <v>52</v>
      </c>
      <c r="B127">
        <v>145758.073</v>
      </c>
      <c r="C127">
        <v>46.65</v>
      </c>
      <c r="D127">
        <v>1312.4359999999999</v>
      </c>
      <c r="E127">
        <v>7.28</v>
      </c>
      <c r="F127">
        <v>399</v>
      </c>
      <c r="G127">
        <v>399</v>
      </c>
      <c r="H127">
        <v>399</v>
      </c>
      <c r="I127">
        <v>399</v>
      </c>
      <c r="J127">
        <v>399</v>
      </c>
      <c r="K127">
        <v>399</v>
      </c>
      <c r="L127">
        <v>399</v>
      </c>
      <c r="M127">
        <v>399</v>
      </c>
      <c r="N127">
        <v>0.09</v>
      </c>
      <c r="O127">
        <v>0.11</v>
      </c>
      <c r="P127">
        <v>0.08</v>
      </c>
      <c r="Q127">
        <v>0.1</v>
      </c>
      <c r="R127" t="s">
        <v>41</v>
      </c>
      <c r="S127">
        <v>0</v>
      </c>
      <c r="T127">
        <v>0</v>
      </c>
    </row>
    <row r="128" spans="1:20">
      <c r="A128" t="s">
        <v>52</v>
      </c>
      <c r="B128">
        <v>145803.07</v>
      </c>
      <c r="C128">
        <v>45.9</v>
      </c>
      <c r="D128">
        <v>1312.3630000000001</v>
      </c>
      <c r="E128">
        <v>7.53</v>
      </c>
      <c r="F128">
        <v>399</v>
      </c>
      <c r="G128">
        <v>399</v>
      </c>
      <c r="H128">
        <v>399</v>
      </c>
      <c r="I128">
        <v>399</v>
      </c>
      <c r="J128">
        <v>399</v>
      </c>
      <c r="K128">
        <v>399</v>
      </c>
      <c r="L128">
        <v>399</v>
      </c>
      <c r="M128">
        <v>399</v>
      </c>
      <c r="N128">
        <v>0.1</v>
      </c>
      <c r="O128">
        <v>0.11</v>
      </c>
      <c r="P128">
        <v>0.08</v>
      </c>
      <c r="Q128">
        <v>0.1</v>
      </c>
      <c r="R128" t="s">
        <v>41</v>
      </c>
      <c r="S128">
        <v>0</v>
      </c>
      <c r="T128">
        <v>0</v>
      </c>
    </row>
    <row r="129" spans="1:20">
      <c r="A129" t="s">
        <v>52</v>
      </c>
      <c r="B129">
        <v>145808.08100000001</v>
      </c>
      <c r="C129">
        <v>45.17</v>
      </c>
      <c r="D129">
        <v>1312.2909999999999</v>
      </c>
      <c r="E129">
        <v>7.69</v>
      </c>
      <c r="F129">
        <v>399</v>
      </c>
      <c r="G129">
        <v>399</v>
      </c>
      <c r="H129">
        <v>399</v>
      </c>
      <c r="I129">
        <v>399</v>
      </c>
      <c r="J129">
        <v>399</v>
      </c>
      <c r="K129">
        <v>399</v>
      </c>
      <c r="L129">
        <v>399</v>
      </c>
      <c r="M129">
        <v>399</v>
      </c>
      <c r="N129">
        <v>0.1</v>
      </c>
      <c r="O129">
        <v>0.11</v>
      </c>
      <c r="P129">
        <v>0.08</v>
      </c>
      <c r="Q129">
        <v>0.1</v>
      </c>
      <c r="R129" t="s">
        <v>41</v>
      </c>
      <c r="S129">
        <v>0</v>
      </c>
      <c r="T129">
        <v>0</v>
      </c>
    </row>
    <row r="130" spans="1:20">
      <c r="A130" t="s">
        <v>52</v>
      </c>
      <c r="B130">
        <v>145813.07399999999</v>
      </c>
      <c r="C130">
        <v>44.44</v>
      </c>
      <c r="D130">
        <v>1312.211</v>
      </c>
      <c r="E130">
        <v>8.0399999999999991</v>
      </c>
      <c r="F130">
        <v>399</v>
      </c>
      <c r="G130">
        <v>399</v>
      </c>
      <c r="H130">
        <v>399</v>
      </c>
      <c r="I130">
        <v>399</v>
      </c>
      <c r="J130">
        <v>399</v>
      </c>
      <c r="K130">
        <v>399</v>
      </c>
      <c r="L130">
        <v>399</v>
      </c>
      <c r="M130">
        <v>399</v>
      </c>
      <c r="N130">
        <v>0.11</v>
      </c>
      <c r="O130">
        <v>0.11</v>
      </c>
      <c r="P130">
        <v>0.08</v>
      </c>
      <c r="Q130">
        <v>0.1</v>
      </c>
      <c r="R130" t="s">
        <v>41</v>
      </c>
      <c r="S130">
        <v>0</v>
      </c>
      <c r="T130">
        <v>0</v>
      </c>
    </row>
    <row r="131" spans="1:20">
      <c r="A131" t="s">
        <v>52</v>
      </c>
      <c r="B131">
        <v>145818.076</v>
      </c>
      <c r="C131">
        <v>43.72</v>
      </c>
      <c r="D131">
        <v>1312.145</v>
      </c>
      <c r="E131">
        <v>8.2799999999999994</v>
      </c>
      <c r="F131">
        <v>399</v>
      </c>
      <c r="G131">
        <v>399</v>
      </c>
      <c r="H131">
        <v>399</v>
      </c>
      <c r="I131">
        <v>399</v>
      </c>
      <c r="J131">
        <v>399</v>
      </c>
      <c r="K131">
        <v>399</v>
      </c>
      <c r="L131">
        <v>399</v>
      </c>
      <c r="M131">
        <v>399</v>
      </c>
      <c r="N131">
        <v>0.09</v>
      </c>
      <c r="O131">
        <v>0.11</v>
      </c>
      <c r="P131">
        <v>0.08</v>
      </c>
      <c r="Q131">
        <v>0.1</v>
      </c>
      <c r="R131" t="s">
        <v>41</v>
      </c>
      <c r="S131">
        <v>0</v>
      </c>
      <c r="T131">
        <v>0</v>
      </c>
    </row>
    <row r="132" spans="1:20">
      <c r="A132" t="s">
        <v>52</v>
      </c>
      <c r="B132">
        <v>145823.079</v>
      </c>
      <c r="C132">
        <v>42.98</v>
      </c>
      <c r="D132">
        <v>1312.0719999999999</v>
      </c>
      <c r="E132">
        <v>8.4600000000000009</v>
      </c>
      <c r="F132">
        <v>399</v>
      </c>
      <c r="G132">
        <v>399</v>
      </c>
      <c r="H132">
        <v>399</v>
      </c>
      <c r="I132">
        <v>399</v>
      </c>
      <c r="J132">
        <v>399</v>
      </c>
      <c r="K132">
        <v>399</v>
      </c>
      <c r="L132">
        <v>399</v>
      </c>
      <c r="M132">
        <v>399</v>
      </c>
      <c r="N132">
        <v>0.1</v>
      </c>
      <c r="O132">
        <v>0.11</v>
      </c>
      <c r="P132">
        <v>0.08</v>
      </c>
      <c r="Q132">
        <v>0.1</v>
      </c>
      <c r="R132" t="s">
        <v>41</v>
      </c>
      <c r="S132">
        <v>0</v>
      </c>
      <c r="T132">
        <v>0</v>
      </c>
    </row>
    <row r="133" spans="1:20">
      <c r="A133" t="s">
        <v>52</v>
      </c>
      <c r="B133">
        <v>145828.07699999999</v>
      </c>
      <c r="C133">
        <v>42.25</v>
      </c>
      <c r="D133">
        <v>1311.992</v>
      </c>
      <c r="E133">
        <v>8.6999999999999993</v>
      </c>
      <c r="F133">
        <v>399</v>
      </c>
      <c r="G133">
        <v>399</v>
      </c>
      <c r="H133">
        <v>399</v>
      </c>
      <c r="I133">
        <v>399</v>
      </c>
      <c r="J133">
        <v>399</v>
      </c>
      <c r="K133">
        <v>399</v>
      </c>
      <c r="L133">
        <v>399</v>
      </c>
      <c r="M133">
        <v>399</v>
      </c>
      <c r="N133">
        <v>0.11</v>
      </c>
      <c r="O133">
        <v>0.11</v>
      </c>
      <c r="P133">
        <v>0.08</v>
      </c>
      <c r="Q133">
        <v>0.1</v>
      </c>
      <c r="R133" t="s">
        <v>41</v>
      </c>
      <c r="S133">
        <v>0</v>
      </c>
      <c r="T133">
        <v>0</v>
      </c>
    </row>
    <row r="134" spans="1:20">
      <c r="A134" t="s">
        <v>52</v>
      </c>
      <c r="B134">
        <v>145833.087</v>
      </c>
      <c r="C134">
        <v>41.5</v>
      </c>
      <c r="D134">
        <v>1311.9269999999999</v>
      </c>
      <c r="E134">
        <v>8.75</v>
      </c>
      <c r="F134">
        <v>399</v>
      </c>
      <c r="G134">
        <v>399</v>
      </c>
      <c r="H134">
        <v>399</v>
      </c>
      <c r="I134">
        <v>399</v>
      </c>
      <c r="J134">
        <v>399</v>
      </c>
      <c r="K134">
        <v>399</v>
      </c>
      <c r="L134">
        <v>399</v>
      </c>
      <c r="M134">
        <v>399</v>
      </c>
      <c r="N134">
        <v>0.09</v>
      </c>
      <c r="O134">
        <v>0.11</v>
      </c>
      <c r="P134">
        <v>0.08</v>
      </c>
      <c r="Q134">
        <v>0.1</v>
      </c>
      <c r="R134" t="s">
        <v>41</v>
      </c>
      <c r="S134">
        <v>0</v>
      </c>
      <c r="T134">
        <v>0</v>
      </c>
    </row>
    <row r="135" spans="1:20">
      <c r="A135" t="s">
        <v>52</v>
      </c>
      <c r="B135">
        <v>145838.08199999999</v>
      </c>
      <c r="C135">
        <v>40.74</v>
      </c>
      <c r="D135">
        <v>1311.854</v>
      </c>
      <c r="E135">
        <v>8.85</v>
      </c>
      <c r="F135">
        <v>399</v>
      </c>
      <c r="G135">
        <v>399</v>
      </c>
      <c r="H135">
        <v>399</v>
      </c>
      <c r="I135">
        <v>399</v>
      </c>
      <c r="J135">
        <v>399</v>
      </c>
      <c r="K135">
        <v>399</v>
      </c>
      <c r="L135">
        <v>399</v>
      </c>
      <c r="M135">
        <v>399</v>
      </c>
      <c r="N135">
        <v>0.1</v>
      </c>
      <c r="O135">
        <v>0.11</v>
      </c>
      <c r="P135">
        <v>0.08</v>
      </c>
      <c r="Q135">
        <v>0.1</v>
      </c>
      <c r="R135" t="s">
        <v>41</v>
      </c>
      <c r="S135">
        <v>0</v>
      </c>
      <c r="T135">
        <v>0</v>
      </c>
    </row>
    <row r="136" spans="1:20">
      <c r="A136" t="s">
        <v>52</v>
      </c>
      <c r="B136">
        <v>145843.08600000001</v>
      </c>
      <c r="C136">
        <v>40</v>
      </c>
      <c r="D136">
        <v>1311.7809999999999</v>
      </c>
      <c r="E136">
        <v>8.9700000000000006</v>
      </c>
      <c r="F136">
        <v>399</v>
      </c>
      <c r="G136">
        <v>399</v>
      </c>
      <c r="H136">
        <v>399</v>
      </c>
      <c r="I136">
        <v>399</v>
      </c>
      <c r="J136">
        <v>399</v>
      </c>
      <c r="K136">
        <v>399</v>
      </c>
      <c r="L136">
        <v>399</v>
      </c>
      <c r="M136">
        <v>399</v>
      </c>
      <c r="N136">
        <v>0.1</v>
      </c>
      <c r="O136">
        <v>0.11</v>
      </c>
      <c r="P136">
        <v>0.08</v>
      </c>
      <c r="Q136">
        <v>0.1</v>
      </c>
      <c r="R136" t="s">
        <v>41</v>
      </c>
      <c r="S136">
        <v>0</v>
      </c>
      <c r="T136">
        <v>0</v>
      </c>
    </row>
    <row r="137" spans="1:20">
      <c r="A137" t="s">
        <v>52</v>
      </c>
      <c r="B137">
        <v>145848.084</v>
      </c>
      <c r="C137">
        <v>39.24</v>
      </c>
      <c r="D137">
        <v>1311.71</v>
      </c>
      <c r="E137">
        <v>9.11</v>
      </c>
      <c r="F137">
        <v>399</v>
      </c>
      <c r="G137">
        <v>399</v>
      </c>
      <c r="H137">
        <v>399</v>
      </c>
      <c r="I137">
        <v>399</v>
      </c>
      <c r="J137">
        <v>399</v>
      </c>
      <c r="K137">
        <v>399</v>
      </c>
      <c r="L137">
        <v>399</v>
      </c>
      <c r="M137">
        <v>399</v>
      </c>
      <c r="N137">
        <v>0.09</v>
      </c>
      <c r="O137">
        <v>0.11</v>
      </c>
      <c r="P137">
        <v>0.08</v>
      </c>
      <c r="Q137">
        <v>0.1</v>
      </c>
      <c r="R137" t="s">
        <v>41</v>
      </c>
      <c r="S137">
        <v>0</v>
      </c>
      <c r="T137">
        <v>0</v>
      </c>
    </row>
    <row r="138" spans="1:20">
      <c r="A138" t="s">
        <v>52</v>
      </c>
      <c r="B138">
        <v>145853.08199999999</v>
      </c>
      <c r="C138">
        <v>38.51</v>
      </c>
      <c r="D138">
        <v>1311.636</v>
      </c>
      <c r="E138">
        <v>9.19</v>
      </c>
      <c r="F138">
        <v>399</v>
      </c>
      <c r="G138">
        <v>399</v>
      </c>
      <c r="H138">
        <v>399</v>
      </c>
      <c r="I138">
        <v>399</v>
      </c>
      <c r="J138">
        <v>399</v>
      </c>
      <c r="K138">
        <v>399</v>
      </c>
      <c r="L138">
        <v>399</v>
      </c>
      <c r="M138">
        <v>399</v>
      </c>
      <c r="N138">
        <v>0.1</v>
      </c>
      <c r="O138">
        <v>0.11</v>
      </c>
      <c r="P138">
        <v>0.08</v>
      </c>
      <c r="Q138">
        <v>0.1</v>
      </c>
      <c r="R138" t="s">
        <v>41</v>
      </c>
      <c r="S138">
        <v>0</v>
      </c>
      <c r="T138">
        <v>0</v>
      </c>
    </row>
    <row r="139" spans="1:20">
      <c r="A139" t="s">
        <v>52</v>
      </c>
      <c r="B139">
        <v>145858.087</v>
      </c>
      <c r="C139">
        <v>37.74</v>
      </c>
      <c r="D139">
        <v>1311.558</v>
      </c>
      <c r="E139">
        <v>9.27</v>
      </c>
      <c r="F139">
        <v>399</v>
      </c>
      <c r="G139">
        <v>399</v>
      </c>
      <c r="H139">
        <v>399</v>
      </c>
      <c r="I139">
        <v>399</v>
      </c>
      <c r="J139">
        <v>399</v>
      </c>
      <c r="K139">
        <v>399</v>
      </c>
      <c r="L139">
        <v>399</v>
      </c>
      <c r="M139">
        <v>399</v>
      </c>
      <c r="N139">
        <v>0.1</v>
      </c>
      <c r="O139">
        <v>0.11</v>
      </c>
      <c r="P139">
        <v>0.08</v>
      </c>
      <c r="Q139">
        <v>0.1</v>
      </c>
      <c r="R139" t="s">
        <v>41</v>
      </c>
      <c r="S139">
        <v>0</v>
      </c>
      <c r="T139">
        <v>0</v>
      </c>
    </row>
    <row r="140" spans="1:20">
      <c r="A140" t="s">
        <v>52</v>
      </c>
      <c r="B140">
        <v>145903.087</v>
      </c>
      <c r="C140">
        <v>37.01</v>
      </c>
      <c r="D140">
        <v>1311.4939999999999</v>
      </c>
      <c r="E140">
        <v>9.34</v>
      </c>
      <c r="F140">
        <v>399</v>
      </c>
      <c r="G140">
        <v>399</v>
      </c>
      <c r="H140">
        <v>399</v>
      </c>
      <c r="I140">
        <v>399</v>
      </c>
      <c r="J140">
        <v>399</v>
      </c>
      <c r="K140">
        <v>399</v>
      </c>
      <c r="L140">
        <v>399</v>
      </c>
      <c r="M140">
        <v>399</v>
      </c>
      <c r="N140">
        <v>0.09</v>
      </c>
      <c r="O140">
        <v>0.11</v>
      </c>
      <c r="P140">
        <v>0.08</v>
      </c>
      <c r="Q140">
        <v>0.1</v>
      </c>
      <c r="R140" t="s">
        <v>41</v>
      </c>
      <c r="S140">
        <v>0</v>
      </c>
      <c r="T140">
        <v>0</v>
      </c>
    </row>
    <row r="141" spans="1:20">
      <c r="A141" t="s">
        <v>52</v>
      </c>
      <c r="B141">
        <v>145908.084</v>
      </c>
      <c r="C141">
        <v>36.26</v>
      </c>
      <c r="D141">
        <v>1311.421</v>
      </c>
      <c r="E141">
        <v>9.43</v>
      </c>
      <c r="F141">
        <v>399</v>
      </c>
      <c r="G141">
        <v>399</v>
      </c>
      <c r="H141">
        <v>399</v>
      </c>
      <c r="I141">
        <v>399</v>
      </c>
      <c r="J141">
        <v>399</v>
      </c>
      <c r="K141">
        <v>399</v>
      </c>
      <c r="L141">
        <v>399</v>
      </c>
      <c r="M141">
        <v>399</v>
      </c>
      <c r="N141">
        <v>0.1</v>
      </c>
      <c r="O141">
        <v>0.11</v>
      </c>
      <c r="P141">
        <v>0.08</v>
      </c>
      <c r="Q141">
        <v>0.1</v>
      </c>
      <c r="R141" t="s">
        <v>41</v>
      </c>
      <c r="S141">
        <v>0</v>
      </c>
      <c r="T141">
        <v>0</v>
      </c>
    </row>
    <row r="142" spans="1:20">
      <c r="A142" t="s">
        <v>52</v>
      </c>
      <c r="B142">
        <v>145913.08799999999</v>
      </c>
      <c r="C142">
        <v>35.53</v>
      </c>
      <c r="D142">
        <v>1311.34</v>
      </c>
      <c r="E142">
        <v>9.5299999999999994</v>
      </c>
      <c r="F142">
        <v>399</v>
      </c>
      <c r="G142">
        <v>399</v>
      </c>
      <c r="H142">
        <v>399</v>
      </c>
      <c r="I142">
        <v>399</v>
      </c>
      <c r="J142">
        <v>399</v>
      </c>
      <c r="K142">
        <v>399</v>
      </c>
      <c r="L142">
        <v>399</v>
      </c>
      <c r="M142">
        <v>399</v>
      </c>
      <c r="N142">
        <v>0.11</v>
      </c>
      <c r="O142">
        <v>0.11</v>
      </c>
      <c r="P142">
        <v>0.08</v>
      </c>
      <c r="Q142">
        <v>0.1</v>
      </c>
      <c r="R142" t="s">
        <v>41</v>
      </c>
      <c r="S142">
        <v>0</v>
      </c>
      <c r="T142">
        <v>0</v>
      </c>
    </row>
    <row r="143" spans="1:20">
      <c r="A143" t="s">
        <v>52</v>
      </c>
      <c r="B143">
        <v>145918.09299999999</v>
      </c>
      <c r="C143">
        <v>34.78</v>
      </c>
      <c r="D143">
        <v>1311.2760000000001</v>
      </c>
      <c r="E143">
        <v>9.59</v>
      </c>
      <c r="F143">
        <v>399</v>
      </c>
      <c r="G143">
        <v>399</v>
      </c>
      <c r="H143">
        <v>399</v>
      </c>
      <c r="I143">
        <v>399</v>
      </c>
      <c r="J143">
        <v>399</v>
      </c>
      <c r="K143">
        <v>399</v>
      </c>
      <c r="L143">
        <v>399</v>
      </c>
      <c r="M143">
        <v>399</v>
      </c>
      <c r="N143">
        <v>0.09</v>
      </c>
      <c r="O143">
        <v>0.11</v>
      </c>
      <c r="P143">
        <v>0.08</v>
      </c>
      <c r="Q143">
        <v>0.1</v>
      </c>
      <c r="R143" t="s">
        <v>41</v>
      </c>
      <c r="S143">
        <v>0</v>
      </c>
      <c r="T143">
        <v>0</v>
      </c>
    </row>
    <row r="144" spans="1:20">
      <c r="A144" t="s">
        <v>52</v>
      </c>
      <c r="B144">
        <v>145923.095</v>
      </c>
      <c r="C144">
        <v>34</v>
      </c>
      <c r="D144">
        <v>1311.204</v>
      </c>
      <c r="E144">
        <v>9.6199999999999992</v>
      </c>
      <c r="F144">
        <v>399</v>
      </c>
      <c r="G144">
        <v>399</v>
      </c>
      <c r="H144">
        <v>399</v>
      </c>
      <c r="I144">
        <v>399</v>
      </c>
      <c r="J144">
        <v>399</v>
      </c>
      <c r="K144">
        <v>399</v>
      </c>
      <c r="L144">
        <v>399</v>
      </c>
      <c r="M144">
        <v>399</v>
      </c>
      <c r="N144">
        <v>0.09</v>
      </c>
      <c r="O144">
        <v>0.11</v>
      </c>
      <c r="P144">
        <v>0.08</v>
      </c>
      <c r="Q144">
        <v>0.1</v>
      </c>
      <c r="R144" t="s">
        <v>41</v>
      </c>
      <c r="S144">
        <v>0</v>
      </c>
      <c r="T144">
        <v>0</v>
      </c>
    </row>
    <row r="145" spans="1:20">
      <c r="A145" t="s">
        <v>52</v>
      </c>
      <c r="B145">
        <v>145928.09599999999</v>
      </c>
      <c r="C145">
        <v>33.26</v>
      </c>
      <c r="D145">
        <v>1311.133</v>
      </c>
      <c r="E145">
        <v>9.69</v>
      </c>
      <c r="F145">
        <v>399</v>
      </c>
      <c r="G145">
        <v>399</v>
      </c>
      <c r="H145">
        <v>399</v>
      </c>
      <c r="I145">
        <v>399</v>
      </c>
      <c r="J145">
        <v>399</v>
      </c>
      <c r="K145">
        <v>399</v>
      </c>
      <c r="L145">
        <v>399</v>
      </c>
      <c r="M145">
        <v>399</v>
      </c>
      <c r="N145">
        <v>0.1</v>
      </c>
      <c r="O145">
        <v>0.11</v>
      </c>
      <c r="P145">
        <v>0.08</v>
      </c>
      <c r="Q145">
        <v>0.1</v>
      </c>
      <c r="R145" t="s">
        <v>41</v>
      </c>
      <c r="S145">
        <v>0</v>
      </c>
      <c r="T145">
        <v>0</v>
      </c>
    </row>
    <row r="146" spans="1:20">
      <c r="A146" t="s">
        <v>52</v>
      </c>
      <c r="B146">
        <v>145933.095</v>
      </c>
      <c r="C146">
        <v>32.51</v>
      </c>
      <c r="D146">
        <v>1311.0609999999999</v>
      </c>
      <c r="E146">
        <v>9.74</v>
      </c>
      <c r="F146">
        <v>399</v>
      </c>
      <c r="G146">
        <v>399</v>
      </c>
      <c r="H146">
        <v>399</v>
      </c>
      <c r="I146">
        <v>399</v>
      </c>
      <c r="J146">
        <v>399</v>
      </c>
      <c r="K146">
        <v>399</v>
      </c>
      <c r="L146">
        <v>399</v>
      </c>
      <c r="M146">
        <v>399</v>
      </c>
      <c r="N146">
        <v>0.1</v>
      </c>
      <c r="O146">
        <v>0.11</v>
      </c>
      <c r="P146">
        <v>0.08</v>
      </c>
      <c r="Q146">
        <v>0.1</v>
      </c>
      <c r="R146" t="s">
        <v>41</v>
      </c>
      <c r="S146">
        <v>0</v>
      </c>
      <c r="T146">
        <v>0</v>
      </c>
    </row>
    <row r="147" spans="1:20">
      <c r="A147" t="s">
        <v>52</v>
      </c>
      <c r="B147">
        <v>145938.098</v>
      </c>
      <c r="C147">
        <v>31.78</v>
      </c>
      <c r="D147">
        <v>1310.99</v>
      </c>
      <c r="E147">
        <v>9.7799999999999994</v>
      </c>
      <c r="F147">
        <v>399</v>
      </c>
      <c r="G147">
        <v>399</v>
      </c>
      <c r="H147">
        <v>399</v>
      </c>
      <c r="I147">
        <v>399</v>
      </c>
      <c r="J147">
        <v>399</v>
      </c>
      <c r="K147">
        <v>399</v>
      </c>
      <c r="L147">
        <v>399</v>
      </c>
      <c r="M147">
        <v>399</v>
      </c>
      <c r="N147">
        <v>0.1</v>
      </c>
      <c r="O147">
        <v>0.11</v>
      </c>
      <c r="P147">
        <v>0.08</v>
      </c>
      <c r="Q147">
        <v>0.1</v>
      </c>
      <c r="R147" t="s">
        <v>41</v>
      </c>
      <c r="S147">
        <v>0</v>
      </c>
      <c r="T147">
        <v>0</v>
      </c>
    </row>
    <row r="148" spans="1:20">
      <c r="A148" t="s">
        <v>52</v>
      </c>
      <c r="B148">
        <v>145943.10200000001</v>
      </c>
      <c r="C148">
        <v>31.03</v>
      </c>
      <c r="D148">
        <v>1310.9179999999999</v>
      </c>
      <c r="E148">
        <v>9.86</v>
      </c>
      <c r="F148">
        <v>399</v>
      </c>
      <c r="G148">
        <v>399</v>
      </c>
      <c r="H148">
        <v>399</v>
      </c>
      <c r="I148">
        <v>399</v>
      </c>
      <c r="J148">
        <v>399</v>
      </c>
      <c r="K148">
        <v>399</v>
      </c>
      <c r="L148">
        <v>399</v>
      </c>
      <c r="M148">
        <v>399</v>
      </c>
      <c r="N148">
        <v>0.1</v>
      </c>
      <c r="O148">
        <v>0.11</v>
      </c>
      <c r="P148">
        <v>0.08</v>
      </c>
      <c r="Q148">
        <v>0.1</v>
      </c>
      <c r="R148" t="s">
        <v>41</v>
      </c>
      <c r="S148">
        <v>0</v>
      </c>
      <c r="T148">
        <v>0</v>
      </c>
    </row>
    <row r="149" spans="1:20">
      <c r="A149" t="s">
        <v>52</v>
      </c>
      <c r="B149">
        <v>145948.101</v>
      </c>
      <c r="C149">
        <v>30.3</v>
      </c>
      <c r="D149">
        <v>1310.847</v>
      </c>
      <c r="E149">
        <v>9.91</v>
      </c>
      <c r="F149">
        <v>399</v>
      </c>
      <c r="G149">
        <v>399</v>
      </c>
      <c r="H149">
        <v>399</v>
      </c>
      <c r="I149">
        <v>399</v>
      </c>
      <c r="J149">
        <v>399</v>
      </c>
      <c r="K149">
        <v>399</v>
      </c>
      <c r="L149">
        <v>399</v>
      </c>
      <c r="M149">
        <v>399</v>
      </c>
      <c r="N149">
        <v>0.1</v>
      </c>
      <c r="O149">
        <v>0.11</v>
      </c>
      <c r="P149">
        <v>0.08</v>
      </c>
      <c r="Q149">
        <v>0.1</v>
      </c>
      <c r="R149" t="s">
        <v>41</v>
      </c>
      <c r="S149">
        <v>0</v>
      </c>
      <c r="T149">
        <v>0</v>
      </c>
    </row>
    <row r="150" spans="1:20">
      <c r="A150" t="s">
        <v>52</v>
      </c>
      <c r="B150">
        <v>145953.09899999999</v>
      </c>
      <c r="C150">
        <v>29.54</v>
      </c>
      <c r="D150">
        <v>1310.7660000000001</v>
      </c>
      <c r="E150">
        <v>10.01</v>
      </c>
      <c r="F150">
        <v>399</v>
      </c>
      <c r="G150">
        <v>399</v>
      </c>
      <c r="H150">
        <v>399</v>
      </c>
      <c r="I150">
        <v>399</v>
      </c>
      <c r="J150">
        <v>399</v>
      </c>
      <c r="K150">
        <v>399</v>
      </c>
      <c r="L150">
        <v>399</v>
      </c>
      <c r="M150">
        <v>399</v>
      </c>
      <c r="N150">
        <v>0.11</v>
      </c>
      <c r="O150">
        <v>0.11</v>
      </c>
      <c r="P150">
        <v>0.08</v>
      </c>
      <c r="Q150">
        <v>0.1</v>
      </c>
      <c r="R150" t="s">
        <v>41</v>
      </c>
      <c r="S150">
        <v>0</v>
      </c>
      <c r="T150">
        <v>0</v>
      </c>
    </row>
    <row r="151" spans="1:20">
      <c r="A151" t="s">
        <v>52</v>
      </c>
      <c r="B151">
        <v>145958.10200000001</v>
      </c>
      <c r="C151">
        <v>28.81</v>
      </c>
      <c r="D151">
        <v>1310.701</v>
      </c>
      <c r="E151">
        <v>9.99</v>
      </c>
      <c r="F151">
        <v>399</v>
      </c>
      <c r="G151">
        <v>399</v>
      </c>
      <c r="H151">
        <v>399</v>
      </c>
      <c r="I151">
        <v>399</v>
      </c>
      <c r="J151">
        <v>399</v>
      </c>
      <c r="K151">
        <v>399</v>
      </c>
      <c r="L151">
        <v>399</v>
      </c>
      <c r="M151">
        <v>399</v>
      </c>
      <c r="N151">
        <v>0.09</v>
      </c>
      <c r="O151">
        <v>0.11</v>
      </c>
      <c r="P151">
        <v>0.08</v>
      </c>
      <c r="Q151">
        <v>0.1</v>
      </c>
      <c r="R151" t="s">
        <v>41</v>
      </c>
      <c r="S151">
        <v>0</v>
      </c>
      <c r="T151">
        <v>0</v>
      </c>
    </row>
    <row r="152" spans="1:20">
      <c r="A152" t="s">
        <v>52</v>
      </c>
      <c r="B152">
        <v>150003.10699999999</v>
      </c>
      <c r="C152">
        <v>28.06</v>
      </c>
      <c r="D152">
        <v>1310.6300000000001</v>
      </c>
      <c r="E152">
        <v>9.9499999999999993</v>
      </c>
      <c r="F152">
        <v>399</v>
      </c>
      <c r="G152">
        <v>399</v>
      </c>
      <c r="H152">
        <v>399</v>
      </c>
      <c r="I152">
        <v>399</v>
      </c>
      <c r="J152">
        <v>399</v>
      </c>
      <c r="K152">
        <v>399</v>
      </c>
      <c r="L152">
        <v>399</v>
      </c>
      <c r="M152">
        <v>399</v>
      </c>
      <c r="N152">
        <v>0.09</v>
      </c>
      <c r="O152">
        <v>0.11</v>
      </c>
      <c r="P152">
        <v>0.08</v>
      </c>
      <c r="Q152">
        <v>0.1</v>
      </c>
      <c r="R152" t="s">
        <v>41</v>
      </c>
      <c r="S152">
        <v>0</v>
      </c>
      <c r="T152">
        <v>0</v>
      </c>
    </row>
    <row r="153" spans="1:20">
      <c r="A153" t="s">
        <v>52</v>
      </c>
      <c r="B153">
        <v>150008.10500000001</v>
      </c>
      <c r="C153">
        <v>27.3</v>
      </c>
      <c r="D153">
        <v>1310.56</v>
      </c>
      <c r="E153">
        <v>9.99</v>
      </c>
      <c r="F153">
        <v>399</v>
      </c>
      <c r="G153">
        <v>399</v>
      </c>
      <c r="H153">
        <v>399</v>
      </c>
      <c r="I153">
        <v>399</v>
      </c>
      <c r="J153">
        <v>399</v>
      </c>
      <c r="K153">
        <v>399</v>
      </c>
      <c r="L153">
        <v>399</v>
      </c>
      <c r="M153">
        <v>399</v>
      </c>
      <c r="N153">
        <v>0.09</v>
      </c>
      <c r="O153">
        <v>0.11</v>
      </c>
      <c r="P153">
        <v>0.08</v>
      </c>
      <c r="Q153">
        <v>0.1</v>
      </c>
      <c r="R153" t="s">
        <v>41</v>
      </c>
      <c r="S153">
        <v>0</v>
      </c>
      <c r="T153">
        <v>0</v>
      </c>
    </row>
    <row r="154" spans="1:20">
      <c r="A154" t="s">
        <v>52</v>
      </c>
      <c r="B154">
        <v>150013.10699999999</v>
      </c>
      <c r="C154">
        <v>26.57</v>
      </c>
      <c r="D154">
        <v>1310.482</v>
      </c>
      <c r="E154">
        <v>10.02</v>
      </c>
      <c r="F154">
        <v>399</v>
      </c>
      <c r="G154">
        <v>399</v>
      </c>
      <c r="H154">
        <v>399</v>
      </c>
      <c r="I154">
        <v>399</v>
      </c>
      <c r="J154">
        <v>399</v>
      </c>
      <c r="K154">
        <v>399</v>
      </c>
      <c r="L154">
        <v>399</v>
      </c>
      <c r="M154">
        <v>399</v>
      </c>
      <c r="N154">
        <v>0.11</v>
      </c>
      <c r="O154">
        <v>0.11</v>
      </c>
      <c r="P154">
        <v>0.08</v>
      </c>
      <c r="Q154">
        <v>0.1</v>
      </c>
      <c r="R154" t="s">
        <v>41</v>
      </c>
      <c r="S154">
        <v>0</v>
      </c>
      <c r="T154">
        <v>0</v>
      </c>
    </row>
    <row r="155" spans="1:20">
      <c r="A155" t="s">
        <v>52</v>
      </c>
      <c r="B155">
        <v>150018.103</v>
      </c>
      <c r="C155">
        <v>25.81</v>
      </c>
      <c r="D155">
        <v>1310.4179999999999</v>
      </c>
      <c r="E155">
        <v>9.82</v>
      </c>
      <c r="F155">
        <v>399</v>
      </c>
      <c r="G155">
        <v>399</v>
      </c>
      <c r="H155">
        <v>399</v>
      </c>
      <c r="I155">
        <v>399</v>
      </c>
      <c r="J155">
        <v>399</v>
      </c>
      <c r="K155">
        <v>399</v>
      </c>
      <c r="L155">
        <v>399</v>
      </c>
      <c r="M155">
        <v>399</v>
      </c>
      <c r="N155">
        <v>0.08</v>
      </c>
      <c r="O155">
        <v>0.11</v>
      </c>
      <c r="P155">
        <v>0.08</v>
      </c>
      <c r="Q155">
        <v>0.1</v>
      </c>
      <c r="R155" t="s">
        <v>41</v>
      </c>
      <c r="S155">
        <v>0</v>
      </c>
      <c r="T155">
        <v>0</v>
      </c>
    </row>
    <row r="156" spans="1:20">
      <c r="A156" t="s">
        <v>52</v>
      </c>
      <c r="B156">
        <v>150023.106</v>
      </c>
      <c r="C156">
        <v>25.09</v>
      </c>
      <c r="D156">
        <v>1310.346</v>
      </c>
      <c r="E156">
        <v>9.73</v>
      </c>
      <c r="F156">
        <v>399</v>
      </c>
      <c r="G156">
        <v>399</v>
      </c>
      <c r="H156">
        <v>399</v>
      </c>
      <c r="I156">
        <v>399</v>
      </c>
      <c r="J156">
        <v>399</v>
      </c>
      <c r="K156">
        <v>399</v>
      </c>
      <c r="L156">
        <v>399</v>
      </c>
      <c r="M156">
        <v>399</v>
      </c>
      <c r="N156">
        <v>0.1</v>
      </c>
      <c r="O156">
        <v>0.11</v>
      </c>
      <c r="P156">
        <v>0.08</v>
      </c>
      <c r="Q156">
        <v>0.1</v>
      </c>
      <c r="R156" t="s">
        <v>41</v>
      </c>
      <c r="S156">
        <v>0</v>
      </c>
      <c r="T156">
        <v>0</v>
      </c>
    </row>
    <row r="157" spans="1:20">
      <c r="A157" t="s">
        <v>52</v>
      </c>
      <c r="B157">
        <v>150028.101</v>
      </c>
      <c r="C157">
        <v>24.32</v>
      </c>
      <c r="D157">
        <v>1310.2750000000001</v>
      </c>
      <c r="E157">
        <v>9.75</v>
      </c>
      <c r="F157">
        <v>399</v>
      </c>
      <c r="G157">
        <v>399</v>
      </c>
      <c r="H157">
        <v>399</v>
      </c>
      <c r="I157">
        <v>399</v>
      </c>
      <c r="J157">
        <v>399</v>
      </c>
      <c r="K157">
        <v>399</v>
      </c>
      <c r="L157">
        <v>399</v>
      </c>
      <c r="M157">
        <v>399</v>
      </c>
      <c r="N157">
        <v>0.09</v>
      </c>
      <c r="O157">
        <v>0.11</v>
      </c>
      <c r="P157">
        <v>0.08</v>
      </c>
      <c r="Q157">
        <v>0.1</v>
      </c>
      <c r="R157" t="s">
        <v>41</v>
      </c>
      <c r="S157">
        <v>0</v>
      </c>
      <c r="T157">
        <v>0</v>
      </c>
    </row>
    <row r="158" spans="1:20">
      <c r="A158" t="s">
        <v>52</v>
      </c>
      <c r="B158">
        <v>150033.10999999999</v>
      </c>
      <c r="C158">
        <v>23.61</v>
      </c>
      <c r="D158">
        <v>1310.203</v>
      </c>
      <c r="E158">
        <v>9.74</v>
      </c>
      <c r="F158">
        <v>399</v>
      </c>
      <c r="G158">
        <v>399</v>
      </c>
      <c r="H158">
        <v>399</v>
      </c>
      <c r="I158">
        <v>399</v>
      </c>
      <c r="J158">
        <v>399</v>
      </c>
      <c r="K158">
        <v>399</v>
      </c>
      <c r="L158">
        <v>399</v>
      </c>
      <c r="M158">
        <v>399</v>
      </c>
      <c r="N158">
        <v>0.1</v>
      </c>
      <c r="O158">
        <v>0.11</v>
      </c>
      <c r="P158">
        <v>0.08</v>
      </c>
      <c r="Q158">
        <v>0.1</v>
      </c>
      <c r="R158" t="s">
        <v>41</v>
      </c>
      <c r="S158">
        <v>0</v>
      </c>
      <c r="T158">
        <v>0</v>
      </c>
    </row>
    <row r="159" spans="1:20">
      <c r="A159" t="s">
        <v>52</v>
      </c>
      <c r="B159">
        <v>150038.10200000001</v>
      </c>
      <c r="C159">
        <v>22.89</v>
      </c>
      <c r="D159">
        <v>1310.126</v>
      </c>
      <c r="E159">
        <v>9.7100000000000009</v>
      </c>
      <c r="F159">
        <v>399</v>
      </c>
      <c r="G159">
        <v>399</v>
      </c>
      <c r="H159">
        <v>399</v>
      </c>
      <c r="I159">
        <v>399</v>
      </c>
      <c r="J159">
        <v>399</v>
      </c>
      <c r="K159">
        <v>399</v>
      </c>
      <c r="L159">
        <v>399</v>
      </c>
      <c r="M159">
        <v>399</v>
      </c>
      <c r="N159">
        <v>0.11</v>
      </c>
      <c r="O159">
        <v>0.11</v>
      </c>
      <c r="P159">
        <v>0.08</v>
      </c>
      <c r="Q159">
        <v>0.1</v>
      </c>
      <c r="R159" t="s">
        <v>41</v>
      </c>
      <c r="S159">
        <v>0</v>
      </c>
      <c r="T159">
        <v>0</v>
      </c>
    </row>
    <row r="160" spans="1:20">
      <c r="A160" t="s">
        <v>52</v>
      </c>
      <c r="B160">
        <v>150043.10200000001</v>
      </c>
      <c r="C160">
        <v>22.15</v>
      </c>
      <c r="D160">
        <v>1310.0619999999999</v>
      </c>
      <c r="E160">
        <v>9.7799999999999994</v>
      </c>
      <c r="F160">
        <v>399</v>
      </c>
      <c r="G160">
        <v>399</v>
      </c>
      <c r="H160">
        <v>399</v>
      </c>
      <c r="I160">
        <v>399</v>
      </c>
      <c r="J160">
        <v>399</v>
      </c>
      <c r="K160">
        <v>399</v>
      </c>
      <c r="L160">
        <v>399</v>
      </c>
      <c r="M160">
        <v>399</v>
      </c>
      <c r="N160">
        <v>0.09</v>
      </c>
      <c r="O160">
        <v>0.11</v>
      </c>
      <c r="P160">
        <v>0.08</v>
      </c>
      <c r="Q160">
        <v>0.1</v>
      </c>
      <c r="R160" t="s">
        <v>41</v>
      </c>
      <c r="S160">
        <v>0</v>
      </c>
      <c r="T160">
        <v>0</v>
      </c>
    </row>
    <row r="161" spans="1:20">
      <c r="A161" t="s">
        <v>52</v>
      </c>
      <c r="B161">
        <v>150048.11799999999</v>
      </c>
      <c r="C161">
        <v>21.39</v>
      </c>
      <c r="D161">
        <v>1309.992</v>
      </c>
      <c r="E161">
        <v>9.8000000000000007</v>
      </c>
      <c r="F161">
        <v>399</v>
      </c>
      <c r="G161">
        <v>399</v>
      </c>
      <c r="H161">
        <v>399</v>
      </c>
      <c r="I161">
        <v>399</v>
      </c>
      <c r="J161">
        <v>399</v>
      </c>
      <c r="K161">
        <v>399</v>
      </c>
      <c r="L161">
        <v>399</v>
      </c>
      <c r="M161">
        <v>399</v>
      </c>
      <c r="N161">
        <v>0.09</v>
      </c>
      <c r="O161">
        <v>0.11</v>
      </c>
      <c r="P161">
        <v>0.08</v>
      </c>
      <c r="Q161">
        <v>0.1</v>
      </c>
      <c r="R161" t="s">
        <v>41</v>
      </c>
      <c r="S161">
        <v>0</v>
      </c>
      <c r="T161">
        <v>0</v>
      </c>
    </row>
    <row r="162" spans="1:20">
      <c r="A162" t="s">
        <v>52</v>
      </c>
      <c r="B162">
        <v>150053.10200000001</v>
      </c>
      <c r="C162">
        <v>20.63</v>
      </c>
      <c r="D162">
        <v>1309.921</v>
      </c>
      <c r="E162">
        <v>9.8699999999999992</v>
      </c>
      <c r="F162">
        <v>399</v>
      </c>
      <c r="G162">
        <v>399</v>
      </c>
      <c r="H162">
        <v>399</v>
      </c>
      <c r="I162">
        <v>399</v>
      </c>
      <c r="J162">
        <v>399</v>
      </c>
      <c r="K162">
        <v>399</v>
      </c>
      <c r="L162">
        <v>399</v>
      </c>
      <c r="M162">
        <v>399</v>
      </c>
      <c r="N162">
        <v>0.09</v>
      </c>
      <c r="O162">
        <v>0.11</v>
      </c>
      <c r="P162">
        <v>0.08</v>
      </c>
      <c r="Q162">
        <v>0.1</v>
      </c>
      <c r="R162" t="s">
        <v>41</v>
      </c>
      <c r="S162">
        <v>0</v>
      </c>
      <c r="T162">
        <v>0</v>
      </c>
    </row>
    <row r="163" spans="1:20">
      <c r="A163" t="s">
        <v>52</v>
      </c>
      <c r="B163">
        <v>150058.10699999999</v>
      </c>
      <c r="C163">
        <v>19.899999999999999</v>
      </c>
      <c r="D163">
        <v>1309.8489999999999</v>
      </c>
      <c r="E163">
        <v>9.82</v>
      </c>
      <c r="F163">
        <v>399</v>
      </c>
      <c r="G163">
        <v>399</v>
      </c>
      <c r="H163">
        <v>399</v>
      </c>
      <c r="I163">
        <v>399</v>
      </c>
      <c r="J163">
        <v>399</v>
      </c>
      <c r="K163">
        <v>399</v>
      </c>
      <c r="L163">
        <v>399</v>
      </c>
      <c r="M163">
        <v>399</v>
      </c>
      <c r="N163">
        <v>0.1</v>
      </c>
      <c r="O163">
        <v>0.11</v>
      </c>
      <c r="P163">
        <v>0.08</v>
      </c>
      <c r="Q163">
        <v>0.1</v>
      </c>
      <c r="R163" t="s">
        <v>41</v>
      </c>
      <c r="S163">
        <v>0</v>
      </c>
      <c r="T163">
        <v>0</v>
      </c>
    </row>
    <row r="164" spans="1:20">
      <c r="A164" t="s">
        <v>52</v>
      </c>
      <c r="B164">
        <v>150103.106</v>
      </c>
      <c r="C164">
        <v>19.149999999999999</v>
      </c>
      <c r="D164">
        <v>1309.778</v>
      </c>
      <c r="E164">
        <v>9.82</v>
      </c>
      <c r="F164">
        <v>399</v>
      </c>
      <c r="G164">
        <v>399</v>
      </c>
      <c r="H164">
        <v>399</v>
      </c>
      <c r="I164">
        <v>399</v>
      </c>
      <c r="J164">
        <v>399</v>
      </c>
      <c r="K164">
        <v>399</v>
      </c>
      <c r="L164">
        <v>399</v>
      </c>
      <c r="M164">
        <v>399</v>
      </c>
      <c r="N164">
        <v>0.09</v>
      </c>
      <c r="O164">
        <v>0.11</v>
      </c>
      <c r="P164">
        <v>0.08</v>
      </c>
      <c r="Q164">
        <v>0.1</v>
      </c>
      <c r="R164" t="s">
        <v>41</v>
      </c>
      <c r="S164">
        <v>0</v>
      </c>
      <c r="T164">
        <v>0</v>
      </c>
    </row>
    <row r="165" spans="1:20">
      <c r="A165" t="s">
        <v>52</v>
      </c>
      <c r="B165">
        <v>150108.10699999999</v>
      </c>
      <c r="C165">
        <v>18.420000000000002</v>
      </c>
      <c r="D165">
        <v>1309.7070000000001</v>
      </c>
      <c r="E165">
        <v>9.86</v>
      </c>
      <c r="F165">
        <v>399</v>
      </c>
      <c r="G165">
        <v>399</v>
      </c>
      <c r="H165">
        <v>399</v>
      </c>
      <c r="I165">
        <v>399</v>
      </c>
      <c r="J165">
        <v>399</v>
      </c>
      <c r="K165">
        <v>399</v>
      </c>
      <c r="L165">
        <v>399</v>
      </c>
      <c r="M165">
        <v>399</v>
      </c>
      <c r="N165">
        <v>0.1</v>
      </c>
      <c r="O165">
        <v>0.11</v>
      </c>
      <c r="P165">
        <v>0.08</v>
      </c>
      <c r="Q165">
        <v>0.1</v>
      </c>
      <c r="R165" t="s">
        <v>41</v>
      </c>
      <c r="S165">
        <v>0</v>
      </c>
      <c r="T165">
        <v>0</v>
      </c>
    </row>
    <row r="166" spans="1:20">
      <c r="A166" t="s">
        <v>52</v>
      </c>
      <c r="B166">
        <v>150113.11199999999</v>
      </c>
      <c r="C166">
        <v>17.66</v>
      </c>
      <c r="D166">
        <v>1309.6289999999999</v>
      </c>
      <c r="E166">
        <v>9.93</v>
      </c>
      <c r="F166">
        <v>399</v>
      </c>
      <c r="G166">
        <v>399</v>
      </c>
      <c r="H166">
        <v>399</v>
      </c>
      <c r="I166">
        <v>399</v>
      </c>
      <c r="J166">
        <v>399</v>
      </c>
      <c r="K166">
        <v>399</v>
      </c>
      <c r="L166">
        <v>399</v>
      </c>
      <c r="M166">
        <v>399</v>
      </c>
      <c r="N166">
        <v>0.1</v>
      </c>
      <c r="O166">
        <v>0.11</v>
      </c>
      <c r="P166">
        <v>0.08</v>
      </c>
      <c r="Q166">
        <v>0.1</v>
      </c>
      <c r="R166" t="s">
        <v>41</v>
      </c>
      <c r="S166">
        <v>0</v>
      </c>
      <c r="T166">
        <v>0</v>
      </c>
    </row>
    <row r="167" spans="1:20">
      <c r="A167" t="s">
        <v>52</v>
      </c>
      <c r="B167">
        <v>150118.117</v>
      </c>
      <c r="C167">
        <v>16.920000000000002</v>
      </c>
      <c r="D167">
        <v>1309.5630000000001</v>
      </c>
      <c r="E167">
        <v>9.8699999999999992</v>
      </c>
      <c r="F167">
        <v>399</v>
      </c>
      <c r="G167">
        <v>399</v>
      </c>
      <c r="H167">
        <v>399</v>
      </c>
      <c r="I167">
        <v>399</v>
      </c>
      <c r="J167">
        <v>399</v>
      </c>
      <c r="K167">
        <v>399</v>
      </c>
      <c r="L167">
        <v>399</v>
      </c>
      <c r="M167">
        <v>399</v>
      </c>
      <c r="N167">
        <v>0.09</v>
      </c>
      <c r="O167">
        <v>0.11</v>
      </c>
      <c r="P167">
        <v>0.08</v>
      </c>
      <c r="Q167">
        <v>0.1</v>
      </c>
      <c r="R167" t="s">
        <v>41</v>
      </c>
      <c r="S167">
        <v>0</v>
      </c>
      <c r="T167">
        <v>0</v>
      </c>
    </row>
    <row r="168" spans="1:20">
      <c r="A168" t="s">
        <v>52</v>
      </c>
      <c r="B168">
        <v>150123.11499999999</v>
      </c>
      <c r="C168">
        <v>16.149999999999999</v>
      </c>
      <c r="D168">
        <v>1309.492</v>
      </c>
      <c r="E168">
        <v>9.89</v>
      </c>
      <c r="F168">
        <v>399</v>
      </c>
      <c r="G168">
        <v>399</v>
      </c>
      <c r="H168">
        <v>399</v>
      </c>
      <c r="I168">
        <v>399</v>
      </c>
      <c r="J168">
        <v>399</v>
      </c>
      <c r="K168">
        <v>399</v>
      </c>
      <c r="L168">
        <v>399</v>
      </c>
      <c r="M168">
        <v>399</v>
      </c>
      <c r="N168">
        <v>0.09</v>
      </c>
      <c r="O168">
        <v>0.11</v>
      </c>
      <c r="P168">
        <v>0.08</v>
      </c>
      <c r="Q168">
        <v>0.1</v>
      </c>
      <c r="R168" t="s">
        <v>41</v>
      </c>
      <c r="S168">
        <v>0</v>
      </c>
      <c r="T168">
        <v>0</v>
      </c>
    </row>
    <row r="169" spans="1:20">
      <c r="A169" t="s">
        <v>52</v>
      </c>
      <c r="B169">
        <v>150128.117</v>
      </c>
      <c r="C169">
        <v>15.42</v>
      </c>
      <c r="D169">
        <v>1309.421</v>
      </c>
      <c r="E169">
        <v>9.84</v>
      </c>
      <c r="F169">
        <v>399</v>
      </c>
      <c r="G169">
        <v>399</v>
      </c>
      <c r="H169">
        <v>399</v>
      </c>
      <c r="I169">
        <v>399</v>
      </c>
      <c r="J169">
        <v>399</v>
      </c>
      <c r="K169">
        <v>399</v>
      </c>
      <c r="L169">
        <v>399</v>
      </c>
      <c r="M169">
        <v>399</v>
      </c>
      <c r="N169">
        <v>0.1</v>
      </c>
      <c r="O169">
        <v>0.11</v>
      </c>
      <c r="P169">
        <v>0.08</v>
      </c>
      <c r="Q169">
        <v>0.1</v>
      </c>
      <c r="R169" t="s">
        <v>41</v>
      </c>
      <c r="S169">
        <v>0</v>
      </c>
      <c r="T169">
        <v>0</v>
      </c>
    </row>
    <row r="170" spans="1:20">
      <c r="A170" t="s">
        <v>52</v>
      </c>
      <c r="B170">
        <v>150133.12100000001</v>
      </c>
      <c r="C170">
        <v>14.67</v>
      </c>
      <c r="D170">
        <v>1309.3430000000001</v>
      </c>
      <c r="E170">
        <v>9.93</v>
      </c>
      <c r="F170">
        <v>399</v>
      </c>
      <c r="G170">
        <v>399</v>
      </c>
      <c r="H170">
        <v>399</v>
      </c>
      <c r="I170">
        <v>399</v>
      </c>
      <c r="J170">
        <v>399</v>
      </c>
      <c r="K170">
        <v>399</v>
      </c>
      <c r="L170">
        <v>399</v>
      </c>
      <c r="M170">
        <v>399</v>
      </c>
      <c r="N170">
        <v>0.1</v>
      </c>
      <c r="O170">
        <v>0.11</v>
      </c>
      <c r="P170">
        <v>0.08</v>
      </c>
      <c r="Q170">
        <v>0.1</v>
      </c>
      <c r="R170" t="s">
        <v>41</v>
      </c>
      <c r="S170">
        <v>0</v>
      </c>
      <c r="T170">
        <v>0</v>
      </c>
    </row>
    <row r="171" spans="1:20">
      <c r="A171" t="s">
        <v>52</v>
      </c>
      <c r="B171">
        <v>150138.11799999999</v>
      </c>
      <c r="C171">
        <v>13.9</v>
      </c>
      <c r="D171">
        <v>1309.271</v>
      </c>
      <c r="E171">
        <v>9.94</v>
      </c>
      <c r="F171">
        <v>399</v>
      </c>
      <c r="G171">
        <v>399</v>
      </c>
      <c r="H171">
        <v>399</v>
      </c>
      <c r="I171">
        <v>399</v>
      </c>
      <c r="J171">
        <v>399</v>
      </c>
      <c r="K171">
        <v>399</v>
      </c>
      <c r="L171">
        <v>399</v>
      </c>
      <c r="M171">
        <v>399</v>
      </c>
      <c r="N171">
        <v>0.09</v>
      </c>
      <c r="O171">
        <v>0.11</v>
      </c>
      <c r="P171">
        <v>0.08</v>
      </c>
      <c r="Q171">
        <v>0.1</v>
      </c>
      <c r="R171" t="s">
        <v>41</v>
      </c>
      <c r="S171">
        <v>0</v>
      </c>
      <c r="T171">
        <v>0</v>
      </c>
    </row>
    <row r="172" spans="1:20">
      <c r="A172" t="s">
        <v>52</v>
      </c>
      <c r="B172">
        <v>150143.12</v>
      </c>
      <c r="C172">
        <v>13.17</v>
      </c>
      <c r="D172">
        <v>1309.1990000000001</v>
      </c>
      <c r="E172">
        <v>9.9499999999999993</v>
      </c>
      <c r="F172">
        <v>399</v>
      </c>
      <c r="G172">
        <v>399</v>
      </c>
      <c r="H172">
        <v>399</v>
      </c>
      <c r="I172">
        <v>399</v>
      </c>
      <c r="J172">
        <v>399</v>
      </c>
      <c r="K172">
        <v>399</v>
      </c>
      <c r="L172">
        <v>399</v>
      </c>
      <c r="M172">
        <v>399</v>
      </c>
      <c r="N172">
        <v>0.1</v>
      </c>
      <c r="O172">
        <v>0.11</v>
      </c>
      <c r="P172">
        <v>0.08</v>
      </c>
      <c r="Q172">
        <v>0.1</v>
      </c>
      <c r="R172" t="s">
        <v>41</v>
      </c>
      <c r="S172">
        <v>0</v>
      </c>
      <c r="T172">
        <v>0</v>
      </c>
    </row>
    <row r="173" spans="1:20">
      <c r="A173" t="s">
        <v>52</v>
      </c>
      <c r="B173">
        <v>150148.125</v>
      </c>
      <c r="C173">
        <v>12.41</v>
      </c>
      <c r="D173">
        <v>1309.135</v>
      </c>
      <c r="E173">
        <v>9.86</v>
      </c>
      <c r="F173">
        <v>399</v>
      </c>
      <c r="G173">
        <v>399</v>
      </c>
      <c r="H173">
        <v>399</v>
      </c>
      <c r="I173">
        <v>399</v>
      </c>
      <c r="J173">
        <v>399</v>
      </c>
      <c r="K173">
        <v>399</v>
      </c>
      <c r="L173">
        <v>399</v>
      </c>
      <c r="M173">
        <v>399</v>
      </c>
      <c r="N173">
        <v>0.08</v>
      </c>
      <c r="O173">
        <v>0.11</v>
      </c>
      <c r="P173">
        <v>0.08</v>
      </c>
      <c r="Q173">
        <v>0.1</v>
      </c>
      <c r="R173" t="s">
        <v>41</v>
      </c>
      <c r="S173">
        <v>0</v>
      </c>
      <c r="T173">
        <v>0</v>
      </c>
    </row>
    <row r="174" spans="1:20">
      <c r="A174" t="s">
        <v>52</v>
      </c>
      <c r="B174">
        <v>150153.122</v>
      </c>
      <c r="C174">
        <v>11.69</v>
      </c>
      <c r="D174">
        <v>1309.0650000000001</v>
      </c>
      <c r="E174">
        <v>9.8800000000000008</v>
      </c>
      <c r="F174">
        <v>399</v>
      </c>
      <c r="G174">
        <v>399</v>
      </c>
      <c r="H174">
        <v>399</v>
      </c>
      <c r="I174">
        <v>399</v>
      </c>
      <c r="J174">
        <v>399</v>
      </c>
      <c r="K174">
        <v>399</v>
      </c>
      <c r="L174">
        <v>399</v>
      </c>
      <c r="M174">
        <v>399</v>
      </c>
      <c r="N174">
        <v>0.1</v>
      </c>
      <c r="O174">
        <v>0.11</v>
      </c>
      <c r="P174">
        <v>0.08</v>
      </c>
      <c r="Q174">
        <v>0.1</v>
      </c>
      <c r="R174" t="s">
        <v>41</v>
      </c>
      <c r="S174">
        <v>0</v>
      </c>
      <c r="T174">
        <v>0</v>
      </c>
    </row>
    <row r="175" spans="1:20">
      <c r="A175" t="s">
        <v>52</v>
      </c>
      <c r="B175">
        <v>150158.12</v>
      </c>
      <c r="C175">
        <v>10.94</v>
      </c>
      <c r="D175">
        <v>1308.9949999999999</v>
      </c>
      <c r="E175">
        <v>9.83</v>
      </c>
      <c r="F175">
        <v>399</v>
      </c>
      <c r="G175">
        <v>399</v>
      </c>
      <c r="H175">
        <v>399</v>
      </c>
      <c r="I175">
        <v>399</v>
      </c>
      <c r="J175">
        <v>399</v>
      </c>
      <c r="K175">
        <v>399</v>
      </c>
      <c r="L175">
        <v>399</v>
      </c>
      <c r="M175">
        <v>399</v>
      </c>
      <c r="N175">
        <v>0.09</v>
      </c>
      <c r="O175">
        <v>0.11</v>
      </c>
      <c r="P175">
        <v>0.08</v>
      </c>
      <c r="Q175">
        <v>0.1</v>
      </c>
      <c r="R175" t="s">
        <v>41</v>
      </c>
      <c r="S175">
        <v>0</v>
      </c>
      <c r="T175">
        <v>0</v>
      </c>
    </row>
    <row r="176" spans="1:20">
      <c r="A176" t="s">
        <v>52</v>
      </c>
      <c r="B176">
        <v>150203.122</v>
      </c>
      <c r="C176">
        <v>10.210000000000001</v>
      </c>
      <c r="D176">
        <v>1308.924</v>
      </c>
      <c r="E176">
        <v>9.86</v>
      </c>
      <c r="F176">
        <v>399</v>
      </c>
      <c r="G176">
        <v>399</v>
      </c>
      <c r="H176">
        <v>399</v>
      </c>
      <c r="I176">
        <v>399</v>
      </c>
      <c r="J176">
        <v>399</v>
      </c>
      <c r="K176">
        <v>399</v>
      </c>
      <c r="L176">
        <v>399</v>
      </c>
      <c r="M176">
        <v>399</v>
      </c>
      <c r="N176">
        <v>0.1</v>
      </c>
      <c r="O176">
        <v>0.11</v>
      </c>
      <c r="P176">
        <v>0.08</v>
      </c>
      <c r="Q176">
        <v>0.1</v>
      </c>
      <c r="R176" t="s">
        <v>41</v>
      </c>
      <c r="S176">
        <v>0</v>
      </c>
      <c r="T176">
        <v>0</v>
      </c>
    </row>
    <row r="177" spans="1:20">
      <c r="A177" t="s">
        <v>52</v>
      </c>
      <c r="B177">
        <v>150208.12400000001</v>
      </c>
      <c r="C177">
        <v>9.4499999999999993</v>
      </c>
      <c r="D177">
        <v>1308.854</v>
      </c>
      <c r="E177">
        <v>9.7899999999999991</v>
      </c>
      <c r="F177">
        <v>399</v>
      </c>
      <c r="G177">
        <v>399</v>
      </c>
      <c r="H177">
        <v>399</v>
      </c>
      <c r="I177">
        <v>399</v>
      </c>
      <c r="J177">
        <v>399</v>
      </c>
      <c r="K177">
        <v>399</v>
      </c>
      <c r="L177">
        <v>399</v>
      </c>
      <c r="M177">
        <v>399</v>
      </c>
      <c r="N177">
        <v>0.09</v>
      </c>
      <c r="O177">
        <v>0.11</v>
      </c>
      <c r="P177">
        <v>0.08</v>
      </c>
      <c r="Q177">
        <v>0.1</v>
      </c>
      <c r="R177" t="s">
        <v>41</v>
      </c>
      <c r="S177">
        <v>0</v>
      </c>
      <c r="T177">
        <v>0</v>
      </c>
    </row>
    <row r="178" spans="1:20">
      <c r="A178" t="s">
        <v>52</v>
      </c>
      <c r="B178">
        <v>150213.14199999999</v>
      </c>
      <c r="C178">
        <v>8.7200000000000006</v>
      </c>
      <c r="D178">
        <v>1308.7829999999999</v>
      </c>
      <c r="E178">
        <v>9.82</v>
      </c>
      <c r="F178">
        <v>399</v>
      </c>
      <c r="G178">
        <v>399</v>
      </c>
      <c r="H178">
        <v>399</v>
      </c>
      <c r="I178">
        <v>399</v>
      </c>
      <c r="J178">
        <v>399</v>
      </c>
      <c r="K178">
        <v>399</v>
      </c>
      <c r="L178">
        <v>399</v>
      </c>
      <c r="M178">
        <v>399</v>
      </c>
      <c r="N178">
        <v>0.1</v>
      </c>
      <c r="O178">
        <v>0.11</v>
      </c>
      <c r="P178">
        <v>0.08</v>
      </c>
      <c r="Q178">
        <v>0.1</v>
      </c>
      <c r="R178" t="s">
        <v>41</v>
      </c>
      <c r="S178">
        <v>0</v>
      </c>
      <c r="T178">
        <v>0</v>
      </c>
    </row>
    <row r="179" spans="1:20">
      <c r="A179" t="s">
        <v>52</v>
      </c>
      <c r="B179">
        <v>150218.12599999999</v>
      </c>
      <c r="C179">
        <v>7.97</v>
      </c>
      <c r="D179">
        <v>1308.713</v>
      </c>
      <c r="E179">
        <v>9.7200000000000006</v>
      </c>
      <c r="F179">
        <v>399</v>
      </c>
      <c r="G179">
        <v>399</v>
      </c>
      <c r="H179">
        <v>399</v>
      </c>
      <c r="I179">
        <v>399</v>
      </c>
      <c r="J179">
        <v>399</v>
      </c>
      <c r="K179">
        <v>399</v>
      </c>
      <c r="L179">
        <v>399</v>
      </c>
      <c r="M179">
        <v>399</v>
      </c>
      <c r="N179">
        <v>0.09</v>
      </c>
      <c r="O179">
        <v>0.11</v>
      </c>
      <c r="P179">
        <v>0.08</v>
      </c>
      <c r="Q179">
        <v>0.1</v>
      </c>
      <c r="R179" t="s">
        <v>41</v>
      </c>
      <c r="S179">
        <v>0</v>
      </c>
      <c r="T179">
        <v>0</v>
      </c>
    </row>
    <row r="180" spans="1:20">
      <c r="A180" t="s">
        <v>52</v>
      </c>
      <c r="B180">
        <v>150223.149</v>
      </c>
      <c r="C180">
        <v>7.21</v>
      </c>
      <c r="D180">
        <v>1308.6420000000001</v>
      </c>
      <c r="E180">
        <v>9.67</v>
      </c>
      <c r="F180">
        <v>399</v>
      </c>
      <c r="G180">
        <v>399</v>
      </c>
      <c r="H180">
        <v>399</v>
      </c>
      <c r="I180">
        <v>399</v>
      </c>
      <c r="J180">
        <v>399</v>
      </c>
      <c r="K180">
        <v>399</v>
      </c>
      <c r="L180">
        <v>399</v>
      </c>
      <c r="M180">
        <v>399</v>
      </c>
      <c r="N180">
        <v>0.09</v>
      </c>
      <c r="O180">
        <v>0.11</v>
      </c>
      <c r="P180">
        <v>0.08</v>
      </c>
      <c r="Q180">
        <v>0.1</v>
      </c>
      <c r="R180" t="s">
        <v>41</v>
      </c>
      <c r="S180">
        <v>0</v>
      </c>
      <c r="T180">
        <v>0</v>
      </c>
    </row>
    <row r="181" spans="1:20">
      <c r="A181" t="s">
        <v>52</v>
      </c>
      <c r="B181">
        <v>150228.12899999999</v>
      </c>
      <c r="C181">
        <v>6.48</v>
      </c>
      <c r="D181">
        <v>1308.567</v>
      </c>
      <c r="E181">
        <v>9.6</v>
      </c>
      <c r="F181">
        <v>399</v>
      </c>
      <c r="G181">
        <v>399</v>
      </c>
      <c r="H181">
        <v>399</v>
      </c>
      <c r="I181">
        <v>399</v>
      </c>
      <c r="J181">
        <v>399</v>
      </c>
      <c r="K181">
        <v>399</v>
      </c>
      <c r="L181">
        <v>399</v>
      </c>
      <c r="M181">
        <v>399</v>
      </c>
      <c r="N181">
        <v>0.1</v>
      </c>
      <c r="O181">
        <v>0.11</v>
      </c>
      <c r="P181">
        <v>0.08</v>
      </c>
      <c r="Q181">
        <v>0.1</v>
      </c>
      <c r="R181" t="s">
        <v>41</v>
      </c>
      <c r="S181">
        <v>0</v>
      </c>
      <c r="T181">
        <v>0</v>
      </c>
    </row>
    <row r="182" spans="1:20">
      <c r="A182" t="s">
        <v>52</v>
      </c>
      <c r="B182">
        <v>150233.13399999999</v>
      </c>
      <c r="C182">
        <v>5.73</v>
      </c>
      <c r="D182">
        <v>1308.4970000000001</v>
      </c>
      <c r="E182">
        <v>9.65</v>
      </c>
      <c r="F182">
        <v>399</v>
      </c>
      <c r="G182">
        <v>399</v>
      </c>
      <c r="H182">
        <v>399</v>
      </c>
      <c r="I182">
        <v>399</v>
      </c>
      <c r="J182">
        <v>399</v>
      </c>
      <c r="K182">
        <v>399</v>
      </c>
      <c r="L182">
        <v>399</v>
      </c>
      <c r="M182">
        <v>399</v>
      </c>
      <c r="N182">
        <v>0.09</v>
      </c>
      <c r="O182">
        <v>0.11</v>
      </c>
      <c r="P182">
        <v>0.08</v>
      </c>
      <c r="Q182">
        <v>0.1</v>
      </c>
      <c r="R182" t="s">
        <v>41</v>
      </c>
      <c r="S182">
        <v>0</v>
      </c>
      <c r="T182">
        <v>0</v>
      </c>
    </row>
    <row r="183" spans="1:20">
      <c r="A183" t="s">
        <v>52</v>
      </c>
      <c r="B183">
        <v>150238.12299999999</v>
      </c>
      <c r="C183">
        <v>4.99</v>
      </c>
      <c r="D183">
        <v>1308.434</v>
      </c>
      <c r="E183">
        <v>9.5500000000000007</v>
      </c>
      <c r="F183">
        <v>399</v>
      </c>
      <c r="G183">
        <v>399</v>
      </c>
      <c r="H183">
        <v>399</v>
      </c>
      <c r="I183">
        <v>399</v>
      </c>
      <c r="J183">
        <v>399</v>
      </c>
      <c r="K183">
        <v>399</v>
      </c>
      <c r="L183">
        <v>399</v>
      </c>
      <c r="M183">
        <v>399</v>
      </c>
      <c r="N183">
        <v>0.09</v>
      </c>
      <c r="O183">
        <v>0.11</v>
      </c>
      <c r="P183">
        <v>0.08</v>
      </c>
      <c r="Q183">
        <v>0.1</v>
      </c>
      <c r="R183" t="s">
        <v>41</v>
      </c>
      <c r="S183">
        <v>0</v>
      </c>
      <c r="T183">
        <v>0</v>
      </c>
    </row>
    <row r="184" spans="1:20">
      <c r="A184" t="s">
        <v>52</v>
      </c>
      <c r="B184">
        <v>150243.13</v>
      </c>
      <c r="C184">
        <v>4.24</v>
      </c>
      <c r="D184">
        <v>1308.357</v>
      </c>
      <c r="E184">
        <v>9.6</v>
      </c>
      <c r="F184">
        <v>399</v>
      </c>
      <c r="G184">
        <v>399</v>
      </c>
      <c r="H184">
        <v>399</v>
      </c>
      <c r="I184">
        <v>399</v>
      </c>
      <c r="J184">
        <v>399</v>
      </c>
      <c r="K184">
        <v>399</v>
      </c>
      <c r="L184">
        <v>399</v>
      </c>
      <c r="M184">
        <v>399</v>
      </c>
      <c r="N184">
        <v>0.1</v>
      </c>
      <c r="O184">
        <v>0.11</v>
      </c>
      <c r="P184">
        <v>0.08</v>
      </c>
      <c r="Q184">
        <v>0.1</v>
      </c>
      <c r="R184" t="s">
        <v>41</v>
      </c>
      <c r="S184">
        <v>0</v>
      </c>
      <c r="T184">
        <v>0</v>
      </c>
    </row>
    <row r="185" spans="1:20">
      <c r="A185" t="s">
        <v>52</v>
      </c>
      <c r="B185">
        <v>150248.13</v>
      </c>
      <c r="C185">
        <v>3.51</v>
      </c>
      <c r="D185">
        <v>1308.2940000000001</v>
      </c>
      <c r="E185">
        <v>9.5500000000000007</v>
      </c>
      <c r="F185">
        <v>399</v>
      </c>
      <c r="G185">
        <v>399</v>
      </c>
      <c r="H185">
        <v>399</v>
      </c>
      <c r="I185">
        <v>399</v>
      </c>
      <c r="J185">
        <v>399</v>
      </c>
      <c r="K185">
        <v>399</v>
      </c>
      <c r="L185">
        <v>399</v>
      </c>
      <c r="M185">
        <v>399</v>
      </c>
      <c r="N185">
        <v>0.09</v>
      </c>
      <c r="O185">
        <v>0.11</v>
      </c>
      <c r="P185">
        <v>0.08</v>
      </c>
      <c r="Q185">
        <v>0.1</v>
      </c>
      <c r="R185" t="s">
        <v>41</v>
      </c>
      <c r="S185">
        <v>0</v>
      </c>
      <c r="T185">
        <v>0</v>
      </c>
    </row>
    <row r="186" spans="1:20">
      <c r="A186" t="s">
        <v>52</v>
      </c>
      <c r="B186">
        <v>150253.13500000001</v>
      </c>
      <c r="C186">
        <v>2.76</v>
      </c>
      <c r="D186">
        <v>1308.223</v>
      </c>
      <c r="E186">
        <v>9.49</v>
      </c>
      <c r="F186">
        <v>399</v>
      </c>
      <c r="G186">
        <v>399</v>
      </c>
      <c r="H186">
        <v>399</v>
      </c>
      <c r="I186">
        <v>399</v>
      </c>
      <c r="J186">
        <v>399</v>
      </c>
      <c r="K186">
        <v>399</v>
      </c>
      <c r="L186">
        <v>399</v>
      </c>
      <c r="M186">
        <v>399</v>
      </c>
      <c r="N186">
        <v>0.09</v>
      </c>
      <c r="O186">
        <v>0.11</v>
      </c>
      <c r="P186">
        <v>0.08</v>
      </c>
      <c r="Q186">
        <v>0.1</v>
      </c>
      <c r="R186" t="s">
        <v>41</v>
      </c>
      <c r="S186">
        <v>0</v>
      </c>
      <c r="T186">
        <v>0</v>
      </c>
    </row>
    <row r="187" spans="1:20">
      <c r="A187" t="s">
        <v>52</v>
      </c>
      <c r="B187">
        <v>150258.15100000001</v>
      </c>
      <c r="C187">
        <v>2.0299999999999998</v>
      </c>
      <c r="D187">
        <v>1308.153</v>
      </c>
      <c r="E187">
        <v>9.4499999999999993</v>
      </c>
      <c r="F187">
        <v>399</v>
      </c>
      <c r="G187">
        <v>399</v>
      </c>
      <c r="H187">
        <v>399</v>
      </c>
      <c r="I187">
        <v>399</v>
      </c>
      <c r="J187">
        <v>399</v>
      </c>
      <c r="K187">
        <v>399</v>
      </c>
      <c r="L187">
        <v>399</v>
      </c>
      <c r="M187">
        <v>399</v>
      </c>
      <c r="N187">
        <v>0.1</v>
      </c>
      <c r="O187">
        <v>0.11</v>
      </c>
      <c r="P187">
        <v>0.08</v>
      </c>
      <c r="Q187">
        <v>0.1</v>
      </c>
      <c r="R187" t="s">
        <v>41</v>
      </c>
      <c r="S187">
        <v>0</v>
      </c>
      <c r="T187">
        <v>0</v>
      </c>
    </row>
    <row r="188" spans="1:20">
      <c r="A188" t="s">
        <v>52</v>
      </c>
      <c r="B188">
        <v>150303.13099999999</v>
      </c>
      <c r="C188">
        <v>1.3</v>
      </c>
      <c r="D188">
        <v>1308.076</v>
      </c>
      <c r="E188">
        <v>9.35</v>
      </c>
      <c r="F188">
        <v>399</v>
      </c>
      <c r="G188">
        <v>399</v>
      </c>
      <c r="H188">
        <v>399</v>
      </c>
      <c r="I188">
        <v>399</v>
      </c>
      <c r="J188">
        <v>399</v>
      </c>
      <c r="K188">
        <v>399</v>
      </c>
      <c r="L188">
        <v>399</v>
      </c>
      <c r="M188">
        <v>399</v>
      </c>
      <c r="N188">
        <v>0.11</v>
      </c>
      <c r="O188">
        <v>0.11</v>
      </c>
      <c r="P188">
        <v>0.08</v>
      </c>
      <c r="Q188">
        <v>0.1</v>
      </c>
      <c r="R188" t="s">
        <v>41</v>
      </c>
      <c r="S188">
        <v>0</v>
      </c>
      <c r="T188">
        <v>0</v>
      </c>
    </row>
    <row r="189" spans="1:20">
      <c r="A189" t="s">
        <v>52</v>
      </c>
      <c r="B189">
        <v>150308.141</v>
      </c>
      <c r="C189">
        <v>0.54</v>
      </c>
      <c r="D189">
        <v>1308.0129999999999</v>
      </c>
      <c r="E189">
        <v>9.31</v>
      </c>
      <c r="F189">
        <v>399</v>
      </c>
      <c r="G189">
        <v>399</v>
      </c>
      <c r="H189">
        <v>399</v>
      </c>
      <c r="I189">
        <v>399</v>
      </c>
      <c r="J189">
        <v>399</v>
      </c>
      <c r="K189">
        <v>399</v>
      </c>
      <c r="L189">
        <v>399</v>
      </c>
      <c r="M189">
        <v>399</v>
      </c>
      <c r="N189">
        <v>0.08</v>
      </c>
      <c r="O189">
        <v>0.11</v>
      </c>
      <c r="P189">
        <v>0.08</v>
      </c>
      <c r="Q189">
        <v>0.1</v>
      </c>
      <c r="R189" t="s">
        <v>41</v>
      </c>
      <c r="S189">
        <v>0</v>
      </c>
      <c r="T189">
        <v>0</v>
      </c>
    </row>
  </sheetData>
  <autoFilter ref="A1:T189" xr:uid="{00000000-0009-0000-0000-000006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Curve</vt:lpstr>
      <vt:lpstr>1_Operational</vt:lpstr>
      <vt:lpstr>5_Operational</vt:lpstr>
      <vt:lpstr>Operational_RawData</vt:lpstr>
      <vt:lpstr>1_Maximum</vt:lpstr>
      <vt:lpstr>5_Maximum</vt:lpstr>
      <vt:lpstr>Maximum_RawData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MESOP</dc:creator>
  <cp:lastModifiedBy>Ray Chen (陳瑞祥)</cp:lastModifiedBy>
  <dcterms:created xsi:type="dcterms:W3CDTF">2026-10-22T05:43:25Z</dcterms:created>
  <dcterms:modified xsi:type="dcterms:W3CDTF">2026-10-24T07:15:49Z</dcterms:modified>
</cp:coreProperties>
</file>